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EXLSZ4\Desktop\Monica\Daily Plan\6.31\"/>
    </mc:Choice>
  </mc:AlternateContent>
  <xr:revisionPtr revIDLastSave="0" documentId="13_ncr:1_{95F9E64C-6501-404A-AA70-A0CB6EFFE074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Summary" sheetId="6" r:id="rId1"/>
    <sheet name="687" sheetId="2" r:id="rId2"/>
    <sheet name="D" sheetId="3" r:id="rId3"/>
    <sheet name="Rest" sheetId="5" r:id="rId4"/>
    <sheet name="Sheet1" sheetId="7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6" l="1"/>
  <c r="R3" i="6"/>
  <c r="Q4" i="6"/>
  <c r="R4" i="6"/>
  <c r="Q5" i="6"/>
  <c r="R5" i="6"/>
  <c r="Q6" i="6"/>
  <c r="R6" i="6"/>
  <c r="Q7" i="6"/>
  <c r="R7" i="6"/>
  <c r="Q8" i="6"/>
  <c r="R8" i="6"/>
  <c r="Q9" i="6"/>
  <c r="R9" i="6"/>
  <c r="Q10" i="6"/>
  <c r="R10" i="6"/>
  <c r="Q11" i="6"/>
  <c r="R11" i="6"/>
  <c r="Q12" i="6"/>
  <c r="R12" i="6"/>
  <c r="Q13" i="6"/>
  <c r="R13" i="6"/>
  <c r="Q14" i="6"/>
  <c r="R14" i="6"/>
  <c r="Q15" i="6"/>
  <c r="R15" i="6"/>
  <c r="Q16" i="6"/>
  <c r="R16" i="6"/>
  <c r="Q17" i="6"/>
  <c r="R17" i="6"/>
  <c r="Q18" i="6"/>
  <c r="R18" i="6"/>
  <c r="Q19" i="6"/>
  <c r="R19" i="6"/>
  <c r="Q20" i="6"/>
  <c r="R20" i="6"/>
  <c r="Q21" i="6"/>
  <c r="R21" i="6"/>
  <c r="Q22" i="6"/>
  <c r="R22" i="6"/>
  <c r="R23" i="6"/>
  <c r="Q24" i="6"/>
  <c r="R24" i="6"/>
  <c r="Q25" i="6"/>
  <c r="R25" i="6"/>
  <c r="Q26" i="6"/>
  <c r="R26" i="6"/>
  <c r="Q27" i="6"/>
  <c r="R27" i="6"/>
  <c r="Q28" i="6"/>
  <c r="R28" i="6"/>
  <c r="R2" i="6"/>
  <c r="Q2" i="6"/>
  <c r="G22" i="6" l="1"/>
  <c r="I22" i="6"/>
  <c r="J22" i="6"/>
  <c r="H22" i="6"/>
  <c r="E18" i="6"/>
  <c r="F18" i="6"/>
  <c r="D18" i="6"/>
  <c r="D12" i="6" l="1"/>
  <c r="D13" i="6"/>
  <c r="D14" i="6"/>
  <c r="D15" i="6"/>
  <c r="D16" i="6"/>
  <c r="D17" i="6"/>
  <c r="D20" i="6"/>
  <c r="D21" i="6"/>
  <c r="D23" i="6"/>
  <c r="D24" i="6"/>
  <c r="D25" i="6"/>
  <c r="D26" i="6"/>
  <c r="D27" i="6"/>
  <c r="D28" i="6"/>
  <c r="D31" i="6" l="1"/>
  <c r="D30" i="6"/>
  <c r="HU5" i="3" l="1"/>
  <c r="HV5" i="3"/>
  <c r="HW5" i="3"/>
  <c r="HX5" i="3"/>
  <c r="HY5" i="3"/>
  <c r="HZ5" i="3"/>
  <c r="IA5" i="3"/>
  <c r="IB5" i="3"/>
  <c r="IC5" i="3"/>
  <c r="HU7" i="3"/>
  <c r="HV7" i="3"/>
  <c r="HW7" i="3"/>
  <c r="HX7" i="3"/>
  <c r="HY7" i="3"/>
  <c r="HZ7" i="3"/>
  <c r="IA7" i="3"/>
  <c r="IB7" i="3"/>
  <c r="IC7" i="3"/>
  <c r="HU9" i="3"/>
  <c r="HV9" i="3"/>
  <c r="HW9" i="3"/>
  <c r="HX9" i="3"/>
  <c r="HY9" i="3"/>
  <c r="HZ9" i="3"/>
  <c r="IA9" i="3"/>
  <c r="IB9" i="3"/>
  <c r="IC9" i="3"/>
  <c r="HU11" i="3"/>
  <c r="HV11" i="3"/>
  <c r="HW11" i="3"/>
  <c r="HX11" i="3"/>
  <c r="HY11" i="3"/>
  <c r="HZ11" i="3"/>
  <c r="IA11" i="3"/>
  <c r="IB11" i="3"/>
  <c r="IC11" i="3"/>
  <c r="HU13" i="3"/>
  <c r="HV13" i="3"/>
  <c r="HW13" i="3"/>
  <c r="HX13" i="3"/>
  <c r="HY13" i="3"/>
  <c r="HZ13" i="3"/>
  <c r="IA13" i="3"/>
  <c r="IB13" i="3"/>
  <c r="IC13" i="3"/>
  <c r="HU16" i="3"/>
  <c r="HV16" i="3"/>
  <c r="HW16" i="3"/>
  <c r="HX16" i="3"/>
  <c r="HY16" i="3"/>
  <c r="HZ16" i="3"/>
  <c r="IA16" i="3"/>
  <c r="IB16" i="3"/>
  <c r="IC16" i="3"/>
  <c r="HU18" i="3"/>
  <c r="HV18" i="3"/>
  <c r="HW18" i="3"/>
  <c r="HX18" i="3"/>
  <c r="HY18" i="3"/>
  <c r="HZ18" i="3"/>
  <c r="IA18" i="3"/>
  <c r="IB18" i="3"/>
  <c r="IC18" i="3"/>
  <c r="HU20" i="3"/>
  <c r="HV20" i="3"/>
  <c r="HW20" i="3"/>
  <c r="HX20" i="3"/>
  <c r="HY20" i="3"/>
  <c r="HZ20" i="3"/>
  <c r="IA20" i="3"/>
  <c r="IB20" i="3"/>
  <c r="IC20" i="3"/>
  <c r="IC21" i="3" l="1"/>
  <c r="IB21" i="3"/>
  <c r="HX21" i="3"/>
  <c r="HW21" i="3"/>
  <c r="HV21" i="3"/>
  <c r="IA21" i="3"/>
  <c r="HZ21" i="3"/>
  <c r="HY21" i="3"/>
  <c r="HU21" i="3"/>
  <c r="HU14" i="3"/>
  <c r="IC14" i="3"/>
  <c r="HZ14" i="3"/>
  <c r="HZ22" i="3" s="1"/>
  <c r="HY14" i="3"/>
  <c r="HY22" i="3" s="1"/>
  <c r="HX14" i="3"/>
  <c r="IB14" i="3"/>
  <c r="HW14" i="3"/>
  <c r="IA14" i="3"/>
  <c r="HV14" i="3"/>
  <c r="HU22" i="3" l="1"/>
  <c r="HV22" i="3"/>
  <c r="IA22" i="3"/>
  <c r="HW22" i="3"/>
  <c r="IB22" i="3"/>
  <c r="HX22" i="3"/>
  <c r="IC22" i="3"/>
  <c r="H9" i="6"/>
  <c r="Q29" i="6"/>
  <c r="K10" i="6" l="1"/>
  <c r="E29" i="6"/>
  <c r="F29" i="6"/>
  <c r="G29" i="6"/>
  <c r="H29" i="6"/>
  <c r="I29" i="6"/>
  <c r="J29" i="6"/>
  <c r="E30" i="6"/>
  <c r="F30" i="6"/>
  <c r="G30" i="6"/>
  <c r="H30" i="6"/>
  <c r="I30" i="6"/>
  <c r="J30" i="6"/>
  <c r="F32" i="6" l="1"/>
  <c r="E32" i="6"/>
  <c r="G32" i="6"/>
  <c r="J32" i="6"/>
  <c r="I32" i="6"/>
  <c r="H32" i="6"/>
  <c r="E36" i="6"/>
  <c r="F36" i="6"/>
  <c r="G36" i="6"/>
  <c r="H36" i="6"/>
  <c r="I36" i="6"/>
  <c r="J36" i="6"/>
  <c r="D40" i="6"/>
  <c r="D42" i="6"/>
  <c r="A9" i="6"/>
  <c r="A10" i="6"/>
  <c r="A11" i="6"/>
  <c r="D3" i="6"/>
  <c r="D4" i="6"/>
  <c r="D8" i="6"/>
  <c r="D9" i="6"/>
  <c r="K9" i="6" s="1"/>
  <c r="D41" i="6"/>
  <c r="D38" i="6" l="1"/>
  <c r="D29" i="6"/>
  <c r="D32" i="6" s="1"/>
  <c r="D39" i="6"/>
  <c r="D36" i="6"/>
  <c r="D37" i="6" s="1"/>
  <c r="HN5" i="3" l="1"/>
  <c r="HO5" i="3"/>
  <c r="HP5" i="3"/>
  <c r="HQ5" i="3"/>
  <c r="HR5" i="3"/>
  <c r="HS5" i="3"/>
  <c r="HT5" i="3"/>
  <c r="HN7" i="3"/>
  <c r="HO7" i="3"/>
  <c r="HP7" i="3"/>
  <c r="HQ7" i="3"/>
  <c r="HR7" i="3"/>
  <c r="HS7" i="3"/>
  <c r="HT7" i="3"/>
  <c r="HN9" i="3"/>
  <c r="HO9" i="3"/>
  <c r="HP9" i="3"/>
  <c r="HQ9" i="3"/>
  <c r="HR9" i="3"/>
  <c r="HS9" i="3"/>
  <c r="HT9" i="3"/>
  <c r="HN11" i="3"/>
  <c r="HO11" i="3"/>
  <c r="HP11" i="3"/>
  <c r="HQ11" i="3"/>
  <c r="HR11" i="3"/>
  <c r="HS11" i="3"/>
  <c r="HT11" i="3"/>
  <c r="HN13" i="3"/>
  <c r="HO13" i="3"/>
  <c r="HP13" i="3"/>
  <c r="HQ13" i="3"/>
  <c r="HR13" i="3"/>
  <c r="HS13" i="3"/>
  <c r="HT13" i="3"/>
  <c r="HN16" i="3"/>
  <c r="HO16" i="3"/>
  <c r="HP16" i="3"/>
  <c r="HQ16" i="3"/>
  <c r="HR16" i="3"/>
  <c r="HS16" i="3"/>
  <c r="HT16" i="3"/>
  <c r="HN18" i="3"/>
  <c r="HO18" i="3"/>
  <c r="HP18" i="3"/>
  <c r="HQ18" i="3"/>
  <c r="HR18" i="3"/>
  <c r="HS18" i="3"/>
  <c r="HT18" i="3"/>
  <c r="HN20" i="3"/>
  <c r="HO20" i="3"/>
  <c r="HP20" i="3"/>
  <c r="HQ20" i="3"/>
  <c r="HR20" i="3"/>
  <c r="HS20" i="3"/>
  <c r="HT20" i="3"/>
  <c r="HG5" i="3"/>
  <c r="HH5" i="3"/>
  <c r="HI5" i="3"/>
  <c r="HJ5" i="3"/>
  <c r="HK5" i="3"/>
  <c r="HL5" i="3"/>
  <c r="HM5" i="3"/>
  <c r="HG7" i="3"/>
  <c r="HH7" i="3"/>
  <c r="HI7" i="3"/>
  <c r="HJ7" i="3"/>
  <c r="HK7" i="3"/>
  <c r="HL7" i="3"/>
  <c r="HM7" i="3"/>
  <c r="HG9" i="3"/>
  <c r="HH9" i="3"/>
  <c r="HI9" i="3"/>
  <c r="HJ9" i="3"/>
  <c r="HK9" i="3"/>
  <c r="HL9" i="3"/>
  <c r="HM9" i="3"/>
  <c r="HG11" i="3"/>
  <c r="HH11" i="3"/>
  <c r="HI11" i="3"/>
  <c r="HJ11" i="3"/>
  <c r="HK11" i="3"/>
  <c r="HL11" i="3"/>
  <c r="HM11" i="3"/>
  <c r="HG13" i="3"/>
  <c r="HH13" i="3"/>
  <c r="HI13" i="3"/>
  <c r="HJ13" i="3"/>
  <c r="HK13" i="3"/>
  <c r="HL13" i="3"/>
  <c r="HM13" i="3"/>
  <c r="HG16" i="3"/>
  <c r="HH16" i="3"/>
  <c r="HI16" i="3"/>
  <c r="HJ16" i="3"/>
  <c r="HK16" i="3"/>
  <c r="HL16" i="3"/>
  <c r="HM16" i="3"/>
  <c r="HG18" i="3"/>
  <c r="HH18" i="3"/>
  <c r="HI18" i="3"/>
  <c r="HJ18" i="3"/>
  <c r="HK18" i="3"/>
  <c r="HL18" i="3"/>
  <c r="HM18" i="3"/>
  <c r="HG20" i="3"/>
  <c r="HH20" i="3"/>
  <c r="HI20" i="3"/>
  <c r="HJ20" i="3"/>
  <c r="HK20" i="3"/>
  <c r="HL20" i="3"/>
  <c r="HM20" i="3"/>
  <c r="HP21" i="3" l="1"/>
  <c r="HK21" i="3"/>
  <c r="HR21" i="3"/>
  <c r="HS21" i="3"/>
  <c r="HJ21" i="3"/>
  <c r="HI21" i="3"/>
  <c r="HI14" i="3"/>
  <c r="HQ14" i="3"/>
  <c r="HH21" i="3"/>
  <c r="HG21" i="3"/>
  <c r="HO21" i="3"/>
  <c r="HM21" i="3"/>
  <c r="HN21" i="3"/>
  <c r="HQ21" i="3"/>
  <c r="HL21" i="3"/>
  <c r="HG14" i="3"/>
  <c r="HH14" i="3"/>
  <c r="HM14" i="3"/>
  <c r="HR14" i="3"/>
  <c r="HJ14" i="3"/>
  <c r="HJ22" i="3" s="1"/>
  <c r="HT14" i="3"/>
  <c r="HS14" i="3"/>
  <c r="HL14" i="3"/>
  <c r="HK14" i="3"/>
  <c r="HK22" i="3" s="1"/>
  <c r="HT21" i="3"/>
  <c r="HP14" i="3"/>
  <c r="HP22" i="3" s="1"/>
  <c r="HO14" i="3"/>
  <c r="HN14" i="3"/>
  <c r="HN22" i="3" s="1"/>
  <c r="GK14" i="2"/>
  <c r="GL14" i="2"/>
  <c r="GM14" i="2"/>
  <c r="GN14" i="2"/>
  <c r="GO14" i="2"/>
  <c r="GP14" i="2"/>
  <c r="GQ14" i="2"/>
  <c r="GR14" i="2"/>
  <c r="GS14" i="2"/>
  <c r="GT14" i="2"/>
  <c r="GT19" i="2" s="1"/>
  <c r="GT27" i="2" s="1"/>
  <c r="GK16" i="2"/>
  <c r="GK19" i="2" s="1"/>
  <c r="GK27" i="2" s="1"/>
  <c r="GL16" i="2"/>
  <c r="GM16" i="2"/>
  <c r="GN16" i="2"/>
  <c r="GO16" i="2"/>
  <c r="GP16" i="2"/>
  <c r="GQ16" i="2"/>
  <c r="GR16" i="2"/>
  <c r="GS16" i="2"/>
  <c r="GT16" i="2"/>
  <c r="GK18" i="2"/>
  <c r="GL18" i="2"/>
  <c r="GL19" i="2" s="1"/>
  <c r="GM18" i="2"/>
  <c r="GM19" i="2" s="1"/>
  <c r="GM27" i="2" s="1"/>
  <c r="GN18" i="2"/>
  <c r="GN19" i="2" s="1"/>
  <c r="GN27" i="2" s="1"/>
  <c r="GO18" i="2"/>
  <c r="GO19" i="2" s="1"/>
  <c r="GO27" i="2" s="1"/>
  <c r="GP18" i="2"/>
  <c r="GQ18" i="2"/>
  <c r="GR18" i="2"/>
  <c r="GS18" i="2"/>
  <c r="GT18" i="2"/>
  <c r="GP19" i="2"/>
  <c r="GQ19" i="2"/>
  <c r="GR19" i="2"/>
  <c r="GR27" i="2" s="1"/>
  <c r="GS19" i="2"/>
  <c r="GS27" i="2" s="1"/>
  <c r="GK21" i="2"/>
  <c r="GK26" i="2" s="1"/>
  <c r="GL21" i="2"/>
  <c r="GL26" i="2" s="1"/>
  <c r="GM21" i="2"/>
  <c r="GN21" i="2"/>
  <c r="GO21" i="2"/>
  <c r="GP21" i="2"/>
  <c r="GQ21" i="2"/>
  <c r="GR21" i="2"/>
  <c r="GS21" i="2"/>
  <c r="GT21" i="2"/>
  <c r="GK23" i="2"/>
  <c r="GL23" i="2"/>
  <c r="GM23" i="2"/>
  <c r="GN23" i="2"/>
  <c r="GO23" i="2"/>
  <c r="GP23" i="2"/>
  <c r="GQ23" i="2"/>
  <c r="GR23" i="2"/>
  <c r="GS23" i="2"/>
  <c r="GT23" i="2"/>
  <c r="GK25" i="2"/>
  <c r="GL25" i="2"/>
  <c r="GM25" i="2"/>
  <c r="GM26" i="2" s="1"/>
  <c r="GN25" i="2"/>
  <c r="GN26" i="2" s="1"/>
  <c r="GO25" i="2"/>
  <c r="GO26" i="2" s="1"/>
  <c r="GP25" i="2"/>
  <c r="GP26" i="2" s="1"/>
  <c r="GQ25" i="2"/>
  <c r="GQ26" i="2" s="1"/>
  <c r="GR25" i="2"/>
  <c r="GS25" i="2"/>
  <c r="GT25" i="2"/>
  <c r="GR26" i="2"/>
  <c r="GS26" i="2"/>
  <c r="GT26" i="2"/>
  <c r="GL3" i="2"/>
  <c r="GM3" i="2"/>
  <c r="GN3" i="2"/>
  <c r="GO3" i="2"/>
  <c r="GP3" i="2"/>
  <c r="GQ3" i="2"/>
  <c r="GR3" i="2"/>
  <c r="GZ5" i="3"/>
  <c r="HA5" i="3"/>
  <c r="HB5" i="3"/>
  <c r="HC5" i="3"/>
  <c r="HD5" i="3"/>
  <c r="HE5" i="3"/>
  <c r="HF5" i="3"/>
  <c r="GZ7" i="3"/>
  <c r="HA7" i="3"/>
  <c r="HB7" i="3"/>
  <c r="HC7" i="3"/>
  <c r="HD7" i="3"/>
  <c r="HE7" i="3"/>
  <c r="HF7" i="3"/>
  <c r="GZ9" i="3"/>
  <c r="HA9" i="3"/>
  <c r="HB9" i="3"/>
  <c r="HC9" i="3"/>
  <c r="HD9" i="3"/>
  <c r="HE9" i="3"/>
  <c r="HF9" i="3"/>
  <c r="GZ11" i="3"/>
  <c r="HA11" i="3"/>
  <c r="HB11" i="3"/>
  <c r="HC11" i="3"/>
  <c r="HD11" i="3"/>
  <c r="HE11" i="3"/>
  <c r="HF11" i="3"/>
  <c r="GZ13" i="3"/>
  <c r="HA13" i="3"/>
  <c r="HB13" i="3"/>
  <c r="HC13" i="3"/>
  <c r="HD13" i="3"/>
  <c r="HE13" i="3"/>
  <c r="HF13" i="3"/>
  <c r="GZ16" i="3"/>
  <c r="HA16" i="3"/>
  <c r="HB16" i="3"/>
  <c r="HC16" i="3"/>
  <c r="HD16" i="3"/>
  <c r="HE16" i="3"/>
  <c r="HF16" i="3"/>
  <c r="GZ18" i="3"/>
  <c r="HA18" i="3"/>
  <c r="HB18" i="3"/>
  <c r="HC18" i="3"/>
  <c r="HD18" i="3"/>
  <c r="HE18" i="3"/>
  <c r="HF18" i="3"/>
  <c r="GZ20" i="3"/>
  <c r="HA20" i="3"/>
  <c r="HB20" i="3"/>
  <c r="HC20" i="3"/>
  <c r="HD20" i="3"/>
  <c r="HE20" i="3"/>
  <c r="HF20" i="3"/>
  <c r="HI22" i="3" l="1"/>
  <c r="HS22" i="3"/>
  <c r="HR22" i="3"/>
  <c r="HQ22" i="3"/>
  <c r="HO22" i="3"/>
  <c r="HG22" i="3"/>
  <c r="HL22" i="3"/>
  <c r="HC14" i="3"/>
  <c r="HA14" i="3"/>
  <c r="GZ14" i="3"/>
  <c r="HM22" i="3"/>
  <c r="HH22" i="3"/>
  <c r="HB14" i="3"/>
  <c r="HF21" i="3"/>
  <c r="HD21" i="3"/>
  <c r="HC21" i="3"/>
  <c r="HB21" i="3"/>
  <c r="HF14" i="3"/>
  <c r="HT22" i="3"/>
  <c r="HD14" i="3"/>
  <c r="GZ21" i="3"/>
  <c r="HA21" i="3"/>
  <c r="HE14" i="3"/>
  <c r="GQ27" i="2"/>
  <c r="GP27" i="2"/>
  <c r="GL27" i="2"/>
  <c r="HE21" i="3"/>
  <c r="E38" i="6"/>
  <c r="F38" i="6"/>
  <c r="G38" i="6"/>
  <c r="H38" i="6"/>
  <c r="I38" i="6"/>
  <c r="J38" i="6"/>
  <c r="HB22" i="3" l="1"/>
  <c r="HC22" i="3"/>
  <c r="HF22" i="3"/>
  <c r="HD22" i="3"/>
  <c r="HA22" i="3"/>
  <c r="GZ22" i="3"/>
  <c r="HE22" i="3"/>
  <c r="FZ14" i="2"/>
  <c r="GA14" i="2"/>
  <c r="GB14" i="2"/>
  <c r="GC14" i="2"/>
  <c r="GD14" i="2"/>
  <c r="GE14" i="2"/>
  <c r="GF14" i="2"/>
  <c r="GG14" i="2"/>
  <c r="GH14" i="2"/>
  <c r="GI14" i="2"/>
  <c r="GI19" i="2" s="1"/>
  <c r="GI27" i="2" s="1"/>
  <c r="GJ14" i="2"/>
  <c r="FZ16" i="2"/>
  <c r="FZ19" i="2" s="1"/>
  <c r="FZ27" i="2" s="1"/>
  <c r="GA16" i="2"/>
  <c r="GA19" i="2" s="1"/>
  <c r="GA27" i="2" s="1"/>
  <c r="GB16" i="2"/>
  <c r="GB19" i="2" s="1"/>
  <c r="GB27" i="2" s="1"/>
  <c r="GC16" i="2"/>
  <c r="GD16" i="2"/>
  <c r="GE16" i="2"/>
  <c r="GF16" i="2"/>
  <c r="GG16" i="2"/>
  <c r="GH16" i="2"/>
  <c r="GI16" i="2"/>
  <c r="GJ16" i="2"/>
  <c r="FZ18" i="2"/>
  <c r="GA18" i="2"/>
  <c r="GB18" i="2"/>
  <c r="GC18" i="2"/>
  <c r="GC19" i="2" s="1"/>
  <c r="GC27" i="2" s="1"/>
  <c r="GD18" i="2"/>
  <c r="GD19" i="2" s="1"/>
  <c r="GD27" i="2" s="1"/>
  <c r="GE18" i="2"/>
  <c r="GE19" i="2" s="1"/>
  <c r="GE27" i="2" s="1"/>
  <c r="GF18" i="2"/>
  <c r="GG18" i="2"/>
  <c r="GH18" i="2"/>
  <c r="GI18" i="2"/>
  <c r="GJ18" i="2"/>
  <c r="GF19" i="2"/>
  <c r="GF27" i="2" s="1"/>
  <c r="GG19" i="2"/>
  <c r="GG27" i="2" s="1"/>
  <c r="GH19" i="2"/>
  <c r="GH27" i="2" s="1"/>
  <c r="GJ19" i="2"/>
  <c r="GJ27" i="2" s="1"/>
  <c r="FZ21" i="2"/>
  <c r="GA21" i="2"/>
  <c r="GB21" i="2"/>
  <c r="GC21" i="2"/>
  <c r="GD21" i="2"/>
  <c r="GE21" i="2"/>
  <c r="GF21" i="2"/>
  <c r="GG21" i="2"/>
  <c r="GG26" i="2" s="1"/>
  <c r="GH21" i="2"/>
  <c r="GH26" i="2" s="1"/>
  <c r="GI21" i="2"/>
  <c r="GI26" i="2" s="1"/>
  <c r="GJ21" i="2"/>
  <c r="GJ26" i="2" s="1"/>
  <c r="FZ23" i="2"/>
  <c r="GA23" i="2"/>
  <c r="GB23" i="2"/>
  <c r="GC23" i="2"/>
  <c r="GD23" i="2"/>
  <c r="GE23" i="2"/>
  <c r="GF23" i="2"/>
  <c r="GG23" i="2"/>
  <c r="GH23" i="2"/>
  <c r="GI23" i="2"/>
  <c r="GJ23" i="2"/>
  <c r="FZ25" i="2"/>
  <c r="FZ26" i="2" s="1"/>
  <c r="GA25" i="2"/>
  <c r="GA26" i="2" s="1"/>
  <c r="GB25" i="2"/>
  <c r="GB26" i="2" s="1"/>
  <c r="GC25" i="2"/>
  <c r="GC26" i="2" s="1"/>
  <c r="GD25" i="2"/>
  <c r="GE25" i="2"/>
  <c r="GF25" i="2"/>
  <c r="GG25" i="2"/>
  <c r="GH25" i="2"/>
  <c r="GI25" i="2"/>
  <c r="GJ25" i="2"/>
  <c r="GD26" i="2"/>
  <c r="GE26" i="2"/>
  <c r="GF26" i="2"/>
  <c r="GU5" i="3"/>
  <c r="GV5" i="3"/>
  <c r="GW5" i="3"/>
  <c r="GX5" i="3"/>
  <c r="GY5" i="3"/>
  <c r="GU7" i="3"/>
  <c r="GV7" i="3"/>
  <c r="GW7" i="3"/>
  <c r="GX7" i="3"/>
  <c r="GY7" i="3"/>
  <c r="GU9" i="3"/>
  <c r="GV9" i="3"/>
  <c r="GW9" i="3"/>
  <c r="GX9" i="3"/>
  <c r="GY9" i="3"/>
  <c r="GU11" i="3"/>
  <c r="GV11" i="3"/>
  <c r="GW11" i="3"/>
  <c r="GX11" i="3"/>
  <c r="GY11" i="3"/>
  <c r="GU13" i="3"/>
  <c r="GV13" i="3"/>
  <c r="GW13" i="3"/>
  <c r="GX13" i="3"/>
  <c r="GY13" i="3"/>
  <c r="GU16" i="3"/>
  <c r="GV16" i="3"/>
  <c r="GW16" i="3"/>
  <c r="GX16" i="3"/>
  <c r="GY16" i="3"/>
  <c r="GU18" i="3"/>
  <c r="GV18" i="3"/>
  <c r="GW18" i="3"/>
  <c r="GX18" i="3"/>
  <c r="GY18" i="3"/>
  <c r="GU20" i="3"/>
  <c r="GV20" i="3"/>
  <c r="GW20" i="3"/>
  <c r="GX20" i="3"/>
  <c r="GY20" i="3"/>
  <c r="GS5" i="3"/>
  <c r="GT5" i="3"/>
  <c r="GS7" i="3"/>
  <c r="GT7" i="3"/>
  <c r="GS9" i="3"/>
  <c r="GT9" i="3"/>
  <c r="GS11" i="3"/>
  <c r="GT11" i="3"/>
  <c r="GS13" i="3"/>
  <c r="GT13" i="3"/>
  <c r="GS16" i="3"/>
  <c r="GT16" i="3"/>
  <c r="GS18" i="3"/>
  <c r="GT18" i="3"/>
  <c r="GS20" i="3"/>
  <c r="GT20" i="3"/>
  <c r="GU14" i="3" l="1"/>
  <c r="GW14" i="3"/>
  <c r="GV14" i="3"/>
  <c r="GT14" i="3"/>
  <c r="GS14" i="3"/>
  <c r="GU21" i="3"/>
  <c r="GY21" i="3"/>
  <c r="GT21" i="3"/>
  <c r="GS21" i="3"/>
  <c r="GX21" i="3"/>
  <c r="GW21" i="3"/>
  <c r="GV21" i="3"/>
  <c r="GX14" i="3"/>
  <c r="GX22" i="3" s="1"/>
  <c r="GY14" i="3"/>
  <c r="GT22" i="3" l="1"/>
  <c r="GU22" i="3"/>
  <c r="GV22" i="3"/>
  <c r="GW22" i="3"/>
  <c r="GS22" i="3"/>
  <c r="GY22" i="3"/>
  <c r="E39" i="6"/>
  <c r="F39" i="6"/>
  <c r="G39" i="6"/>
  <c r="H39" i="6"/>
  <c r="I39" i="6"/>
  <c r="J39" i="6"/>
  <c r="K2" i="6"/>
  <c r="A3" i="6"/>
  <c r="A4" i="6"/>
  <c r="A5" i="6"/>
  <c r="A6" i="6"/>
  <c r="A7" i="6"/>
  <c r="A8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K3" i="6"/>
  <c r="K4" i="6"/>
  <c r="K6" i="6" l="1"/>
  <c r="GE3" i="2" l="1"/>
  <c r="GF3" i="2"/>
  <c r="GG3" i="2"/>
  <c r="GH3" i="2"/>
  <c r="GI3" i="2"/>
  <c r="GJ3" i="2"/>
  <c r="GK3" i="2"/>
  <c r="FZ3" i="2"/>
  <c r="GA3" i="2"/>
  <c r="GB3" i="2"/>
  <c r="GC3" i="2"/>
  <c r="GD3" i="2"/>
  <c r="GK13" i="3" l="1"/>
  <c r="GL5" i="3"/>
  <c r="GM5" i="3"/>
  <c r="GN5" i="3"/>
  <c r="GO5" i="3"/>
  <c r="GP5" i="3"/>
  <c r="GQ5" i="3"/>
  <c r="GR5" i="3"/>
  <c r="GL7" i="3"/>
  <c r="GM7" i="3"/>
  <c r="GN7" i="3"/>
  <c r="GO7" i="3"/>
  <c r="GP7" i="3"/>
  <c r="GQ7" i="3"/>
  <c r="GR7" i="3"/>
  <c r="GL9" i="3"/>
  <c r="GM9" i="3"/>
  <c r="GN9" i="3"/>
  <c r="GO9" i="3"/>
  <c r="GP9" i="3"/>
  <c r="GQ9" i="3"/>
  <c r="GR9" i="3"/>
  <c r="GL11" i="3"/>
  <c r="GM11" i="3"/>
  <c r="GN11" i="3"/>
  <c r="GO11" i="3"/>
  <c r="GP11" i="3"/>
  <c r="GQ11" i="3"/>
  <c r="GR11" i="3"/>
  <c r="GL13" i="3"/>
  <c r="GM13" i="3"/>
  <c r="GN13" i="3"/>
  <c r="GO13" i="3"/>
  <c r="GP13" i="3"/>
  <c r="GQ13" i="3"/>
  <c r="GR13" i="3"/>
  <c r="GL16" i="3"/>
  <c r="GM16" i="3"/>
  <c r="GN16" i="3"/>
  <c r="GO16" i="3"/>
  <c r="GP16" i="3"/>
  <c r="GQ16" i="3"/>
  <c r="GR16" i="3"/>
  <c r="GL18" i="3"/>
  <c r="GM18" i="3"/>
  <c r="GN18" i="3"/>
  <c r="GO18" i="3"/>
  <c r="GP18" i="3"/>
  <c r="GQ18" i="3"/>
  <c r="GR18" i="3"/>
  <c r="GR21" i="3" s="1"/>
  <c r="GL20" i="3"/>
  <c r="GM20" i="3"/>
  <c r="GN20" i="3"/>
  <c r="GO20" i="3"/>
  <c r="GP20" i="3"/>
  <c r="GQ20" i="3"/>
  <c r="GR20" i="3"/>
  <c r="GG5" i="3"/>
  <c r="GH5" i="3"/>
  <c r="GI5" i="3"/>
  <c r="GJ5" i="3"/>
  <c r="GK5" i="3"/>
  <c r="GG7" i="3"/>
  <c r="GH7" i="3"/>
  <c r="GI7" i="3"/>
  <c r="GJ7" i="3"/>
  <c r="GK7" i="3"/>
  <c r="GG9" i="3"/>
  <c r="GH9" i="3"/>
  <c r="GI9" i="3"/>
  <c r="GJ9" i="3"/>
  <c r="GK9" i="3"/>
  <c r="GG11" i="3"/>
  <c r="GH11" i="3"/>
  <c r="GI11" i="3"/>
  <c r="GJ11" i="3"/>
  <c r="GK11" i="3"/>
  <c r="GG13" i="3"/>
  <c r="GH13" i="3"/>
  <c r="GI13" i="3"/>
  <c r="GJ13" i="3"/>
  <c r="GG16" i="3"/>
  <c r="GH16" i="3"/>
  <c r="GI16" i="3"/>
  <c r="GJ16" i="3"/>
  <c r="GK16" i="3"/>
  <c r="GG18" i="3"/>
  <c r="GH18" i="3"/>
  <c r="GI18" i="3"/>
  <c r="GJ18" i="3"/>
  <c r="GK18" i="3"/>
  <c r="GG20" i="3"/>
  <c r="GH20" i="3"/>
  <c r="GI20" i="3"/>
  <c r="GJ20" i="3"/>
  <c r="GK20" i="3"/>
  <c r="GN14" i="3" l="1"/>
  <c r="GL21" i="3"/>
  <c r="GM14" i="3"/>
  <c r="GQ21" i="3"/>
  <c r="GP21" i="3"/>
  <c r="GG21" i="3"/>
  <c r="GH14" i="3"/>
  <c r="GJ21" i="3"/>
  <c r="GL14" i="3"/>
  <c r="GL22" i="3" s="1"/>
  <c r="GO14" i="3"/>
  <c r="GR14" i="3"/>
  <c r="GR22" i="3" s="1"/>
  <c r="GM21" i="3"/>
  <c r="GN21" i="3"/>
  <c r="GN22" i="3" s="1"/>
  <c r="GO21" i="3"/>
  <c r="GH21" i="3"/>
  <c r="GK14" i="3"/>
  <c r="GK21" i="3"/>
  <c r="GI21" i="3"/>
  <c r="GG14" i="3"/>
  <c r="GQ14" i="3"/>
  <c r="GP14" i="3"/>
  <c r="GJ14" i="3"/>
  <c r="GI14" i="3"/>
  <c r="GJ22" i="3" l="1"/>
  <c r="GG22" i="3"/>
  <c r="GM22" i="3"/>
  <c r="GP22" i="3"/>
  <c r="GQ22" i="3"/>
  <c r="GH22" i="3"/>
  <c r="GK22" i="3"/>
  <c r="GO22" i="3"/>
  <c r="GI22" i="3"/>
  <c r="K27" i="6"/>
  <c r="K28" i="6"/>
  <c r="FZ5" i="3" l="1"/>
  <c r="GA5" i="3"/>
  <c r="GB5" i="3"/>
  <c r="GC5" i="3"/>
  <c r="GD5" i="3"/>
  <c r="GE5" i="3"/>
  <c r="GF5" i="3"/>
  <c r="FZ7" i="3"/>
  <c r="GA7" i="3"/>
  <c r="GB7" i="3"/>
  <c r="GC7" i="3"/>
  <c r="GD7" i="3"/>
  <c r="GE7" i="3"/>
  <c r="GF7" i="3"/>
  <c r="FZ9" i="3"/>
  <c r="GA9" i="3"/>
  <c r="GB9" i="3"/>
  <c r="GC9" i="3"/>
  <c r="GD9" i="3"/>
  <c r="GE9" i="3"/>
  <c r="GF9" i="3"/>
  <c r="FZ11" i="3"/>
  <c r="GA11" i="3"/>
  <c r="GB11" i="3"/>
  <c r="GC11" i="3"/>
  <c r="GD11" i="3"/>
  <c r="GE11" i="3"/>
  <c r="GF11" i="3"/>
  <c r="FZ13" i="3"/>
  <c r="GA13" i="3"/>
  <c r="GB13" i="3"/>
  <c r="GC13" i="3"/>
  <c r="GD13" i="3"/>
  <c r="GE13" i="3"/>
  <c r="GF13" i="3"/>
  <c r="FZ16" i="3"/>
  <c r="GA16" i="3"/>
  <c r="GB16" i="3"/>
  <c r="GC16" i="3"/>
  <c r="GD16" i="3"/>
  <c r="GE16" i="3"/>
  <c r="GF16" i="3"/>
  <c r="FZ18" i="3"/>
  <c r="GA18" i="3"/>
  <c r="GB18" i="3"/>
  <c r="GC18" i="3"/>
  <c r="GD18" i="3"/>
  <c r="GE18" i="3"/>
  <c r="GF18" i="3"/>
  <c r="FZ20" i="3"/>
  <c r="GA20" i="3"/>
  <c r="GB20" i="3"/>
  <c r="GC20" i="3"/>
  <c r="GD20" i="3"/>
  <c r="GE20" i="3"/>
  <c r="GF20" i="3"/>
  <c r="FS5" i="3"/>
  <c r="FT5" i="3"/>
  <c r="FU5" i="3"/>
  <c r="FV5" i="3"/>
  <c r="FW5" i="3"/>
  <c r="FX5" i="3"/>
  <c r="FY5" i="3"/>
  <c r="FS7" i="3"/>
  <c r="FT7" i="3"/>
  <c r="FU7" i="3"/>
  <c r="FV7" i="3"/>
  <c r="FW7" i="3"/>
  <c r="FX7" i="3"/>
  <c r="FY7" i="3"/>
  <c r="FS9" i="3"/>
  <c r="FT9" i="3"/>
  <c r="FU9" i="3"/>
  <c r="FV9" i="3"/>
  <c r="FW9" i="3"/>
  <c r="FX9" i="3"/>
  <c r="FY9" i="3"/>
  <c r="FS11" i="3"/>
  <c r="FT11" i="3"/>
  <c r="FU11" i="3"/>
  <c r="FV11" i="3"/>
  <c r="FW11" i="3"/>
  <c r="FX11" i="3"/>
  <c r="FY11" i="3"/>
  <c r="FS13" i="3"/>
  <c r="FT13" i="3"/>
  <c r="FU13" i="3"/>
  <c r="FV13" i="3"/>
  <c r="FW13" i="3"/>
  <c r="FX13" i="3"/>
  <c r="FY13" i="3"/>
  <c r="FS16" i="3"/>
  <c r="FT16" i="3"/>
  <c r="FU16" i="3"/>
  <c r="FV16" i="3"/>
  <c r="FW16" i="3"/>
  <c r="FX16" i="3"/>
  <c r="FY16" i="3"/>
  <c r="FS18" i="3"/>
  <c r="FT18" i="3"/>
  <c r="FU18" i="3"/>
  <c r="FV18" i="3"/>
  <c r="FW18" i="3"/>
  <c r="FX18" i="3"/>
  <c r="FY18" i="3"/>
  <c r="FS20" i="3"/>
  <c r="FT20" i="3"/>
  <c r="FU20" i="3"/>
  <c r="FV20" i="3"/>
  <c r="FW20" i="3"/>
  <c r="FX20" i="3"/>
  <c r="FY20" i="3"/>
  <c r="GE14" i="3" l="1"/>
  <c r="GD21" i="3"/>
  <c r="GC21" i="3"/>
  <c r="FU21" i="3"/>
  <c r="GB21" i="3"/>
  <c r="GA21" i="3"/>
  <c r="FS21" i="3"/>
  <c r="FZ21" i="3"/>
  <c r="GF21" i="3"/>
  <c r="GF14" i="3"/>
  <c r="GF22" i="3" s="1"/>
  <c r="GE21" i="3"/>
  <c r="GD14" i="3"/>
  <c r="GD22" i="3" s="1"/>
  <c r="GB14" i="3"/>
  <c r="GB22" i="3" s="1"/>
  <c r="GA14" i="3"/>
  <c r="GA22" i="3" s="1"/>
  <c r="FZ14" i="3"/>
  <c r="FY14" i="3"/>
  <c r="FX21" i="3"/>
  <c r="FW21" i="3"/>
  <c r="FY21" i="3"/>
  <c r="GC14" i="3"/>
  <c r="FV21" i="3"/>
  <c r="FT21" i="3"/>
  <c r="FS14" i="3"/>
  <c r="FX14" i="3"/>
  <c r="FV14" i="3"/>
  <c r="FU14" i="3"/>
  <c r="FU22" i="3" s="1"/>
  <c r="FT14" i="3"/>
  <c r="FW14" i="3"/>
  <c r="GC22" i="3" l="1"/>
  <c r="FY22" i="3"/>
  <c r="GE22" i="3"/>
  <c r="FZ22" i="3"/>
  <c r="FX22" i="3"/>
  <c r="FS22" i="3"/>
  <c r="FW22" i="3"/>
  <c r="FT22" i="3"/>
  <c r="FV22" i="3"/>
  <c r="FR3" i="2" l="1"/>
  <c r="FS3" i="2"/>
  <c r="FT3" i="2"/>
  <c r="FU3" i="2"/>
  <c r="FV3" i="2"/>
  <c r="FW3" i="2"/>
  <c r="FX3" i="2"/>
  <c r="FY3" i="2"/>
  <c r="FQ3" i="2"/>
  <c r="FQ14" i="2"/>
  <c r="FR14" i="2"/>
  <c r="FR19" i="2" s="1"/>
  <c r="FS14" i="2"/>
  <c r="FT14" i="2"/>
  <c r="FU14" i="2"/>
  <c r="FV14" i="2"/>
  <c r="FW14" i="2"/>
  <c r="FW19" i="2" s="1"/>
  <c r="FW27" i="2" s="1"/>
  <c r="FX14" i="2"/>
  <c r="FX19" i="2" s="1"/>
  <c r="FY14" i="2"/>
  <c r="FY19" i="2" s="1"/>
  <c r="FY27" i="2" s="1"/>
  <c r="FQ16" i="2"/>
  <c r="FR16" i="2"/>
  <c r="FS16" i="2"/>
  <c r="FS19" i="2" s="1"/>
  <c r="FS27" i="2" s="1"/>
  <c r="FT16" i="2"/>
  <c r="FT19" i="2" s="1"/>
  <c r="FT27" i="2" s="1"/>
  <c r="FU16" i="2"/>
  <c r="FU19" i="2" s="1"/>
  <c r="FU27" i="2" s="1"/>
  <c r="FV16" i="2"/>
  <c r="FW16" i="2"/>
  <c r="FX16" i="2"/>
  <c r="FY16" i="2"/>
  <c r="FQ18" i="2"/>
  <c r="FR18" i="2"/>
  <c r="FS18" i="2"/>
  <c r="FT18" i="2"/>
  <c r="FU18" i="2"/>
  <c r="FV18" i="2"/>
  <c r="FV19" i="2" s="1"/>
  <c r="FV27" i="2" s="1"/>
  <c r="FW18" i="2"/>
  <c r="FX18" i="2"/>
  <c r="FY18" i="2"/>
  <c r="FQ19" i="2"/>
  <c r="FQ21" i="2"/>
  <c r="FQ26" i="2" s="1"/>
  <c r="FR21" i="2"/>
  <c r="FR26" i="2" s="1"/>
  <c r="FS21" i="2"/>
  <c r="FS26" i="2" s="1"/>
  <c r="FT21" i="2"/>
  <c r="FT26" i="2" s="1"/>
  <c r="FU21" i="2"/>
  <c r="FU26" i="2" s="1"/>
  <c r="FV21" i="2"/>
  <c r="FV26" i="2" s="1"/>
  <c r="FW21" i="2"/>
  <c r="FX21" i="2"/>
  <c r="FX26" i="2" s="1"/>
  <c r="FY21" i="2"/>
  <c r="FQ23" i="2"/>
  <c r="FR23" i="2"/>
  <c r="FS23" i="2"/>
  <c r="FT23" i="2"/>
  <c r="FU23" i="2"/>
  <c r="FV23" i="2"/>
  <c r="FW23" i="2"/>
  <c r="FX23" i="2"/>
  <c r="FY23" i="2"/>
  <c r="FQ25" i="2"/>
  <c r="FR25" i="2"/>
  <c r="FS25" i="2"/>
  <c r="FT25" i="2"/>
  <c r="FU25" i="2"/>
  <c r="FV25" i="2"/>
  <c r="FW25" i="2"/>
  <c r="FX25" i="2"/>
  <c r="FY25" i="2"/>
  <c r="FW26" i="2"/>
  <c r="FY26" i="2"/>
  <c r="FQ27" i="2" l="1"/>
  <c r="FX27" i="2"/>
  <c r="FR27" i="2"/>
  <c r="FK3" i="2" l="1"/>
  <c r="FL3" i="2"/>
  <c r="FM3" i="2"/>
  <c r="FN3" i="2"/>
  <c r="FO3" i="2"/>
  <c r="FP3" i="2"/>
  <c r="FJ3" i="2"/>
  <c r="FG14" i="2"/>
  <c r="FG19" i="2" s="1"/>
  <c r="FG27" i="2" s="1"/>
  <c r="FH14" i="2"/>
  <c r="FI14" i="2"/>
  <c r="FJ14" i="2"/>
  <c r="FJ19" i="2" s="1"/>
  <c r="FJ27" i="2" s="1"/>
  <c r="FK14" i="2"/>
  <c r="FK19" i="2" s="1"/>
  <c r="FK27" i="2" s="1"/>
  <c r="FL14" i="2"/>
  <c r="FM14" i="2"/>
  <c r="FN14" i="2"/>
  <c r="FO14" i="2"/>
  <c r="FP14" i="2"/>
  <c r="FG16" i="2"/>
  <c r="FH16" i="2"/>
  <c r="FH19" i="2" s="1"/>
  <c r="FH27" i="2" s="1"/>
  <c r="FI16" i="2"/>
  <c r="FI19" i="2" s="1"/>
  <c r="FI27" i="2" s="1"/>
  <c r="FJ16" i="2"/>
  <c r="FK16" i="2"/>
  <c r="FL16" i="2"/>
  <c r="FM16" i="2"/>
  <c r="FN16" i="2"/>
  <c r="FO16" i="2"/>
  <c r="FO19" i="2" s="1"/>
  <c r="FO27" i="2" s="1"/>
  <c r="FP16" i="2"/>
  <c r="FG18" i="2"/>
  <c r="FH18" i="2"/>
  <c r="FI18" i="2"/>
  <c r="FJ18" i="2"/>
  <c r="FK18" i="2"/>
  <c r="FL18" i="2"/>
  <c r="FL19" i="2" s="1"/>
  <c r="FL27" i="2" s="1"/>
  <c r="FM18" i="2"/>
  <c r="FM19" i="2" s="1"/>
  <c r="FM27" i="2" s="1"/>
  <c r="FN18" i="2"/>
  <c r="FN19" i="2" s="1"/>
  <c r="FO18" i="2"/>
  <c r="FP18" i="2"/>
  <c r="FP19" i="2"/>
  <c r="FP27" i="2" s="1"/>
  <c r="FG21" i="2"/>
  <c r="FH21" i="2"/>
  <c r="FH26" i="2" s="1"/>
  <c r="FI21" i="2"/>
  <c r="FI26" i="2" s="1"/>
  <c r="FJ21" i="2"/>
  <c r="FK21" i="2"/>
  <c r="FL21" i="2"/>
  <c r="FL26" i="2" s="1"/>
  <c r="FM21" i="2"/>
  <c r="FM26" i="2" s="1"/>
  <c r="FN21" i="2"/>
  <c r="FO21" i="2"/>
  <c r="FP21" i="2"/>
  <c r="FG23" i="2"/>
  <c r="FH23" i="2"/>
  <c r="FI23" i="2"/>
  <c r="FJ23" i="2"/>
  <c r="FK23" i="2"/>
  <c r="FL23" i="2"/>
  <c r="FM23" i="2"/>
  <c r="FN23" i="2"/>
  <c r="FO23" i="2"/>
  <c r="FP23" i="2"/>
  <c r="FG25" i="2"/>
  <c r="FH25" i="2"/>
  <c r="FI25" i="2"/>
  <c r="FJ25" i="2"/>
  <c r="FK25" i="2"/>
  <c r="FL25" i="2"/>
  <c r="FM25" i="2"/>
  <c r="FN25" i="2"/>
  <c r="FN26" i="2" s="1"/>
  <c r="FO25" i="2"/>
  <c r="FO26" i="2" s="1"/>
  <c r="FP25" i="2"/>
  <c r="FP26" i="2" s="1"/>
  <c r="FG26" i="2"/>
  <c r="FJ26" i="2"/>
  <c r="FK26" i="2"/>
  <c r="EV14" i="2"/>
  <c r="EW14" i="2"/>
  <c r="EW19" i="2" s="1"/>
  <c r="EX14" i="2"/>
  <c r="EX19" i="2" s="1"/>
  <c r="EY14" i="2"/>
  <c r="EZ14" i="2"/>
  <c r="FA14" i="2"/>
  <c r="FB14" i="2"/>
  <c r="FC14" i="2"/>
  <c r="FD14" i="2"/>
  <c r="FE14" i="2"/>
  <c r="FE19" i="2" s="1"/>
  <c r="FF14" i="2"/>
  <c r="EV16" i="2"/>
  <c r="EV19" i="2" s="1"/>
  <c r="EV27" i="2" s="1"/>
  <c r="EW16" i="2"/>
  <c r="EX16" i="2"/>
  <c r="EY16" i="2"/>
  <c r="EZ16" i="2"/>
  <c r="EZ19" i="2" s="1"/>
  <c r="FA16" i="2"/>
  <c r="FA19" i="2" s="1"/>
  <c r="FB16" i="2"/>
  <c r="FC16" i="2"/>
  <c r="FD16" i="2"/>
  <c r="FE16" i="2"/>
  <c r="FF16" i="2"/>
  <c r="EV18" i="2"/>
  <c r="EW18" i="2"/>
  <c r="EX18" i="2"/>
  <c r="EY18" i="2"/>
  <c r="EY19" i="2" s="1"/>
  <c r="EZ18" i="2"/>
  <c r="FA18" i="2"/>
  <c r="FB18" i="2"/>
  <c r="FC18" i="2"/>
  <c r="FC19" i="2" s="1"/>
  <c r="FD18" i="2"/>
  <c r="FD19" i="2" s="1"/>
  <c r="FE18" i="2"/>
  <c r="FF18" i="2"/>
  <c r="FB19" i="2"/>
  <c r="FF19" i="2"/>
  <c r="FF27" i="2" s="1"/>
  <c r="EV21" i="2"/>
  <c r="EV26" i="2" s="1"/>
  <c r="EW21" i="2"/>
  <c r="EX21" i="2"/>
  <c r="EY21" i="2"/>
  <c r="EZ21" i="2"/>
  <c r="FA21" i="2"/>
  <c r="FB21" i="2"/>
  <c r="FC21" i="2"/>
  <c r="FC26" i="2" s="1"/>
  <c r="FD21" i="2"/>
  <c r="FE21" i="2"/>
  <c r="FE26" i="2" s="1"/>
  <c r="FF21" i="2"/>
  <c r="FF26" i="2" s="1"/>
  <c r="EV23" i="2"/>
  <c r="EW23" i="2"/>
  <c r="EX23" i="2"/>
  <c r="EY23" i="2"/>
  <c r="EZ23" i="2"/>
  <c r="FA23" i="2"/>
  <c r="FB23" i="2"/>
  <c r="FC23" i="2"/>
  <c r="FD23" i="2"/>
  <c r="FE23" i="2"/>
  <c r="FF23" i="2"/>
  <c r="EV25" i="2"/>
  <c r="EW25" i="2"/>
  <c r="EX25" i="2"/>
  <c r="EY25" i="2"/>
  <c r="EZ25" i="2"/>
  <c r="FA25" i="2"/>
  <c r="FB25" i="2"/>
  <c r="FC25" i="2"/>
  <c r="FD25" i="2"/>
  <c r="FE25" i="2"/>
  <c r="FF25" i="2"/>
  <c r="EZ26" i="2"/>
  <c r="FD26" i="2"/>
  <c r="FN27" i="2" l="1"/>
  <c r="EY27" i="2"/>
  <c r="FE27" i="2"/>
  <c r="FB26" i="2"/>
  <c r="FA26" i="2"/>
  <c r="EY26" i="2"/>
  <c r="EX26" i="2"/>
  <c r="EW26" i="2"/>
  <c r="FD27" i="2"/>
  <c r="FC27" i="2"/>
  <c r="EZ27" i="2"/>
  <c r="FB27" i="2"/>
  <c r="FA27" i="2"/>
  <c r="EX27" i="2"/>
  <c r="EW27" i="2"/>
  <c r="FE5" i="3" l="1"/>
  <c r="FF5" i="3"/>
  <c r="FG5" i="3"/>
  <c r="FH5" i="3"/>
  <c r="FI5" i="3"/>
  <c r="FJ5" i="3"/>
  <c r="FK5" i="3"/>
  <c r="FL5" i="3"/>
  <c r="FM5" i="3"/>
  <c r="FN5" i="3"/>
  <c r="FO5" i="3"/>
  <c r="FP5" i="3"/>
  <c r="FQ5" i="3"/>
  <c r="FR5" i="3"/>
  <c r="FE7" i="3"/>
  <c r="FF7" i="3"/>
  <c r="FG7" i="3"/>
  <c r="FH7" i="3"/>
  <c r="FI7" i="3"/>
  <c r="FJ7" i="3"/>
  <c r="FK7" i="3"/>
  <c r="FL7" i="3"/>
  <c r="FM7" i="3"/>
  <c r="FN7" i="3"/>
  <c r="FO7" i="3"/>
  <c r="FP7" i="3"/>
  <c r="FQ7" i="3"/>
  <c r="FR7" i="3"/>
  <c r="FE9" i="3"/>
  <c r="FF9" i="3"/>
  <c r="FG9" i="3"/>
  <c r="FH9" i="3"/>
  <c r="FI9" i="3"/>
  <c r="FJ9" i="3"/>
  <c r="FK9" i="3"/>
  <c r="FL9" i="3"/>
  <c r="FM9" i="3"/>
  <c r="FN9" i="3"/>
  <c r="FO9" i="3"/>
  <c r="FP9" i="3"/>
  <c r="FQ9" i="3"/>
  <c r="FR9" i="3"/>
  <c r="FE11" i="3"/>
  <c r="FF11" i="3"/>
  <c r="FG11" i="3"/>
  <c r="FH11" i="3"/>
  <c r="FI11" i="3"/>
  <c r="FJ11" i="3"/>
  <c r="FK11" i="3"/>
  <c r="FL11" i="3"/>
  <c r="FM11" i="3"/>
  <c r="FN11" i="3"/>
  <c r="FO11" i="3"/>
  <c r="FP11" i="3"/>
  <c r="FQ11" i="3"/>
  <c r="FR11" i="3"/>
  <c r="FE13" i="3"/>
  <c r="FF13" i="3"/>
  <c r="FG13" i="3"/>
  <c r="FH13" i="3"/>
  <c r="FI13" i="3"/>
  <c r="FJ13" i="3"/>
  <c r="FK13" i="3"/>
  <c r="FL13" i="3"/>
  <c r="FM13" i="3"/>
  <c r="FN13" i="3"/>
  <c r="FO13" i="3"/>
  <c r="FP13" i="3"/>
  <c r="FQ13" i="3"/>
  <c r="FR13" i="3"/>
  <c r="FE14" i="3"/>
  <c r="FE16" i="3"/>
  <c r="FF16" i="3"/>
  <c r="FG16" i="3"/>
  <c r="FH16" i="3"/>
  <c r="FI16" i="3"/>
  <c r="FJ16" i="3"/>
  <c r="FK16" i="3"/>
  <c r="FL16" i="3"/>
  <c r="FM16" i="3"/>
  <c r="FN16" i="3"/>
  <c r="FO16" i="3"/>
  <c r="FP16" i="3"/>
  <c r="FQ16" i="3"/>
  <c r="FR16" i="3"/>
  <c r="FE18" i="3"/>
  <c r="FF18" i="3"/>
  <c r="FG18" i="3"/>
  <c r="FH18" i="3"/>
  <c r="FI18" i="3"/>
  <c r="FJ18" i="3"/>
  <c r="FK18" i="3"/>
  <c r="FL18" i="3"/>
  <c r="FM18" i="3"/>
  <c r="FN18" i="3"/>
  <c r="FO18" i="3"/>
  <c r="FP18" i="3"/>
  <c r="FQ18" i="3"/>
  <c r="FR18" i="3"/>
  <c r="FE20" i="3"/>
  <c r="FF20" i="3"/>
  <c r="FG20" i="3"/>
  <c r="FH20" i="3"/>
  <c r="FI20" i="3"/>
  <c r="FI21" i="3" s="1"/>
  <c r="FJ20" i="3"/>
  <c r="FK20" i="3"/>
  <c r="FL20" i="3"/>
  <c r="FM20" i="3"/>
  <c r="FN20" i="3"/>
  <c r="FO20" i="3"/>
  <c r="FP20" i="3"/>
  <c r="FQ20" i="3"/>
  <c r="FR20" i="3"/>
  <c r="FE21" i="3"/>
  <c r="FQ21" i="3" l="1"/>
  <c r="FN21" i="3"/>
  <c r="FF21" i="3"/>
  <c r="FF14" i="3"/>
  <c r="FM21" i="3"/>
  <c r="FQ14" i="3"/>
  <c r="FQ22" i="3" s="1"/>
  <c r="FH21" i="3"/>
  <c r="FG21" i="3"/>
  <c r="FH14" i="3"/>
  <c r="FH22" i="3" s="1"/>
  <c r="FR21" i="3"/>
  <c r="FL21" i="3"/>
  <c r="FK21" i="3"/>
  <c r="FI14" i="3"/>
  <c r="FI22" i="3" s="1"/>
  <c r="FG14" i="3"/>
  <c r="FG22" i="3" s="1"/>
  <c r="FO21" i="3"/>
  <c r="FJ21" i="3"/>
  <c r="FP21" i="3"/>
  <c r="FE22" i="3"/>
  <c r="FR14" i="3"/>
  <c r="I37" i="6"/>
  <c r="J37" i="6"/>
  <c r="H37" i="6"/>
  <c r="G37" i="6"/>
  <c r="F37" i="6"/>
  <c r="E37" i="6"/>
  <c r="FK14" i="3"/>
  <c r="FP14" i="3"/>
  <c r="FO14" i="3"/>
  <c r="FN14" i="3"/>
  <c r="FM14" i="3"/>
  <c r="FL14" i="3"/>
  <c r="FJ14" i="3"/>
  <c r="FN22" i="3" l="1"/>
  <c r="FK22" i="3"/>
  <c r="FF22" i="3"/>
  <c r="FL22" i="3"/>
  <c r="FM22" i="3"/>
  <c r="FO22" i="3"/>
  <c r="FJ22" i="3"/>
  <c r="FR22" i="3"/>
  <c r="FP22" i="3"/>
  <c r="K25" i="6"/>
  <c r="B29" i="6" l="1"/>
  <c r="E42" i="6"/>
  <c r="F42" i="6"/>
  <c r="G42" i="6"/>
  <c r="H42" i="6"/>
  <c r="I42" i="6"/>
  <c r="J42" i="6"/>
  <c r="R31" i="6" l="1"/>
  <c r="Q30" i="6"/>
  <c r="Q34" i="6" s="1"/>
  <c r="Q31" i="6"/>
  <c r="R29" i="6"/>
  <c r="R30" i="6"/>
  <c r="E31" i="6"/>
  <c r="F31" i="6"/>
  <c r="G31" i="6"/>
  <c r="H31" i="6"/>
  <c r="I31" i="6"/>
  <c r="J31" i="6"/>
  <c r="R34" i="6" l="1"/>
  <c r="Q33" i="6"/>
  <c r="Q32" i="6"/>
  <c r="R33" i="6"/>
  <c r="R32" i="6"/>
  <c r="K18" i="6" l="1"/>
  <c r="EQ19" i="2" l="1"/>
  <c r="ER19" i="2"/>
  <c r="ES19" i="2"/>
  <c r="ET19" i="2"/>
  <c r="EU19" i="2"/>
  <c r="EM19" i="2"/>
  <c r="EN18" i="2"/>
  <c r="EO18" i="2"/>
  <c r="EP18" i="2"/>
  <c r="EQ18" i="2"/>
  <c r="ER18" i="2"/>
  <c r="ES18" i="2"/>
  <c r="ET18" i="2"/>
  <c r="EU18" i="2"/>
  <c r="EM18" i="2"/>
  <c r="EO3" i="2"/>
  <c r="EP3" i="2"/>
  <c r="EQ3" i="2"/>
  <c r="ER3" i="2"/>
  <c r="ES3" i="2"/>
  <c r="ET3" i="2"/>
  <c r="EU3" i="2"/>
  <c r="EP14" i="2"/>
  <c r="EP19" i="2" s="1"/>
  <c r="EQ14" i="2"/>
  <c r="ER14" i="2"/>
  <c r="ES14" i="2"/>
  <c r="ET14" i="2"/>
  <c r="EU14" i="2"/>
  <c r="EP16" i="2"/>
  <c r="EQ16" i="2"/>
  <c r="ER16" i="2"/>
  <c r="ES16" i="2"/>
  <c r="ET16" i="2"/>
  <c r="EU16" i="2"/>
  <c r="EP21" i="2"/>
  <c r="EQ21" i="2"/>
  <c r="ER21" i="2"/>
  <c r="ES21" i="2"/>
  <c r="ES26" i="2" s="1"/>
  <c r="ET21" i="2"/>
  <c r="ET26" i="2" s="1"/>
  <c r="EU21" i="2"/>
  <c r="EU26" i="2" s="1"/>
  <c r="EP23" i="2"/>
  <c r="EQ23" i="2"/>
  <c r="ER23" i="2"/>
  <c r="ES23" i="2"/>
  <c r="ET23" i="2"/>
  <c r="EU23" i="2"/>
  <c r="EP25" i="2"/>
  <c r="EQ25" i="2"/>
  <c r="ER25" i="2"/>
  <c r="ER26" i="2" s="1"/>
  <c r="ES25" i="2"/>
  <c r="ET25" i="2"/>
  <c r="EU25" i="2"/>
  <c r="EQ26" i="2"/>
  <c r="EP26" i="2" l="1"/>
  <c r="ET27" i="2"/>
  <c r="ES27" i="2"/>
  <c r="EQ27" i="2"/>
  <c r="ER27" i="2"/>
  <c r="EU27" i="2"/>
  <c r="EP27" i="2" l="1"/>
  <c r="EV5" i="3"/>
  <c r="EW5" i="3"/>
  <c r="EX5" i="3"/>
  <c r="EY5" i="3"/>
  <c r="EZ5" i="3"/>
  <c r="FA5" i="3"/>
  <c r="FB5" i="3"/>
  <c r="FC5" i="3"/>
  <c r="FD5" i="3"/>
  <c r="EV7" i="3"/>
  <c r="EW7" i="3"/>
  <c r="EX7" i="3"/>
  <c r="EY7" i="3"/>
  <c r="EY14" i="3" s="1"/>
  <c r="EZ7" i="3"/>
  <c r="FA7" i="3"/>
  <c r="FB7" i="3"/>
  <c r="FC7" i="3"/>
  <c r="FD7" i="3"/>
  <c r="EV9" i="3"/>
  <c r="EW9" i="3"/>
  <c r="EX9" i="3"/>
  <c r="EY9" i="3"/>
  <c r="EZ9" i="3"/>
  <c r="FA9" i="3"/>
  <c r="FB9" i="3"/>
  <c r="FC9" i="3"/>
  <c r="FD9" i="3"/>
  <c r="EV11" i="3"/>
  <c r="EW11" i="3"/>
  <c r="EX11" i="3"/>
  <c r="EY11" i="3"/>
  <c r="EZ11" i="3"/>
  <c r="FA11" i="3"/>
  <c r="FB11" i="3"/>
  <c r="FC11" i="3"/>
  <c r="FD11" i="3"/>
  <c r="EV13" i="3"/>
  <c r="EW13" i="3"/>
  <c r="EX13" i="3"/>
  <c r="EY13" i="3"/>
  <c r="EZ13" i="3"/>
  <c r="FA13" i="3"/>
  <c r="FB13" i="3"/>
  <c r="FC13" i="3"/>
  <c r="FD13" i="3"/>
  <c r="EV16" i="3"/>
  <c r="EW16" i="3"/>
  <c r="EX16" i="3"/>
  <c r="EY16" i="3"/>
  <c r="EZ16" i="3"/>
  <c r="FA16" i="3"/>
  <c r="FB16" i="3"/>
  <c r="FB21" i="3" s="1"/>
  <c r="FC16" i="3"/>
  <c r="FD16" i="3"/>
  <c r="FD21" i="3" s="1"/>
  <c r="EV18" i="3"/>
  <c r="EW18" i="3"/>
  <c r="EX18" i="3"/>
  <c r="EY18" i="3"/>
  <c r="EZ18" i="3"/>
  <c r="FA18" i="3"/>
  <c r="FB18" i="3"/>
  <c r="FC18" i="3"/>
  <c r="FD18" i="3"/>
  <c r="EV20" i="3"/>
  <c r="EW20" i="3"/>
  <c r="EX20" i="3"/>
  <c r="EY20" i="3"/>
  <c r="EZ20" i="3"/>
  <c r="EZ21" i="3" s="1"/>
  <c r="FA20" i="3"/>
  <c r="FA21" i="3" s="1"/>
  <c r="FB20" i="3"/>
  <c r="FC20" i="3"/>
  <c r="FD20" i="3"/>
  <c r="FC21" i="3" l="1"/>
  <c r="EW21" i="3"/>
  <c r="EX21" i="3"/>
  <c r="EY21" i="3"/>
  <c r="EY22" i="3" s="1"/>
  <c r="EV21" i="3"/>
  <c r="EZ14" i="3"/>
  <c r="EZ22" i="3" s="1"/>
  <c r="FC14" i="3"/>
  <c r="FD14" i="3"/>
  <c r="FD22" i="3" s="1"/>
  <c r="FB14" i="3"/>
  <c r="FB22" i="3" s="1"/>
  <c r="FA14" i="3"/>
  <c r="FA22" i="3" s="1"/>
  <c r="EX14" i="3"/>
  <c r="EW14" i="3"/>
  <c r="EV14" i="3"/>
  <c r="FC22" i="3" l="1"/>
  <c r="EW22" i="3"/>
  <c r="EX22" i="3"/>
  <c r="EV22" i="3"/>
  <c r="A2" i="6"/>
  <c r="EH14" i="2" l="1"/>
  <c r="EI14" i="2"/>
  <c r="EJ14" i="2"/>
  <c r="EK14" i="2"/>
  <c r="EL14" i="2"/>
  <c r="EM14" i="2"/>
  <c r="EN14" i="2"/>
  <c r="EO14" i="2"/>
  <c r="EH16" i="2"/>
  <c r="EI16" i="2"/>
  <c r="EJ16" i="2"/>
  <c r="EK16" i="2"/>
  <c r="EL16" i="2"/>
  <c r="EM16" i="2"/>
  <c r="EN16" i="2"/>
  <c r="EN19" i="2" s="1"/>
  <c r="EO16" i="2"/>
  <c r="EO19" i="2" s="1"/>
  <c r="EH21" i="2"/>
  <c r="EI21" i="2"/>
  <c r="EJ21" i="2"/>
  <c r="EK21" i="2"/>
  <c r="EL21" i="2"/>
  <c r="EM21" i="2"/>
  <c r="EN21" i="2"/>
  <c r="EO21" i="2"/>
  <c r="EH23" i="2"/>
  <c r="EI23" i="2"/>
  <c r="EJ23" i="2"/>
  <c r="EK23" i="2"/>
  <c r="EL23" i="2"/>
  <c r="EM23" i="2"/>
  <c r="EN23" i="2"/>
  <c r="EO23" i="2"/>
  <c r="EH25" i="2"/>
  <c r="EI25" i="2"/>
  <c r="EJ25" i="2"/>
  <c r="EK25" i="2"/>
  <c r="EL25" i="2"/>
  <c r="EM25" i="2"/>
  <c r="EN25" i="2"/>
  <c r="EO25" i="2"/>
  <c r="EO5" i="3"/>
  <c r="EP5" i="3"/>
  <c r="EQ5" i="3"/>
  <c r="ER5" i="3"/>
  <c r="ES5" i="3"/>
  <c r="ET5" i="3"/>
  <c r="EU5" i="3"/>
  <c r="EO7" i="3"/>
  <c r="EP7" i="3"/>
  <c r="EQ7" i="3"/>
  <c r="ER7" i="3"/>
  <c r="ES7" i="3"/>
  <c r="ET7" i="3"/>
  <c r="EU7" i="3"/>
  <c r="EO9" i="3"/>
  <c r="EP9" i="3"/>
  <c r="EQ9" i="3"/>
  <c r="ER9" i="3"/>
  <c r="ES9" i="3"/>
  <c r="ET9" i="3"/>
  <c r="EU9" i="3"/>
  <c r="EO11" i="3"/>
  <c r="EP11" i="3"/>
  <c r="EQ11" i="3"/>
  <c r="ER11" i="3"/>
  <c r="ES11" i="3"/>
  <c r="ET11" i="3"/>
  <c r="EU11" i="3"/>
  <c r="EO13" i="3"/>
  <c r="EP13" i="3"/>
  <c r="EQ13" i="3"/>
  <c r="ER13" i="3"/>
  <c r="ES13" i="3"/>
  <c r="ET13" i="3"/>
  <c r="EU13" i="3"/>
  <c r="EO16" i="3"/>
  <c r="EP16" i="3"/>
  <c r="EQ16" i="3"/>
  <c r="ER16" i="3"/>
  <c r="ES16" i="3"/>
  <c r="ET16" i="3"/>
  <c r="EU16" i="3"/>
  <c r="EO18" i="3"/>
  <c r="EP18" i="3"/>
  <c r="EQ18" i="3"/>
  <c r="ER18" i="3"/>
  <c r="ES18" i="3"/>
  <c r="ET18" i="3"/>
  <c r="EU18" i="3"/>
  <c r="EO20" i="3"/>
  <c r="EP20" i="3"/>
  <c r="EQ20" i="3"/>
  <c r="ER20" i="3"/>
  <c r="ES20" i="3"/>
  <c r="ET20" i="3"/>
  <c r="EU20" i="3"/>
  <c r="EH5" i="3"/>
  <c r="EI5" i="3"/>
  <c r="EJ5" i="3"/>
  <c r="EK5" i="3"/>
  <c r="EL5" i="3"/>
  <c r="EM5" i="3"/>
  <c r="EN5" i="3"/>
  <c r="EH7" i="3"/>
  <c r="EI7" i="3"/>
  <c r="EJ7" i="3"/>
  <c r="EK7" i="3"/>
  <c r="EL7" i="3"/>
  <c r="EM7" i="3"/>
  <c r="EN7" i="3"/>
  <c r="EH9" i="3"/>
  <c r="EI9" i="3"/>
  <c r="EJ9" i="3"/>
  <c r="EK9" i="3"/>
  <c r="EL9" i="3"/>
  <c r="EM9" i="3"/>
  <c r="EN9" i="3"/>
  <c r="EH11" i="3"/>
  <c r="EI11" i="3"/>
  <c r="EJ11" i="3"/>
  <c r="EK11" i="3"/>
  <c r="EL11" i="3"/>
  <c r="EM11" i="3"/>
  <c r="EN11" i="3"/>
  <c r="EH13" i="3"/>
  <c r="EI13" i="3"/>
  <c r="EJ13" i="3"/>
  <c r="EK13" i="3"/>
  <c r="EL13" i="3"/>
  <c r="EM13" i="3"/>
  <c r="EN13" i="3"/>
  <c r="EH16" i="3"/>
  <c r="EI16" i="3"/>
  <c r="EJ16" i="3"/>
  <c r="EK16" i="3"/>
  <c r="EL16" i="3"/>
  <c r="EM16" i="3"/>
  <c r="EN16" i="3"/>
  <c r="EH18" i="3"/>
  <c r="EI18" i="3"/>
  <c r="EI21" i="3" s="1"/>
  <c r="EJ18" i="3"/>
  <c r="EK18" i="3"/>
  <c r="EL18" i="3"/>
  <c r="EM18" i="3"/>
  <c r="EN18" i="3"/>
  <c r="EH20" i="3"/>
  <c r="EI20" i="3"/>
  <c r="EJ20" i="3"/>
  <c r="EK20" i="3"/>
  <c r="EL20" i="3"/>
  <c r="EM20" i="3"/>
  <c r="EN20" i="3"/>
  <c r="EH21" i="3"/>
  <c r="EO14" i="3" l="1"/>
  <c r="EQ21" i="3"/>
  <c r="EL21" i="3"/>
  <c r="EK21" i="3"/>
  <c r="EK14" i="3"/>
  <c r="ER21" i="3"/>
  <c r="EL14" i="3"/>
  <c r="EJ21" i="3"/>
  <c r="EO21" i="3"/>
  <c r="EO22" i="3" s="1"/>
  <c r="EP21" i="3"/>
  <c r="EQ14" i="3"/>
  <c r="EQ22" i="3" s="1"/>
  <c r="EL26" i="2"/>
  <c r="EK26" i="2"/>
  <c r="EL19" i="2"/>
  <c r="EM26" i="2"/>
  <c r="EN26" i="2"/>
  <c r="EH19" i="2"/>
  <c r="EO26" i="2"/>
  <c r="EO27" i="2" s="1"/>
  <c r="EN27" i="2"/>
  <c r="EJ19" i="2"/>
  <c r="EJ26" i="2"/>
  <c r="EI26" i="2"/>
  <c r="EH26" i="2"/>
  <c r="EK19" i="2"/>
  <c r="EI19" i="2"/>
  <c r="EP14" i="3"/>
  <c r="EP22" i="3" s="1"/>
  <c r="ES14" i="3"/>
  <c r="EH14" i="3"/>
  <c r="EH22" i="3" s="1"/>
  <c r="EU21" i="3"/>
  <c r="ET21" i="3"/>
  <c r="ES21" i="3"/>
  <c r="EN21" i="3"/>
  <c r="EM21" i="3"/>
  <c r="EK22" i="3"/>
  <c r="EM14" i="3"/>
  <c r="EU14" i="3"/>
  <c r="ET14" i="3"/>
  <c r="ER14" i="3"/>
  <c r="ER22" i="3" s="1"/>
  <c r="EI14" i="3"/>
  <c r="EI22" i="3" s="1"/>
  <c r="EN14" i="3"/>
  <c r="EJ14" i="3"/>
  <c r="EL22" i="3" l="1"/>
  <c r="EJ22" i="3"/>
  <c r="EK27" i="2"/>
  <c r="EL27" i="2"/>
  <c r="EM27" i="2"/>
  <c r="EI27" i="2"/>
  <c r="EH27" i="2"/>
  <c r="EJ27" i="2"/>
  <c r="EN22" i="3"/>
  <c r="EM22" i="3"/>
  <c r="ES22" i="3"/>
  <c r="EU22" i="3"/>
  <c r="ET22" i="3"/>
  <c r="K17" i="6" l="1"/>
  <c r="EJ3" i="2" l="1"/>
  <c r="EK3" i="2"/>
  <c r="EL3" i="2"/>
  <c r="EM3" i="2"/>
  <c r="EN3" i="2"/>
  <c r="EH3" i="2"/>
  <c r="EI3" i="2"/>
  <c r="DY3" i="2"/>
  <c r="DZ3" i="2"/>
  <c r="EA3" i="2"/>
  <c r="EB3" i="2"/>
  <c r="EC3" i="2"/>
  <c r="EE3" i="2"/>
  <c r="EF3" i="2"/>
  <c r="EG3" i="2"/>
  <c r="ED3" i="2"/>
  <c r="EE14" i="2"/>
  <c r="EF14" i="2"/>
  <c r="EF19" i="2" s="1"/>
  <c r="EG14" i="2"/>
  <c r="EG19" i="2" s="1"/>
  <c r="EE16" i="2"/>
  <c r="EF16" i="2"/>
  <c r="EG16" i="2"/>
  <c r="EE21" i="2"/>
  <c r="EF21" i="2"/>
  <c r="EG21" i="2"/>
  <c r="EE23" i="2"/>
  <c r="EF23" i="2"/>
  <c r="EG23" i="2"/>
  <c r="EE25" i="2"/>
  <c r="EF25" i="2"/>
  <c r="EG25" i="2"/>
  <c r="EE19" i="2" l="1"/>
  <c r="EG26" i="2"/>
  <c r="EG27" i="2"/>
  <c r="EF26" i="2"/>
  <c r="EF27" i="2" s="1"/>
  <c r="EE26" i="2"/>
  <c r="DU14" i="2"/>
  <c r="DV14" i="2"/>
  <c r="DW14" i="2"/>
  <c r="DX14" i="2"/>
  <c r="DX19" i="2" s="1"/>
  <c r="DY14" i="2"/>
  <c r="DY19" i="2" s="1"/>
  <c r="DZ14" i="2"/>
  <c r="DZ19" i="2" s="1"/>
  <c r="EA14" i="2"/>
  <c r="EB14" i="2"/>
  <c r="EC14" i="2"/>
  <c r="ED14" i="2"/>
  <c r="DU16" i="2"/>
  <c r="DV16" i="2"/>
  <c r="DW16" i="2"/>
  <c r="DX16" i="2"/>
  <c r="DY16" i="2"/>
  <c r="DZ16" i="2"/>
  <c r="EA16" i="2"/>
  <c r="EB16" i="2"/>
  <c r="EC16" i="2"/>
  <c r="ED16" i="2"/>
  <c r="DU21" i="2"/>
  <c r="DV21" i="2"/>
  <c r="DW21" i="2"/>
  <c r="DX21" i="2"/>
  <c r="DY21" i="2"/>
  <c r="DZ21" i="2"/>
  <c r="EA21" i="2"/>
  <c r="EB21" i="2"/>
  <c r="EC21" i="2"/>
  <c r="ED21" i="2"/>
  <c r="DU23" i="2"/>
  <c r="DV23" i="2"/>
  <c r="DW23" i="2"/>
  <c r="DX23" i="2"/>
  <c r="DY23" i="2"/>
  <c r="DZ23" i="2"/>
  <c r="EA23" i="2"/>
  <c r="EB23" i="2"/>
  <c r="EC23" i="2"/>
  <c r="ED23" i="2"/>
  <c r="DU25" i="2"/>
  <c r="DV25" i="2"/>
  <c r="DW25" i="2"/>
  <c r="DX25" i="2"/>
  <c r="DY25" i="2"/>
  <c r="DZ25" i="2"/>
  <c r="EA25" i="2"/>
  <c r="EB25" i="2"/>
  <c r="EC25" i="2"/>
  <c r="ED25" i="2"/>
  <c r="K5" i="6"/>
  <c r="K26" i="6"/>
  <c r="DZ26" i="2" l="1"/>
  <c r="DZ27" i="2" s="1"/>
  <c r="EC19" i="2"/>
  <c r="EB19" i="2"/>
  <c r="EA19" i="2"/>
  <c r="DW19" i="2"/>
  <c r="DV19" i="2"/>
  <c r="ED26" i="2"/>
  <c r="DW26" i="2"/>
  <c r="DW27" i="2" s="1"/>
  <c r="EC26" i="2"/>
  <c r="DV26" i="2"/>
  <c r="DV27" i="2" s="1"/>
  <c r="EB26" i="2"/>
  <c r="DU26" i="2"/>
  <c r="EE27" i="2"/>
  <c r="DY26" i="2"/>
  <c r="DY27" i="2" s="1"/>
  <c r="EA26" i="2"/>
  <c r="EA27" i="2" s="1"/>
  <c r="DX26" i="2"/>
  <c r="DX27" i="2" s="1"/>
  <c r="DU19" i="2"/>
  <c r="ED19" i="2"/>
  <c r="K8" i="6"/>
  <c r="K21" i="6"/>
  <c r="K24" i="6"/>
  <c r="K23" i="6"/>
  <c r="K19" i="6"/>
  <c r="K16" i="6"/>
  <c r="K12" i="6"/>
  <c r="K7" i="6"/>
  <c r="K13" i="6"/>
  <c r="K22" i="6"/>
  <c r="K20" i="6"/>
  <c r="K15" i="6"/>
  <c r="K14" i="6"/>
  <c r="K11" i="6"/>
  <c r="K31" i="6" l="1"/>
  <c r="K29" i="6"/>
  <c r="K30" i="6"/>
  <c r="EB27" i="2"/>
  <c r="ED27" i="2"/>
  <c r="EC27" i="2"/>
  <c r="DU27" i="2"/>
  <c r="EA5" i="3"/>
  <c r="EB5" i="3"/>
  <c r="EC5" i="3"/>
  <c r="ED5" i="3"/>
  <c r="EE5" i="3"/>
  <c r="EF5" i="3"/>
  <c r="EG5" i="3"/>
  <c r="EA7" i="3"/>
  <c r="EB7" i="3"/>
  <c r="EC7" i="3"/>
  <c r="ED7" i="3"/>
  <c r="EE7" i="3"/>
  <c r="EF7" i="3"/>
  <c r="EG7" i="3"/>
  <c r="EA9" i="3"/>
  <c r="EB9" i="3"/>
  <c r="EC9" i="3"/>
  <c r="ED9" i="3"/>
  <c r="EE9" i="3"/>
  <c r="EF9" i="3"/>
  <c r="EG9" i="3"/>
  <c r="EA11" i="3"/>
  <c r="EB11" i="3"/>
  <c r="EC11" i="3"/>
  <c r="ED11" i="3"/>
  <c r="EE11" i="3"/>
  <c r="EF11" i="3"/>
  <c r="EG11" i="3"/>
  <c r="EA13" i="3"/>
  <c r="EB13" i="3"/>
  <c r="EC13" i="3"/>
  <c r="ED13" i="3"/>
  <c r="EE13" i="3"/>
  <c r="EF13" i="3"/>
  <c r="EG13" i="3"/>
  <c r="EA16" i="3"/>
  <c r="EB16" i="3"/>
  <c r="EC16" i="3"/>
  <c r="ED16" i="3"/>
  <c r="EE16" i="3"/>
  <c r="EF16" i="3"/>
  <c r="EG16" i="3"/>
  <c r="EA18" i="3"/>
  <c r="EB18" i="3"/>
  <c r="EC18" i="3"/>
  <c r="ED18" i="3"/>
  <c r="EE18" i="3"/>
  <c r="EF18" i="3"/>
  <c r="EG18" i="3"/>
  <c r="EA20" i="3"/>
  <c r="EB20" i="3"/>
  <c r="EC20" i="3"/>
  <c r="ED20" i="3"/>
  <c r="EE20" i="3"/>
  <c r="EF20" i="3"/>
  <c r="EG20" i="3"/>
  <c r="K32" i="6" l="1"/>
  <c r="EG14" i="3"/>
  <c r="EF21" i="3"/>
  <c r="ED21" i="3"/>
  <c r="EE21" i="3"/>
  <c r="EG21" i="3"/>
  <c r="ED14" i="3"/>
  <c r="EB14" i="3"/>
  <c r="EF14" i="3"/>
  <c r="EE14" i="3"/>
  <c r="EE22" i="3" s="1"/>
  <c r="ED22" i="3"/>
  <c r="EB21" i="3"/>
  <c r="EA21" i="3"/>
  <c r="EC21" i="3"/>
  <c r="EA14" i="3"/>
  <c r="EC14" i="3"/>
  <c r="EF22" i="3" l="1"/>
  <c r="EG22" i="3"/>
  <c r="EC22" i="3"/>
  <c r="EB22" i="3"/>
  <c r="EA22" i="3"/>
  <c r="B35" i="6" l="1"/>
  <c r="E40" i="6" l="1"/>
  <c r="F40" i="6"/>
  <c r="G40" i="6"/>
  <c r="H40" i="6"/>
  <c r="I40" i="6"/>
  <c r="J40" i="6"/>
  <c r="DM3" i="2" l="1"/>
  <c r="DN3" i="2"/>
  <c r="DO3" i="2"/>
  <c r="DP3" i="2"/>
  <c r="DQ3" i="2"/>
  <c r="DR3" i="2"/>
  <c r="DS3" i="2"/>
  <c r="DO14" i="2"/>
  <c r="DP14" i="2"/>
  <c r="DQ14" i="2"/>
  <c r="DR14" i="2"/>
  <c r="DS14" i="2"/>
  <c r="DT14" i="2"/>
  <c r="DO16" i="2"/>
  <c r="DP16" i="2"/>
  <c r="DQ16" i="2"/>
  <c r="DR16" i="2"/>
  <c r="DS16" i="2"/>
  <c r="DT16" i="2"/>
  <c r="DO21" i="2"/>
  <c r="DP21" i="2"/>
  <c r="DQ21" i="2"/>
  <c r="DR21" i="2"/>
  <c r="DS21" i="2"/>
  <c r="DS26" i="2" s="1"/>
  <c r="DT21" i="2"/>
  <c r="DT26" i="2" s="1"/>
  <c r="DO23" i="2"/>
  <c r="DP23" i="2"/>
  <c r="DQ23" i="2"/>
  <c r="DR23" i="2"/>
  <c r="DS23" i="2"/>
  <c r="DT23" i="2"/>
  <c r="DO25" i="2"/>
  <c r="DP25" i="2"/>
  <c r="DQ25" i="2"/>
  <c r="DR25" i="2"/>
  <c r="DS25" i="2"/>
  <c r="DT25" i="2"/>
  <c r="DP26" i="2"/>
  <c r="DQ26" i="2"/>
  <c r="DR26" i="2"/>
  <c r="DQ19" i="2" l="1"/>
  <c r="DQ27" i="2" s="1"/>
  <c r="DP19" i="2"/>
  <c r="DO26" i="2"/>
  <c r="DP27" i="2"/>
  <c r="DO19" i="2"/>
  <c r="DT19" i="2"/>
  <c r="DT27" i="2" s="1"/>
  <c r="DS19" i="2"/>
  <c r="DS27" i="2" s="1"/>
  <c r="DR19" i="2"/>
  <c r="DR27" i="2" s="1"/>
  <c r="DO27" i="2" l="1"/>
  <c r="F49" i="6"/>
  <c r="C48" i="6"/>
  <c r="C47" i="6"/>
  <c r="C46" i="6"/>
  <c r="J41" i="6"/>
  <c r="I41" i="6"/>
  <c r="H41" i="6"/>
  <c r="G41" i="6"/>
  <c r="F41" i="6"/>
  <c r="E41" i="6"/>
  <c r="B37" i="6"/>
  <c r="C31" i="6"/>
  <c r="B31" i="6"/>
  <c r="C29" i="6"/>
  <c r="C30" i="6"/>
  <c r="B30" i="6"/>
  <c r="L1" i="6"/>
  <c r="M1" i="6" s="1"/>
  <c r="N1" i="6" s="1"/>
  <c r="O1" i="6" s="1"/>
  <c r="P1" i="6" s="1"/>
  <c r="Q1" i="6" s="1"/>
  <c r="R1" i="6" s="1"/>
  <c r="E1" i="6"/>
  <c r="F1" i="6" s="1"/>
  <c r="G1" i="6" s="1"/>
  <c r="H1" i="6" s="1"/>
  <c r="I1" i="6" s="1"/>
  <c r="J1" i="6" s="1"/>
  <c r="B32" i="6" l="1"/>
  <c r="C32" i="6"/>
  <c r="B38" i="6"/>
  <c r="B36" i="6"/>
  <c r="B39" i="6"/>
  <c r="D50" i="6" l="1"/>
  <c r="DT5" i="3"/>
  <c r="DU5" i="3"/>
  <c r="DV5" i="3"/>
  <c r="DW5" i="3"/>
  <c r="DX5" i="3"/>
  <c r="DY5" i="3"/>
  <c r="DZ5" i="3"/>
  <c r="DT7" i="3"/>
  <c r="DU7" i="3"/>
  <c r="DV7" i="3"/>
  <c r="DW7" i="3"/>
  <c r="DX7" i="3"/>
  <c r="DY7" i="3"/>
  <c r="DZ7" i="3"/>
  <c r="DT9" i="3"/>
  <c r="DU9" i="3"/>
  <c r="DV9" i="3"/>
  <c r="DW9" i="3"/>
  <c r="DX9" i="3"/>
  <c r="DY9" i="3"/>
  <c r="DZ9" i="3"/>
  <c r="DT11" i="3"/>
  <c r="DU11" i="3"/>
  <c r="DV11" i="3"/>
  <c r="DW11" i="3"/>
  <c r="DX11" i="3"/>
  <c r="DY11" i="3"/>
  <c r="DZ11" i="3"/>
  <c r="DT13" i="3"/>
  <c r="DU13" i="3"/>
  <c r="DV13" i="3"/>
  <c r="DW13" i="3"/>
  <c r="DX13" i="3"/>
  <c r="DY13" i="3"/>
  <c r="DZ13" i="3"/>
  <c r="DT16" i="3"/>
  <c r="DU16" i="3"/>
  <c r="DV16" i="3"/>
  <c r="DW16" i="3"/>
  <c r="DX16" i="3"/>
  <c r="DY16" i="3"/>
  <c r="DZ16" i="3"/>
  <c r="DT18" i="3"/>
  <c r="DU18" i="3"/>
  <c r="DV18" i="3"/>
  <c r="DW18" i="3"/>
  <c r="DX18" i="3"/>
  <c r="DY18" i="3"/>
  <c r="DZ18" i="3"/>
  <c r="DT20" i="3"/>
  <c r="DU20" i="3"/>
  <c r="DV20" i="3"/>
  <c r="DW20" i="3"/>
  <c r="DX20" i="3"/>
  <c r="DY20" i="3"/>
  <c r="DZ20" i="3"/>
  <c r="DN5" i="3"/>
  <c r="DO5" i="3"/>
  <c r="DP5" i="3"/>
  <c r="DQ5" i="3"/>
  <c r="DR5" i="3"/>
  <c r="DS5" i="3"/>
  <c r="DN7" i="3"/>
  <c r="DO7" i="3"/>
  <c r="DP7" i="3"/>
  <c r="DQ7" i="3"/>
  <c r="DR7" i="3"/>
  <c r="DS7" i="3"/>
  <c r="DN9" i="3"/>
  <c r="DO9" i="3"/>
  <c r="DP9" i="3"/>
  <c r="DQ9" i="3"/>
  <c r="DR9" i="3"/>
  <c r="DS9" i="3"/>
  <c r="DN11" i="3"/>
  <c r="DO11" i="3"/>
  <c r="DP11" i="3"/>
  <c r="DQ11" i="3"/>
  <c r="DR11" i="3"/>
  <c r="DS11" i="3"/>
  <c r="DN13" i="3"/>
  <c r="DO13" i="3"/>
  <c r="DP13" i="3"/>
  <c r="DQ13" i="3"/>
  <c r="DR13" i="3"/>
  <c r="DS13" i="3"/>
  <c r="DN16" i="3"/>
  <c r="DO16" i="3"/>
  <c r="DP16" i="3"/>
  <c r="DQ16" i="3"/>
  <c r="DR16" i="3"/>
  <c r="DS16" i="3"/>
  <c r="DN18" i="3"/>
  <c r="DO18" i="3"/>
  <c r="DP18" i="3"/>
  <c r="DQ18" i="3"/>
  <c r="DR18" i="3"/>
  <c r="DS18" i="3"/>
  <c r="DN20" i="3"/>
  <c r="DO20" i="3"/>
  <c r="DP20" i="3"/>
  <c r="DQ20" i="3"/>
  <c r="DR20" i="3"/>
  <c r="DS20" i="3"/>
  <c r="DZ21" i="3" l="1"/>
  <c r="DV21" i="3"/>
  <c r="DT21" i="3"/>
  <c r="DU21" i="3"/>
  <c r="DY21" i="3"/>
  <c r="DW21" i="3"/>
  <c r="DW14" i="3"/>
  <c r="DW22" i="3" s="1"/>
  <c r="DV14" i="3"/>
  <c r="DT14" i="3"/>
  <c r="DT22" i="3" s="1"/>
  <c r="DV22" i="3"/>
  <c r="DS21" i="3"/>
  <c r="DX21" i="3"/>
  <c r="DR21" i="3"/>
  <c r="DX14" i="3"/>
  <c r="DZ14" i="3"/>
  <c r="DZ22" i="3" s="1"/>
  <c r="DY14" i="3"/>
  <c r="DU14" i="3"/>
  <c r="DQ21" i="3"/>
  <c r="DP21" i="3"/>
  <c r="DO21" i="3"/>
  <c r="DN21" i="3"/>
  <c r="DR14" i="3"/>
  <c r="DP14" i="3"/>
  <c r="DO14" i="3"/>
  <c r="DS14" i="3"/>
  <c r="DQ14" i="3"/>
  <c r="DN14" i="3"/>
  <c r="DF5" i="3"/>
  <c r="DG5" i="3"/>
  <c r="DH5" i="3"/>
  <c r="DI5" i="3"/>
  <c r="DJ5" i="3"/>
  <c r="DK5" i="3"/>
  <c r="DL5" i="3"/>
  <c r="DM5" i="3"/>
  <c r="DF7" i="3"/>
  <c r="DG7" i="3"/>
  <c r="DH7" i="3"/>
  <c r="DI7" i="3"/>
  <c r="DJ7" i="3"/>
  <c r="DK7" i="3"/>
  <c r="DL7" i="3"/>
  <c r="DM7" i="3"/>
  <c r="DF9" i="3"/>
  <c r="DG9" i="3"/>
  <c r="DH9" i="3"/>
  <c r="DI9" i="3"/>
  <c r="DJ9" i="3"/>
  <c r="DK9" i="3"/>
  <c r="DL9" i="3"/>
  <c r="DM9" i="3"/>
  <c r="DF11" i="3"/>
  <c r="DG11" i="3"/>
  <c r="DH11" i="3"/>
  <c r="DI11" i="3"/>
  <c r="DJ11" i="3"/>
  <c r="DK11" i="3"/>
  <c r="DL11" i="3"/>
  <c r="DM11" i="3"/>
  <c r="DF13" i="3"/>
  <c r="DG13" i="3"/>
  <c r="DH13" i="3"/>
  <c r="DI13" i="3"/>
  <c r="DJ13" i="3"/>
  <c r="DK13" i="3"/>
  <c r="DL13" i="3"/>
  <c r="DM13" i="3"/>
  <c r="DF16" i="3"/>
  <c r="DG16" i="3"/>
  <c r="DH16" i="3"/>
  <c r="DI16" i="3"/>
  <c r="DJ16" i="3"/>
  <c r="DK16" i="3"/>
  <c r="DL16" i="3"/>
  <c r="DM16" i="3"/>
  <c r="DF18" i="3"/>
  <c r="DG18" i="3"/>
  <c r="DH18" i="3"/>
  <c r="DI18" i="3"/>
  <c r="DJ18" i="3"/>
  <c r="DK18" i="3"/>
  <c r="DL18" i="3"/>
  <c r="DM18" i="3"/>
  <c r="DF20" i="3"/>
  <c r="DG20" i="3"/>
  <c r="DH20" i="3"/>
  <c r="DI20" i="3"/>
  <c r="DJ20" i="3"/>
  <c r="DK20" i="3"/>
  <c r="DL20" i="3"/>
  <c r="DM20" i="3"/>
  <c r="DS22" i="3" l="1"/>
  <c r="DU22" i="3"/>
  <c r="DY22" i="3"/>
  <c r="DX22" i="3"/>
  <c r="DP22" i="3"/>
  <c r="DR22" i="3"/>
  <c r="DM21" i="3"/>
  <c r="DJ21" i="3"/>
  <c r="DI21" i="3"/>
  <c r="DH21" i="3"/>
  <c r="DG21" i="3"/>
  <c r="DQ22" i="3"/>
  <c r="DO22" i="3"/>
  <c r="DN22" i="3"/>
  <c r="DL21" i="3"/>
  <c r="DK21" i="3"/>
  <c r="DF21" i="3"/>
  <c r="DG14" i="3"/>
  <c r="DL14" i="3"/>
  <c r="DI14" i="3"/>
  <c r="DF14" i="3"/>
  <c r="DH14" i="3"/>
  <c r="DK14" i="3"/>
  <c r="DM14" i="3"/>
  <c r="DM22" i="3" s="1"/>
  <c r="DJ14" i="3"/>
  <c r="DJ22" i="3" l="1"/>
  <c r="DG22" i="3"/>
  <c r="DI22" i="3"/>
  <c r="DK22" i="3"/>
  <c r="DH22" i="3"/>
  <c r="DF22" i="3"/>
  <c r="DL22" i="3"/>
  <c r="DF3" i="2"/>
  <c r="DG3" i="2"/>
  <c r="DH3" i="2"/>
  <c r="DI3" i="2"/>
  <c r="DJ3" i="2"/>
  <c r="DK3" i="2"/>
  <c r="DL3" i="2"/>
  <c r="DJ14" i="2"/>
  <c r="DK14" i="2"/>
  <c r="DL14" i="2"/>
  <c r="DM14" i="2"/>
  <c r="DN14" i="2"/>
  <c r="DJ16" i="2"/>
  <c r="DK16" i="2"/>
  <c r="DL16" i="2"/>
  <c r="DM16" i="2"/>
  <c r="DN16" i="2"/>
  <c r="DJ19" i="2"/>
  <c r="DJ21" i="2"/>
  <c r="DK21" i="2"/>
  <c r="DL21" i="2"/>
  <c r="DM21" i="2"/>
  <c r="DN21" i="2"/>
  <c r="DJ23" i="2"/>
  <c r="DK23" i="2"/>
  <c r="DL23" i="2"/>
  <c r="DM23" i="2"/>
  <c r="DN23" i="2"/>
  <c r="DJ25" i="2"/>
  <c r="DK25" i="2"/>
  <c r="DL25" i="2"/>
  <c r="DM25" i="2"/>
  <c r="DM26" i="2" s="1"/>
  <c r="DN25" i="2"/>
  <c r="DN26" i="2" s="1"/>
  <c r="DF14" i="2"/>
  <c r="DG14" i="2"/>
  <c r="DH14" i="2"/>
  <c r="DI14" i="2"/>
  <c r="DF16" i="2"/>
  <c r="DG16" i="2"/>
  <c r="DH16" i="2"/>
  <c r="DI16" i="2"/>
  <c r="DF21" i="2"/>
  <c r="DF26" i="2" s="1"/>
  <c r="DG21" i="2"/>
  <c r="DG26" i="2" s="1"/>
  <c r="DH21" i="2"/>
  <c r="DI21" i="2"/>
  <c r="DF23" i="2"/>
  <c r="DG23" i="2"/>
  <c r="DH23" i="2"/>
  <c r="DI23" i="2"/>
  <c r="DF25" i="2"/>
  <c r="DG25" i="2"/>
  <c r="DH25" i="2"/>
  <c r="DI25" i="2"/>
  <c r="DL26" i="2" l="1"/>
  <c r="DL27" i="2" s="1"/>
  <c r="DK26" i="2"/>
  <c r="DI19" i="2"/>
  <c r="DG19" i="2"/>
  <c r="DG27" i="2" s="1"/>
  <c r="DH19" i="2"/>
  <c r="DN19" i="2"/>
  <c r="DN27" i="2" s="1"/>
  <c r="DF19" i="2"/>
  <c r="DF27" i="2" s="1"/>
  <c r="DL19" i="2"/>
  <c r="DI26" i="2"/>
  <c r="DK19" i="2"/>
  <c r="DH26" i="2"/>
  <c r="DM19" i="2"/>
  <c r="DM27" i="2" s="1"/>
  <c r="DJ26" i="2"/>
  <c r="DJ27" i="2" s="1"/>
  <c r="DK27" i="2" l="1"/>
  <c r="DI27" i="2"/>
  <c r="DH27" i="2"/>
  <c r="DA14" i="2"/>
  <c r="DB14" i="2"/>
  <c r="DC14" i="2"/>
  <c r="DD14" i="2"/>
  <c r="DE14" i="2"/>
  <c r="DA16" i="2"/>
  <c r="DB16" i="2"/>
  <c r="DC16" i="2"/>
  <c r="DD16" i="2"/>
  <c r="DE16" i="2"/>
  <c r="DA21" i="2"/>
  <c r="DB21" i="2"/>
  <c r="DC21" i="2"/>
  <c r="DC26" i="2" s="1"/>
  <c r="DD21" i="2"/>
  <c r="DE21" i="2"/>
  <c r="DA23" i="2"/>
  <c r="DB23" i="2"/>
  <c r="DC23" i="2"/>
  <c r="DD23" i="2"/>
  <c r="DE23" i="2"/>
  <c r="DA25" i="2"/>
  <c r="DB25" i="2"/>
  <c r="DC25" i="2"/>
  <c r="DD25" i="2"/>
  <c r="DE25" i="2"/>
  <c r="DE3" i="2"/>
  <c r="CZ23" i="2"/>
  <c r="CY23" i="2"/>
  <c r="CX23" i="2"/>
  <c r="CW23" i="2"/>
  <c r="CV23" i="2"/>
  <c r="CU23" i="2"/>
  <c r="CT23" i="2"/>
  <c r="CS23" i="2"/>
  <c r="CR23" i="2"/>
  <c r="DD26" i="2" l="1"/>
  <c r="DD19" i="2"/>
  <c r="DD27" i="2" s="1"/>
  <c r="DB19" i="2"/>
  <c r="DC19" i="2"/>
  <c r="DC27" i="2" s="1"/>
  <c r="DE26" i="2"/>
  <c r="DA19" i="2"/>
  <c r="DE19" i="2"/>
  <c r="DB26" i="2"/>
  <c r="DA26" i="2"/>
  <c r="DB27" i="2" l="1"/>
  <c r="DE27" i="2"/>
  <c r="DA27" i="2"/>
  <c r="CR14" i="2"/>
  <c r="CS14" i="2"/>
  <c r="CT14" i="2"/>
  <c r="CU14" i="2"/>
  <c r="CV14" i="2"/>
  <c r="CW14" i="2"/>
  <c r="CX14" i="2"/>
  <c r="CY14" i="2"/>
  <c r="CY19" i="2" s="1"/>
  <c r="CZ14" i="2"/>
  <c r="CZ19" i="2" s="1"/>
  <c r="CR16" i="2"/>
  <c r="CS16" i="2"/>
  <c r="CT16" i="2"/>
  <c r="CU16" i="2"/>
  <c r="CV16" i="2"/>
  <c r="CW16" i="2"/>
  <c r="CX16" i="2"/>
  <c r="CY16" i="2"/>
  <c r="CZ16" i="2"/>
  <c r="CR21" i="2"/>
  <c r="CS21" i="2"/>
  <c r="CT21" i="2"/>
  <c r="CT26" i="2" s="1"/>
  <c r="CU21" i="2"/>
  <c r="CV21" i="2"/>
  <c r="CW21" i="2"/>
  <c r="CX21" i="2"/>
  <c r="CY21" i="2"/>
  <c r="CZ21" i="2"/>
  <c r="CR25" i="2"/>
  <c r="CS25" i="2"/>
  <c r="CT25" i="2"/>
  <c r="CU25" i="2"/>
  <c r="CV25" i="2"/>
  <c r="CW25" i="2"/>
  <c r="CX25" i="2"/>
  <c r="CY25" i="2"/>
  <c r="CZ25" i="2"/>
  <c r="CU3" i="2"/>
  <c r="CV3" i="2"/>
  <c r="CX3" i="2"/>
  <c r="CY3" i="2"/>
  <c r="CZ3" i="2"/>
  <c r="DA3" i="2"/>
  <c r="DB3" i="2"/>
  <c r="DC3" i="2"/>
  <c r="DD3" i="2"/>
  <c r="CW3" i="2"/>
  <c r="CZ26" i="2" l="1"/>
  <c r="CU19" i="2"/>
  <c r="CT19" i="2"/>
  <c r="CT27" i="2" s="1"/>
  <c r="CS26" i="2"/>
  <c r="CX26" i="2"/>
  <c r="CV26" i="2"/>
  <c r="CU26" i="2"/>
  <c r="CX19" i="2"/>
  <c r="CX27" i="2" s="1"/>
  <c r="CS19" i="2"/>
  <c r="CY26" i="2"/>
  <c r="CW26" i="2"/>
  <c r="CR19" i="2"/>
  <c r="CV19" i="2"/>
  <c r="CV27" i="2" s="1"/>
  <c r="CW19" i="2"/>
  <c r="CW27" i="2" s="1"/>
  <c r="CZ27" i="2"/>
  <c r="CR26" i="2"/>
  <c r="CR27" i="2" s="1"/>
  <c r="CY27" i="2"/>
  <c r="CU27" i="2" l="1"/>
  <c r="CS27" i="2"/>
  <c r="CY5" i="3"/>
  <c r="CZ5" i="3"/>
  <c r="DA5" i="3"/>
  <c r="DB5" i="3"/>
  <c r="DC5" i="3"/>
  <c r="DD5" i="3"/>
  <c r="DE5" i="3"/>
  <c r="CY7" i="3"/>
  <c r="CZ7" i="3"/>
  <c r="DA7" i="3"/>
  <c r="DB7" i="3"/>
  <c r="DC7" i="3"/>
  <c r="DD7" i="3"/>
  <c r="DE7" i="3"/>
  <c r="CY9" i="3"/>
  <c r="CZ9" i="3"/>
  <c r="DA9" i="3"/>
  <c r="DB9" i="3"/>
  <c r="DC9" i="3"/>
  <c r="DD9" i="3"/>
  <c r="DE9" i="3"/>
  <c r="CY11" i="3"/>
  <c r="CZ11" i="3"/>
  <c r="DA11" i="3"/>
  <c r="DB11" i="3"/>
  <c r="DC11" i="3"/>
  <c r="DD11" i="3"/>
  <c r="DE11" i="3"/>
  <c r="CY13" i="3"/>
  <c r="CZ13" i="3"/>
  <c r="DA13" i="3"/>
  <c r="DB13" i="3"/>
  <c r="DC13" i="3"/>
  <c r="DD13" i="3"/>
  <c r="DE13" i="3"/>
  <c r="CY16" i="3"/>
  <c r="CZ16" i="3"/>
  <c r="DA16" i="3"/>
  <c r="DB16" i="3"/>
  <c r="DC16" i="3"/>
  <c r="DD16" i="3"/>
  <c r="DE16" i="3"/>
  <c r="CY18" i="3"/>
  <c r="CZ18" i="3"/>
  <c r="DA18" i="3"/>
  <c r="DB18" i="3"/>
  <c r="DC18" i="3"/>
  <c r="DD18" i="3"/>
  <c r="DE18" i="3"/>
  <c r="CY20" i="3"/>
  <c r="CZ20" i="3"/>
  <c r="DA20" i="3"/>
  <c r="DB20" i="3"/>
  <c r="DC20" i="3"/>
  <c r="DD20" i="3"/>
  <c r="DE20" i="3"/>
  <c r="CR5" i="3"/>
  <c r="CS5" i="3"/>
  <c r="CT5" i="3"/>
  <c r="CU5" i="3"/>
  <c r="CV5" i="3"/>
  <c r="CW5" i="3"/>
  <c r="CX5" i="3"/>
  <c r="CR7" i="3"/>
  <c r="CS7" i="3"/>
  <c r="CT7" i="3"/>
  <c r="CU7" i="3"/>
  <c r="CV7" i="3"/>
  <c r="CW7" i="3"/>
  <c r="CX7" i="3"/>
  <c r="CR9" i="3"/>
  <c r="CS9" i="3"/>
  <c r="CT9" i="3"/>
  <c r="CU9" i="3"/>
  <c r="CV9" i="3"/>
  <c r="CW9" i="3"/>
  <c r="CX9" i="3"/>
  <c r="CR11" i="3"/>
  <c r="CS11" i="3"/>
  <c r="CT11" i="3"/>
  <c r="CU11" i="3"/>
  <c r="CV11" i="3"/>
  <c r="CW11" i="3"/>
  <c r="CX11" i="3"/>
  <c r="CR13" i="3"/>
  <c r="CS13" i="3"/>
  <c r="CT13" i="3"/>
  <c r="CU13" i="3"/>
  <c r="CV13" i="3"/>
  <c r="CW13" i="3"/>
  <c r="CX13" i="3"/>
  <c r="CR16" i="3"/>
  <c r="CS16" i="3"/>
  <c r="CT16" i="3"/>
  <c r="CU16" i="3"/>
  <c r="CV16" i="3"/>
  <c r="CW16" i="3"/>
  <c r="CX16" i="3"/>
  <c r="CR18" i="3"/>
  <c r="CS18" i="3"/>
  <c r="CT18" i="3"/>
  <c r="CU18" i="3"/>
  <c r="CV18" i="3"/>
  <c r="CW18" i="3"/>
  <c r="CX18" i="3"/>
  <c r="CR20" i="3"/>
  <c r="CS20" i="3"/>
  <c r="CT20" i="3"/>
  <c r="CU20" i="3"/>
  <c r="CV20" i="3"/>
  <c r="CW20" i="3"/>
  <c r="CX20" i="3"/>
  <c r="CV21" i="3" l="1"/>
  <c r="CW14" i="3"/>
  <c r="CV14" i="3"/>
  <c r="CX21" i="3"/>
  <c r="CW21" i="3"/>
  <c r="CU21" i="3"/>
  <c r="CS21" i="3"/>
  <c r="CR21" i="3"/>
  <c r="CY21" i="3"/>
  <c r="CT21" i="3"/>
  <c r="DD14" i="3"/>
  <c r="DC21" i="3"/>
  <c r="DB21" i="3"/>
  <c r="DD21" i="3"/>
  <c r="CZ21" i="3"/>
  <c r="DC14" i="3"/>
  <c r="DB14" i="3"/>
  <c r="DE14" i="3"/>
  <c r="CY14" i="3"/>
  <c r="CT14" i="3"/>
  <c r="CX14" i="3"/>
  <c r="DE21" i="3"/>
  <c r="DA14" i="3"/>
  <c r="CS14" i="3"/>
  <c r="CS22" i="3" s="1"/>
  <c r="CZ14" i="3"/>
  <c r="DA21" i="3"/>
  <c r="CU14" i="3"/>
  <c r="CU22" i="3" s="1"/>
  <c r="CR14" i="3"/>
  <c r="CW22" i="3" l="1"/>
  <c r="CV22" i="3"/>
  <c r="CX22" i="3"/>
  <c r="DB22" i="3"/>
  <c r="DC22" i="3"/>
  <c r="CR22" i="3"/>
  <c r="CT22" i="3"/>
  <c r="CY22" i="3"/>
  <c r="DD22" i="3"/>
  <c r="CZ22" i="3"/>
  <c r="DE22" i="3"/>
  <c r="DA22" i="3"/>
  <c r="CF16" i="2" l="1"/>
  <c r="CQ16" i="2" l="1"/>
  <c r="CL14" i="2" l="1"/>
  <c r="CM14" i="2"/>
  <c r="CN14" i="2"/>
  <c r="CO14" i="2"/>
  <c r="CP14" i="2"/>
  <c r="CQ14" i="2"/>
  <c r="CL16" i="2"/>
  <c r="CM16" i="2"/>
  <c r="CN16" i="2"/>
  <c r="CO16" i="2"/>
  <c r="CP16" i="2"/>
  <c r="CP19" i="2" s="1"/>
  <c r="CM19" i="2"/>
  <c r="CL21" i="2"/>
  <c r="CM21" i="2"/>
  <c r="CM26" i="2" s="1"/>
  <c r="CN21" i="2"/>
  <c r="CO21" i="2"/>
  <c r="CP21" i="2"/>
  <c r="CQ21" i="2"/>
  <c r="CL25" i="2"/>
  <c r="CM25" i="2"/>
  <c r="CN25" i="2"/>
  <c r="CO25" i="2"/>
  <c r="CP25" i="2"/>
  <c r="CQ25" i="2"/>
  <c r="CL19" i="2" l="1"/>
  <c r="CM27" i="2"/>
  <c r="CL26" i="2"/>
  <c r="CQ26" i="2"/>
  <c r="CO26" i="2"/>
  <c r="CN26" i="2"/>
  <c r="CP26" i="2"/>
  <c r="CQ19" i="2"/>
  <c r="CN19" i="2"/>
  <c r="CN27" i="2" s="1"/>
  <c r="CO19" i="2"/>
  <c r="CO27" i="2" s="1"/>
  <c r="CP27" i="2"/>
  <c r="CL27" i="2" l="1"/>
  <c r="CQ27" i="2"/>
  <c r="CK5" i="3"/>
  <c r="CL5" i="3"/>
  <c r="CM5" i="3"/>
  <c r="CN5" i="3"/>
  <c r="CO5" i="3"/>
  <c r="CP5" i="3"/>
  <c r="CQ5" i="3"/>
  <c r="CK7" i="3"/>
  <c r="CL7" i="3"/>
  <c r="CM7" i="3"/>
  <c r="CN7" i="3"/>
  <c r="CO7" i="3"/>
  <c r="CP7" i="3"/>
  <c r="CQ7" i="3"/>
  <c r="CK9" i="3"/>
  <c r="CL9" i="3"/>
  <c r="CM9" i="3"/>
  <c r="CN9" i="3"/>
  <c r="CO9" i="3"/>
  <c r="CP9" i="3"/>
  <c r="CQ9" i="3"/>
  <c r="CK11" i="3"/>
  <c r="CL11" i="3"/>
  <c r="CM11" i="3"/>
  <c r="CN11" i="3"/>
  <c r="CO11" i="3"/>
  <c r="CP11" i="3"/>
  <c r="CQ11" i="3"/>
  <c r="CK13" i="3"/>
  <c r="CL13" i="3"/>
  <c r="CM13" i="3"/>
  <c r="CN13" i="3"/>
  <c r="CO13" i="3"/>
  <c r="CP13" i="3"/>
  <c r="CQ13" i="3"/>
  <c r="CK16" i="3"/>
  <c r="CL16" i="3"/>
  <c r="CM16" i="3"/>
  <c r="CN16" i="3"/>
  <c r="CO16" i="3"/>
  <c r="CP16" i="3"/>
  <c r="CQ16" i="3"/>
  <c r="CK18" i="3"/>
  <c r="CL18" i="3"/>
  <c r="CM18" i="3"/>
  <c r="CN18" i="3"/>
  <c r="CO18" i="3"/>
  <c r="CP18" i="3"/>
  <c r="CQ18" i="3"/>
  <c r="CK20" i="3"/>
  <c r="CL20" i="3"/>
  <c r="CM20" i="3"/>
  <c r="CN20" i="3"/>
  <c r="CO20" i="3"/>
  <c r="CP20" i="3"/>
  <c r="CQ20" i="3"/>
  <c r="CD5" i="3"/>
  <c r="CE5" i="3"/>
  <c r="CF5" i="3"/>
  <c r="CG5" i="3"/>
  <c r="CH5" i="3"/>
  <c r="CI5" i="3"/>
  <c r="CJ5" i="3"/>
  <c r="CD7" i="3"/>
  <c r="CE7" i="3"/>
  <c r="CF7" i="3"/>
  <c r="CG7" i="3"/>
  <c r="CH7" i="3"/>
  <c r="CI7" i="3"/>
  <c r="CJ7" i="3"/>
  <c r="CD9" i="3"/>
  <c r="CE9" i="3"/>
  <c r="CF9" i="3"/>
  <c r="CG9" i="3"/>
  <c r="CH9" i="3"/>
  <c r="CI9" i="3"/>
  <c r="CJ9" i="3"/>
  <c r="CD11" i="3"/>
  <c r="CE11" i="3"/>
  <c r="CF11" i="3"/>
  <c r="CG11" i="3"/>
  <c r="CH11" i="3"/>
  <c r="CI11" i="3"/>
  <c r="CJ11" i="3"/>
  <c r="CD13" i="3"/>
  <c r="CE13" i="3"/>
  <c r="CF13" i="3"/>
  <c r="CG13" i="3"/>
  <c r="CH13" i="3"/>
  <c r="CI13" i="3"/>
  <c r="CJ13" i="3"/>
  <c r="CD16" i="3"/>
  <c r="CE16" i="3"/>
  <c r="CF16" i="3"/>
  <c r="CG16" i="3"/>
  <c r="CH16" i="3"/>
  <c r="CI16" i="3"/>
  <c r="CJ16" i="3"/>
  <c r="CD18" i="3"/>
  <c r="CE18" i="3"/>
  <c r="CF18" i="3"/>
  <c r="CG18" i="3"/>
  <c r="CH18" i="3"/>
  <c r="CI18" i="3"/>
  <c r="CJ18" i="3"/>
  <c r="CD20" i="3"/>
  <c r="CE20" i="3"/>
  <c r="CF20" i="3"/>
  <c r="CG20" i="3"/>
  <c r="CH20" i="3"/>
  <c r="CI20" i="3"/>
  <c r="CJ20" i="3"/>
  <c r="CD21" i="3" l="1"/>
  <c r="CQ21" i="3"/>
  <c r="CH21" i="3"/>
  <c r="CG21" i="3"/>
  <c r="CN21" i="3"/>
  <c r="CF21" i="3"/>
  <c r="CE21" i="3"/>
  <c r="CI21" i="3"/>
  <c r="CP21" i="3"/>
  <c r="CO21" i="3"/>
  <c r="CM21" i="3"/>
  <c r="CL21" i="3"/>
  <c r="CK21" i="3"/>
  <c r="CJ21" i="3"/>
  <c r="CN14" i="3"/>
  <c r="CM14" i="3"/>
  <c r="CL14" i="3"/>
  <c r="CK14" i="3"/>
  <c r="CJ14" i="3"/>
  <c r="CI14" i="3"/>
  <c r="CH14" i="3"/>
  <c r="CD14" i="3"/>
  <c r="CG14" i="3"/>
  <c r="CF14" i="3"/>
  <c r="CF22" i="3" s="1"/>
  <c r="CE14" i="3"/>
  <c r="CE22" i="3" s="1"/>
  <c r="CQ14" i="3"/>
  <c r="CP14" i="3"/>
  <c r="CP22" i="3" s="1"/>
  <c r="CO14" i="3"/>
  <c r="CO22" i="3" s="1"/>
  <c r="CQ22" i="3" l="1"/>
  <c r="CG22" i="3"/>
  <c r="CD22" i="3"/>
  <c r="CH22" i="3"/>
  <c r="CN22" i="3"/>
  <c r="CM22" i="3"/>
  <c r="CI22" i="3"/>
  <c r="CJ22" i="3"/>
  <c r="CK22" i="3"/>
  <c r="CL22" i="3"/>
  <c r="CC16" i="3" l="1"/>
  <c r="BW5" i="3"/>
  <c r="BX5" i="3"/>
  <c r="BY5" i="3"/>
  <c r="BZ5" i="3"/>
  <c r="CA5" i="3"/>
  <c r="CB5" i="3"/>
  <c r="CC5" i="3"/>
  <c r="BW7" i="3"/>
  <c r="BX7" i="3"/>
  <c r="BY7" i="3"/>
  <c r="BZ7" i="3"/>
  <c r="CA7" i="3"/>
  <c r="CB7" i="3"/>
  <c r="CC7" i="3"/>
  <c r="BW9" i="3"/>
  <c r="BX9" i="3"/>
  <c r="BY9" i="3"/>
  <c r="BZ9" i="3"/>
  <c r="CA9" i="3"/>
  <c r="CB9" i="3"/>
  <c r="CC9" i="3"/>
  <c r="BW11" i="3"/>
  <c r="BX11" i="3"/>
  <c r="BY11" i="3"/>
  <c r="BZ11" i="3"/>
  <c r="CA11" i="3"/>
  <c r="CB11" i="3"/>
  <c r="CC11" i="3"/>
  <c r="BW13" i="3"/>
  <c r="BX13" i="3"/>
  <c r="BY13" i="3"/>
  <c r="BZ13" i="3"/>
  <c r="CA13" i="3"/>
  <c r="CB13" i="3"/>
  <c r="CC13" i="3"/>
  <c r="BW16" i="3"/>
  <c r="BX16" i="3"/>
  <c r="BY16" i="3"/>
  <c r="BZ16" i="3"/>
  <c r="CA16" i="3"/>
  <c r="CB16" i="3"/>
  <c r="BW18" i="3"/>
  <c r="BX18" i="3"/>
  <c r="BY18" i="3"/>
  <c r="BZ18" i="3"/>
  <c r="CA18" i="3"/>
  <c r="CB18" i="3"/>
  <c r="CC18" i="3"/>
  <c r="BW20" i="3"/>
  <c r="BX20" i="3"/>
  <c r="BY20" i="3"/>
  <c r="BZ20" i="3"/>
  <c r="CA20" i="3"/>
  <c r="CB20" i="3"/>
  <c r="CC20" i="3"/>
  <c r="BW21" i="3" l="1"/>
  <c r="BY21" i="3"/>
  <c r="BZ21" i="3"/>
  <c r="CC21" i="3"/>
  <c r="CB21" i="3"/>
  <c r="CA21" i="3"/>
  <c r="BX21" i="3"/>
  <c r="BW14" i="3"/>
  <c r="BY14" i="3"/>
  <c r="BX14" i="3"/>
  <c r="CC14" i="3"/>
  <c r="CA14" i="3"/>
  <c r="CB14" i="3"/>
  <c r="BZ14" i="3"/>
  <c r="CD14" i="2"/>
  <c r="CE14" i="2"/>
  <c r="CF14" i="2"/>
  <c r="CG14" i="2"/>
  <c r="CH14" i="2"/>
  <c r="CI14" i="2"/>
  <c r="CJ14" i="2"/>
  <c r="CK14" i="2"/>
  <c r="CD16" i="2"/>
  <c r="CE16" i="2"/>
  <c r="CE19" i="2" s="1"/>
  <c r="CF19" i="2"/>
  <c r="CG16" i="2"/>
  <c r="CH16" i="2"/>
  <c r="CH19" i="2" s="1"/>
  <c r="CI16" i="2"/>
  <c r="CI19" i="2" s="1"/>
  <c r="CJ16" i="2"/>
  <c r="CK16" i="2"/>
  <c r="CD21" i="2"/>
  <c r="CE21" i="2"/>
  <c r="CF21" i="2"/>
  <c r="CG21" i="2"/>
  <c r="CH21" i="2"/>
  <c r="CI21" i="2"/>
  <c r="CJ21" i="2"/>
  <c r="CK21" i="2"/>
  <c r="CD25" i="2"/>
  <c r="CD26" i="2" s="1"/>
  <c r="CE25" i="2"/>
  <c r="CE26" i="2" s="1"/>
  <c r="CF25" i="2"/>
  <c r="CG25" i="2"/>
  <c r="CH25" i="2"/>
  <c r="CI25" i="2"/>
  <c r="CJ25" i="2"/>
  <c r="CK25" i="2"/>
  <c r="BT14" i="2"/>
  <c r="BU14" i="2"/>
  <c r="BV14" i="2"/>
  <c r="BW14" i="2"/>
  <c r="BX14" i="2"/>
  <c r="BY14" i="2"/>
  <c r="BY19" i="2" s="1"/>
  <c r="BZ14" i="2"/>
  <c r="BZ19" i="2" s="1"/>
  <c r="CA14" i="2"/>
  <c r="CB14" i="2"/>
  <c r="CC14" i="2"/>
  <c r="BT16" i="2"/>
  <c r="BU16" i="2"/>
  <c r="BV16" i="2"/>
  <c r="BW16" i="2"/>
  <c r="BX16" i="2"/>
  <c r="BY16" i="2"/>
  <c r="BZ16" i="2"/>
  <c r="CA16" i="2"/>
  <c r="CB16" i="2"/>
  <c r="CC16" i="2"/>
  <c r="BX19" i="2"/>
  <c r="BT21" i="2"/>
  <c r="BU21" i="2"/>
  <c r="BV21" i="2"/>
  <c r="BW21" i="2"/>
  <c r="BX21" i="2"/>
  <c r="BY21" i="2"/>
  <c r="BZ21" i="2"/>
  <c r="CA21" i="2"/>
  <c r="CA26" i="2" s="1"/>
  <c r="CB21" i="2"/>
  <c r="CB26" i="2" s="1"/>
  <c r="CC21" i="2"/>
  <c r="CC26" i="2" s="1"/>
  <c r="BT25" i="2"/>
  <c r="BU25" i="2"/>
  <c r="BV25" i="2"/>
  <c r="BW25" i="2"/>
  <c r="BX25" i="2"/>
  <c r="BY25" i="2"/>
  <c r="BZ25" i="2"/>
  <c r="CA25" i="2"/>
  <c r="CB25" i="2"/>
  <c r="CC25" i="2"/>
  <c r="BS25" i="2"/>
  <c r="BS21" i="2"/>
  <c r="BS16" i="2"/>
  <c r="BS14" i="2"/>
  <c r="BT3" i="2"/>
  <c r="BU3" i="2"/>
  <c r="BV3" i="2"/>
  <c r="BW3" i="2"/>
  <c r="BX3" i="2"/>
  <c r="BY3" i="2"/>
  <c r="BZ3" i="2"/>
  <c r="CA3" i="2"/>
  <c r="CB3" i="2"/>
  <c r="CC3" i="2"/>
  <c r="CD3" i="2"/>
  <c r="CE3" i="2"/>
  <c r="BS3" i="2"/>
  <c r="CA19" i="2" l="1"/>
  <c r="BS26" i="2"/>
  <c r="BV26" i="2"/>
  <c r="BU26" i="2"/>
  <c r="BY26" i="2"/>
  <c r="CB19" i="2"/>
  <c r="CG19" i="2"/>
  <c r="CK19" i="2"/>
  <c r="BZ26" i="2"/>
  <c r="CJ19" i="2"/>
  <c r="BW22" i="3"/>
  <c r="BY22" i="3"/>
  <c r="CG26" i="2"/>
  <c r="CG27" i="2" s="1"/>
  <c r="CF26" i="2"/>
  <c r="CF27" i="2" s="1"/>
  <c r="BS19" i="2"/>
  <c r="CD19" i="2"/>
  <c r="CD27" i="2" s="1"/>
  <c r="BT19" i="2"/>
  <c r="BX26" i="2"/>
  <c r="BX27" i="2" s="1"/>
  <c r="CC19" i="2"/>
  <c r="CC27" i="2" s="1"/>
  <c r="CE27" i="2"/>
  <c r="BZ22" i="3"/>
  <c r="CC22" i="3"/>
  <c r="CB22" i="3"/>
  <c r="CA22" i="3"/>
  <c r="BX22" i="3"/>
  <c r="CK26" i="2"/>
  <c r="CK27" i="2" s="1"/>
  <c r="CH26" i="2"/>
  <c r="CH27" i="2" s="1"/>
  <c r="CI26" i="2"/>
  <c r="CI27" i="2" s="1"/>
  <c r="CJ26" i="2"/>
  <c r="BT26" i="2"/>
  <c r="BT27" i="2" s="1"/>
  <c r="BW26" i="2"/>
  <c r="BW19" i="2"/>
  <c r="BV19" i="2"/>
  <c r="BU19" i="2"/>
  <c r="BU27" i="2" s="1"/>
  <c r="CB27" i="2"/>
  <c r="BY27" i="2"/>
  <c r="CA27" i="2"/>
  <c r="BZ27" i="2"/>
  <c r="BV27" i="2" l="1"/>
  <c r="CJ27" i="2"/>
  <c r="BS27" i="2"/>
  <c r="BW27" i="2"/>
  <c r="BV16" i="3"/>
  <c r="BP20" i="3" l="1"/>
  <c r="BQ20" i="3"/>
  <c r="BR20" i="3"/>
  <c r="BS20" i="3"/>
  <c r="BT20" i="3"/>
  <c r="BU20" i="3"/>
  <c r="BV20" i="3"/>
  <c r="BP18" i="3"/>
  <c r="BP21" i="3" s="1"/>
  <c r="BQ18" i="3"/>
  <c r="BQ21" i="3" s="1"/>
  <c r="BR18" i="3"/>
  <c r="BS18" i="3"/>
  <c r="BS21" i="3" s="1"/>
  <c r="BT18" i="3"/>
  <c r="BT21" i="3" s="1"/>
  <c r="BU18" i="3"/>
  <c r="BV18" i="3"/>
  <c r="BV21" i="3" s="1"/>
  <c r="BP16" i="3"/>
  <c r="BQ16" i="3"/>
  <c r="BR16" i="3"/>
  <c r="BS16" i="3"/>
  <c r="BT16" i="3"/>
  <c r="BU16" i="3"/>
  <c r="BN20" i="3"/>
  <c r="BN18" i="3"/>
  <c r="BN16" i="3"/>
  <c r="BN21" i="3" s="1"/>
  <c r="BO20" i="3"/>
  <c r="BO18" i="3"/>
  <c r="BO16" i="3"/>
  <c r="BV13" i="3"/>
  <c r="BU13" i="3"/>
  <c r="BT13" i="3"/>
  <c r="BS13" i="3"/>
  <c r="BR13" i="3"/>
  <c r="BQ13" i="3"/>
  <c r="BP13" i="3"/>
  <c r="BO13" i="3"/>
  <c r="BN13" i="3"/>
  <c r="BV11" i="3"/>
  <c r="BU11" i="3"/>
  <c r="BT11" i="3"/>
  <c r="BS11" i="3"/>
  <c r="BR11" i="3"/>
  <c r="BQ11" i="3"/>
  <c r="BP11" i="3"/>
  <c r="BO11" i="3"/>
  <c r="BN11" i="3"/>
  <c r="BN9" i="3"/>
  <c r="BO9" i="3"/>
  <c r="BQ9" i="3"/>
  <c r="BR9" i="3"/>
  <c r="BS9" i="3"/>
  <c r="BT9" i="3"/>
  <c r="BU9" i="3"/>
  <c r="BV9" i="3"/>
  <c r="BP9" i="3"/>
  <c r="BQ7" i="3"/>
  <c r="BR7" i="3"/>
  <c r="BS7" i="3"/>
  <c r="BT7" i="3"/>
  <c r="BU7" i="3"/>
  <c r="BV7" i="3"/>
  <c r="BP7" i="3"/>
  <c r="BP5" i="3"/>
  <c r="BQ5" i="3"/>
  <c r="BR5" i="3"/>
  <c r="BS5" i="3"/>
  <c r="BT5" i="3"/>
  <c r="BU5" i="3"/>
  <c r="BV5" i="3"/>
  <c r="BU21" i="3" l="1"/>
  <c r="BO21" i="3"/>
  <c r="BR21" i="3"/>
  <c r="BQ14" i="3"/>
  <c r="BQ22" i="3" s="1"/>
  <c r="BR14" i="3"/>
  <c r="BP14" i="3"/>
  <c r="BV14" i="3"/>
  <c r="BU14" i="3"/>
  <c r="BT14" i="3"/>
  <c r="BS14" i="3"/>
  <c r="BU22" i="3" l="1"/>
  <c r="BT22" i="3"/>
  <c r="BV22" i="3"/>
  <c r="BP22" i="3"/>
  <c r="BR22" i="3"/>
  <c r="BS22" i="3"/>
  <c r="BI21" i="3" l="1"/>
  <c r="BJ21" i="3"/>
  <c r="BK21" i="3"/>
  <c r="BL21" i="3"/>
  <c r="BM21" i="3"/>
  <c r="BI5" i="3"/>
  <c r="BJ5" i="3"/>
  <c r="BK5" i="3"/>
  <c r="BL5" i="3"/>
  <c r="BM5" i="3"/>
  <c r="BN5" i="3"/>
  <c r="BN14" i="3" s="1"/>
  <c r="BO5" i="3"/>
  <c r="BO14" i="3" s="1"/>
  <c r="BI23" i="3"/>
  <c r="BJ23" i="3"/>
  <c r="BK23" i="3"/>
  <c r="BL23" i="3"/>
  <c r="BM23" i="3"/>
  <c r="BK14" i="3" l="1"/>
  <c r="BJ14" i="3"/>
  <c r="BI14" i="3"/>
  <c r="BM14" i="3"/>
  <c r="BL14" i="3"/>
  <c r="BO22" i="3" l="1"/>
  <c r="BL22" i="3"/>
  <c r="BM22" i="3"/>
  <c r="BK22" i="3"/>
  <c r="BN22" i="3"/>
  <c r="BJ22" i="3"/>
  <c r="BI22" i="3"/>
  <c r="BP19" i="2"/>
  <c r="BP26" i="2" s="1" a="1"/>
  <c r="BP26" i="2" s="1"/>
  <c r="BQ19" i="2"/>
  <c r="BQ26" i="2" s="1" a="1"/>
  <c r="BQ26" i="2" s="1"/>
  <c r="BR19" i="2"/>
  <c r="BR26" i="2" s="1" a="1"/>
  <c r="BR26" i="2" s="1"/>
  <c r="BP29" i="2"/>
  <c r="BQ29" i="2"/>
  <c r="BR29" i="2"/>
  <c r="BP30" i="2"/>
  <c r="BQ30" i="2"/>
  <c r="BR30" i="2"/>
  <c r="BP31" i="2"/>
  <c r="BQ31" i="2"/>
  <c r="BR31" i="2"/>
  <c r="BJ19" i="2"/>
  <c r="BK19" i="2"/>
  <c r="BL19" i="2"/>
  <c r="BL26" i="2" s="1" a="1"/>
  <c r="BL26" i="2" s="1"/>
  <c r="BM19" i="2"/>
  <c r="BM26" i="2" s="1" a="1"/>
  <c r="BM26" i="2" s="1"/>
  <c r="BN19" i="2"/>
  <c r="BN26" i="2" s="1" a="1"/>
  <c r="BN26" i="2" s="1"/>
  <c r="BO19" i="2"/>
  <c r="BO26" i="2" s="1" a="1"/>
  <c r="BO26" i="2" s="1"/>
  <c r="BO27" i="2" s="1"/>
  <c r="BJ26" i="2" a="1"/>
  <c r="BJ26" i="2" s="1"/>
  <c r="BK26" i="2" a="1"/>
  <c r="BK26" i="2" s="1"/>
  <c r="BJ29" i="2"/>
  <c r="BK29" i="2"/>
  <c r="BL29" i="2"/>
  <c r="BM29" i="2"/>
  <c r="BN29" i="2"/>
  <c r="BO29" i="2"/>
  <c r="BJ30" i="2"/>
  <c r="BK30" i="2"/>
  <c r="BL30" i="2"/>
  <c r="BM30" i="2"/>
  <c r="BN30" i="2"/>
  <c r="BO30" i="2"/>
  <c r="BJ31" i="2"/>
  <c r="BK31" i="2"/>
  <c r="BL31" i="2"/>
  <c r="BM31" i="2"/>
  <c r="BN31" i="2"/>
  <c r="BO31" i="2"/>
  <c r="BR27" i="2" l="1"/>
  <c r="BP27" i="2"/>
  <c r="BN27" i="2"/>
  <c r="BM27" i="2"/>
  <c r="BL27" i="2"/>
  <c r="BK27" i="2"/>
  <c r="BJ27" i="2"/>
  <c r="BQ27" i="2"/>
  <c r="AZ30" i="2" l="1"/>
  <c r="BA30" i="2"/>
  <c r="BB30" i="2"/>
  <c r="BC30" i="2"/>
  <c r="BD30" i="2"/>
  <c r="BE30" i="2"/>
  <c r="BF30" i="2"/>
  <c r="BG30" i="2"/>
  <c r="BH30" i="2"/>
  <c r="BI30" i="2"/>
  <c r="AZ31" i="2"/>
  <c r="BA31" i="2"/>
  <c r="BB31" i="2"/>
  <c r="BC31" i="2"/>
  <c r="BD31" i="2"/>
  <c r="BE31" i="2"/>
  <c r="BF31" i="2"/>
  <c r="BG31" i="2"/>
  <c r="BH31" i="2"/>
  <c r="BI31" i="2"/>
  <c r="BH29" i="2"/>
  <c r="BI29" i="2"/>
  <c r="BB29" i="2"/>
  <c r="BC29" i="2"/>
  <c r="BD29" i="2"/>
  <c r="BE29" i="2"/>
  <c r="BF29" i="2"/>
  <c r="BG29" i="2"/>
  <c r="BA29" i="2" l="1"/>
  <c r="AZ29" i="2"/>
  <c r="BB5" i="2"/>
  <c r="BC5" i="2"/>
  <c r="BD5" i="2"/>
  <c r="BE5" i="2"/>
  <c r="BF5" i="2"/>
  <c r="BG5" i="2"/>
  <c r="BH5" i="2"/>
  <c r="BI5" i="2"/>
  <c r="BJ5" i="2"/>
  <c r="BK5" i="2"/>
  <c r="BL5" i="2"/>
  <c r="BB23" i="3"/>
  <c r="BC23" i="3"/>
  <c r="BD23" i="3"/>
  <c r="BE23" i="3"/>
  <c r="BF23" i="3"/>
  <c r="BG23" i="3"/>
  <c r="BH23" i="3"/>
  <c r="AZ23" i="3" l="1"/>
  <c r="BA23" i="3"/>
  <c r="BB21" i="3" l="1"/>
  <c r="BC21" i="3"/>
  <c r="BD21" i="3"/>
  <c r="BE21" i="3"/>
  <c r="BF21" i="3"/>
  <c r="BG21" i="3"/>
  <c r="BH21" i="3"/>
  <c r="BB5" i="3"/>
  <c r="BC5" i="3"/>
  <c r="BD5" i="3"/>
  <c r="BE5" i="3"/>
  <c r="BF5" i="3"/>
  <c r="BG5" i="3"/>
  <c r="BH5" i="3"/>
  <c r="BF14" i="3" l="1"/>
  <c r="BF22" i="3" s="1"/>
  <c r="BD14" i="3"/>
  <c r="BE14" i="3"/>
  <c r="BC14" i="3"/>
  <c r="BC22" i="3" s="1"/>
  <c r="BB14" i="3"/>
  <c r="BH14" i="3"/>
  <c r="BG14" i="3"/>
  <c r="BD22" i="3" l="1"/>
  <c r="BE22" i="3"/>
  <c r="BB22" i="3"/>
  <c r="BG22" i="3"/>
  <c r="BH22" i="3"/>
  <c r="V40" i="3" l="1"/>
  <c r="U40" i="3"/>
  <c r="T40" i="3"/>
  <c r="S40" i="3"/>
  <c r="O41" i="3"/>
  <c r="N41" i="3"/>
  <c r="M41" i="3"/>
  <c r="L41" i="3"/>
  <c r="K41" i="3"/>
  <c r="J41" i="3"/>
  <c r="I41" i="3"/>
  <c r="H41" i="3"/>
  <c r="G4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E21" i="3"/>
  <c r="AD21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H32" i="3"/>
  <c r="G32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H5" i="3"/>
  <c r="G5" i="3"/>
  <c r="F5" i="3"/>
  <c r="F13" i="3" s="1"/>
  <c r="E5" i="3"/>
  <c r="E13" i="3" s="1"/>
  <c r="D5" i="3"/>
  <c r="D13" i="3" s="1"/>
  <c r="C5" i="3"/>
  <c r="C13" i="3" s="1"/>
  <c r="B5" i="3"/>
  <c r="B13" i="3" s="1"/>
  <c r="D2" i="3"/>
  <c r="C2" i="3"/>
  <c r="BE26" i="2" a="1"/>
  <c r="BE26" i="2" s="1"/>
  <c r="BD26" i="2" a="1"/>
  <c r="BD26" i="2" s="1"/>
  <c r="BC26" i="2" a="1"/>
  <c r="BC26" i="2" s="1"/>
  <c r="AQ26" i="2" a="1"/>
  <c r="AQ26" i="2" s="1"/>
  <c r="AP26" i="2" a="1"/>
  <c r="AP26" i="2" s="1"/>
  <c r="AO26" i="2" a="1"/>
  <c r="AO26" i="2" s="1"/>
  <c r="AK26" i="2"/>
  <c r="AJ26" i="2"/>
  <c r="AI26" i="2"/>
  <c r="AH26" i="2"/>
  <c r="AG26" i="2"/>
  <c r="BI19" i="2"/>
  <c r="BI26" i="2" s="1" a="1"/>
  <c r="BI26" i="2" s="1"/>
  <c r="BH19" i="2"/>
  <c r="BH26" i="2" s="1" a="1"/>
  <c r="BH26" i="2" s="1"/>
  <c r="BG19" i="2"/>
  <c r="BG26" i="2" s="1" a="1"/>
  <c r="BG26" i="2" s="1"/>
  <c r="BF19" i="2"/>
  <c r="BF26" i="2" s="1" a="1"/>
  <c r="BF26" i="2" s="1"/>
  <c r="BE19" i="2"/>
  <c r="BD19" i="2"/>
  <c r="BC19" i="2"/>
  <c r="BB19" i="2"/>
  <c r="BB26" i="2" s="1" a="1"/>
  <c r="BB26" i="2" s="1"/>
  <c r="BA19" i="2"/>
  <c r="BA26" i="2" s="1" a="1"/>
  <c r="BA26" i="2" s="1"/>
  <c r="AZ19" i="2"/>
  <c r="AZ26" i="2" s="1" a="1"/>
  <c r="AZ26" i="2" s="1"/>
  <c r="AY19" i="2"/>
  <c r="AY26" i="2" s="1" a="1"/>
  <c r="AY26" i="2" s="1"/>
  <c r="AX19" i="2"/>
  <c r="AX26" i="2" s="1" a="1"/>
  <c r="AX26" i="2" s="1"/>
  <c r="AW19" i="2"/>
  <c r="AW26" i="2" s="1" a="1"/>
  <c r="AW26" i="2" s="1"/>
  <c r="AV19" i="2"/>
  <c r="AV26" i="2" s="1" a="1"/>
  <c r="AV26" i="2" s="1"/>
  <c r="AU19" i="2"/>
  <c r="AT19" i="2"/>
  <c r="AT26" i="2" s="1" a="1"/>
  <c r="AT26" i="2" s="1"/>
  <c r="AS19" i="2"/>
  <c r="AS26" i="2" s="1" a="1"/>
  <c r="AS26" i="2" s="1"/>
  <c r="AR19" i="2"/>
  <c r="AR26" i="2" s="1" a="1"/>
  <c r="AR26" i="2" s="1"/>
  <c r="AQ19" i="2"/>
  <c r="AP19" i="2"/>
  <c r="AO19" i="2"/>
  <c r="AN19" i="2"/>
  <c r="AN26" i="2" s="1" a="1"/>
  <c r="AN26" i="2" s="1"/>
  <c r="AM19" i="2"/>
  <c r="AM26" i="2" s="1" a="1"/>
  <c r="AM26" i="2" s="1"/>
  <c r="AL19" i="2"/>
  <c r="AL26" i="2" s="1" a="1"/>
  <c r="AL26" i="2" s="1"/>
  <c r="AK19" i="2"/>
  <c r="AJ19" i="2"/>
  <c r="AI19" i="2"/>
  <c r="AH19" i="2"/>
  <c r="AG19" i="2"/>
  <c r="AG27" i="2" s="1"/>
  <c r="AE19" i="2"/>
  <c r="AD19" i="2"/>
  <c r="AD25" i="2" s="1"/>
  <c r="AD26" i="2" s="1"/>
  <c r="AC19" i="2"/>
  <c r="AC25" i="2" s="1"/>
  <c r="AC26" i="2" s="1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P25" i="2" s="1"/>
  <c r="P26" i="2" s="1"/>
  <c r="O19" i="2"/>
  <c r="O25" i="2" s="1"/>
  <c r="O26" i="2" s="1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E25" i="2"/>
  <c r="AE26" i="2" s="1"/>
  <c r="AB25" i="2"/>
  <c r="AB26" i="2" s="1"/>
  <c r="AA25" i="2"/>
  <c r="AA26" i="2" s="1"/>
  <c r="Z25" i="2"/>
  <c r="Z26" i="2" s="1"/>
  <c r="Y25" i="2"/>
  <c r="Y26" i="2" s="1"/>
  <c r="Y27" i="2" s="1"/>
  <c r="X25" i="2"/>
  <c r="X26" i="2" s="1"/>
  <c r="W25" i="2"/>
  <c r="W26" i="2" s="1"/>
  <c r="V25" i="2"/>
  <c r="V26" i="2" s="1"/>
  <c r="U25" i="2"/>
  <c r="U26" i="2" s="1"/>
  <c r="T25" i="2"/>
  <c r="T26" i="2" s="1"/>
  <c r="S25" i="2"/>
  <c r="S26" i="2" s="1"/>
  <c r="R25" i="2"/>
  <c r="R26" i="2" s="1"/>
  <c r="Q25" i="2"/>
  <c r="Q26" i="2" s="1"/>
  <c r="N25" i="2"/>
  <c r="N26" i="2" s="1"/>
  <c r="M25" i="2"/>
  <c r="M26" i="2" s="1"/>
  <c r="L25" i="2"/>
  <c r="L26" i="2" s="1"/>
  <c r="K25" i="2"/>
  <c r="K26" i="2" s="1"/>
  <c r="J25" i="2"/>
  <c r="J26" i="2" s="1"/>
  <c r="I25" i="2"/>
  <c r="I26" i="2" s="1"/>
  <c r="H25" i="2"/>
  <c r="H26" i="2" s="1"/>
  <c r="G25" i="2"/>
  <c r="G26" i="2" s="1"/>
  <c r="F25" i="2"/>
  <c r="F26" i="2" s="1"/>
  <c r="E25" i="2"/>
  <c r="E26" i="2" s="1"/>
  <c r="D25" i="2"/>
  <c r="D26" i="2" s="1"/>
  <c r="Q6" i="2"/>
  <c r="P6" i="2"/>
  <c r="O6" i="2"/>
  <c r="N6" i="2"/>
  <c r="M6" i="2"/>
  <c r="L6" i="2"/>
  <c r="K6" i="2"/>
  <c r="J6" i="2"/>
  <c r="I6" i="2"/>
  <c r="H6" i="2"/>
  <c r="G6" i="2"/>
  <c r="BA5" i="2"/>
  <c r="AZ5" i="2"/>
  <c r="AY5" i="2"/>
  <c r="AX5" i="2"/>
  <c r="AW5" i="2"/>
  <c r="AV5" i="2"/>
  <c r="AU5" i="2"/>
  <c r="AT5" i="2"/>
  <c r="AS5" i="2"/>
  <c r="Q5" i="2"/>
  <c r="P5" i="2"/>
  <c r="O5" i="2"/>
  <c r="N5" i="2"/>
  <c r="M5" i="2"/>
  <c r="L5" i="2"/>
  <c r="K5" i="2"/>
  <c r="J5" i="2"/>
  <c r="I5" i="2"/>
  <c r="H5" i="2"/>
  <c r="G5" i="2"/>
  <c r="AI27" i="2" l="1"/>
  <c r="L7" i="2"/>
  <c r="AW27" i="2"/>
  <c r="AU26" i="2" a="1"/>
  <c r="AU26" i="2" s="1"/>
  <c r="AU27" i="2" s="1"/>
  <c r="AJ27" i="2"/>
  <c r="AX27" i="2"/>
  <c r="AK27" i="2"/>
  <c r="AY27" i="2"/>
  <c r="K27" i="2"/>
  <c r="M7" i="2"/>
  <c r="N7" i="2"/>
  <c r="AA27" i="2"/>
  <c r="AB27" i="2"/>
  <c r="H7" i="2"/>
  <c r="N27" i="2"/>
  <c r="I7" i="2"/>
  <c r="Q27" i="2"/>
  <c r="AE27" i="2"/>
  <c r="J7" i="2"/>
  <c r="AS27" i="2"/>
  <c r="G7" i="2"/>
  <c r="K7" i="2"/>
  <c r="E27" i="2"/>
  <c r="S27" i="2"/>
  <c r="M27" i="2"/>
  <c r="AV27" i="2"/>
  <c r="O7" i="2"/>
  <c r="Q7" i="2"/>
  <c r="I27" i="2"/>
  <c r="W27" i="2"/>
  <c r="AL27" i="2"/>
  <c r="AZ27" i="2"/>
  <c r="P7" i="2"/>
  <c r="AM27" i="2"/>
  <c r="BA27" i="2"/>
  <c r="O27" i="2"/>
  <c r="AC27" i="2"/>
  <c r="P27" i="2"/>
  <c r="AD27" i="2"/>
  <c r="U27" i="2"/>
  <c r="AT27" i="2"/>
  <c r="AH27" i="2"/>
  <c r="G27" i="2"/>
  <c r="AO27" i="2"/>
  <c r="BC27" i="2"/>
  <c r="AN27" i="2"/>
  <c r="BB27" i="2"/>
  <c r="AB14" i="3"/>
  <c r="AQ14" i="3"/>
  <c r="AQ22" i="3" s="1"/>
  <c r="AR14" i="3"/>
  <c r="AR22" i="3" s="1"/>
  <c r="U14" i="3"/>
  <c r="Z14" i="3"/>
  <c r="AA14" i="3"/>
  <c r="AP14" i="3"/>
  <c r="AP22" i="3" s="1"/>
  <c r="V13" i="3"/>
  <c r="P14" i="3"/>
  <c r="AD14" i="3"/>
  <c r="AD22" i="3" s="1"/>
  <c r="AS14" i="3"/>
  <c r="Q14" i="3"/>
  <c r="AE14" i="3"/>
  <c r="AE22" i="3" s="1"/>
  <c r="AT14" i="3"/>
  <c r="AT22" i="3" s="1"/>
  <c r="AE13" i="3"/>
  <c r="AA13" i="3"/>
  <c r="Q13" i="3"/>
  <c r="W13" i="3"/>
  <c r="Y14" i="3"/>
  <c r="AN14" i="3"/>
  <c r="AN22" i="3" s="1"/>
  <c r="AC13" i="3"/>
  <c r="AG14" i="3"/>
  <c r="AG22" i="3" s="1"/>
  <c r="AO14" i="3"/>
  <c r="AO22" i="3" s="1"/>
  <c r="X13" i="3"/>
  <c r="Z13" i="3"/>
  <c r="R14" i="3"/>
  <c r="S14" i="3"/>
  <c r="T14" i="3"/>
  <c r="AI14" i="3"/>
  <c r="AI22" i="3" s="1"/>
  <c r="U13" i="3"/>
  <c r="AC14" i="3"/>
  <c r="AB13" i="3"/>
  <c r="X14" i="3"/>
  <c r="AM14" i="3"/>
  <c r="AM22" i="3" s="1"/>
  <c r="AH14" i="3"/>
  <c r="AH22" i="3" s="1"/>
  <c r="AJ14" i="3"/>
  <c r="AJ22" i="3" s="1"/>
  <c r="BG27" i="2"/>
  <c r="BI27" i="2"/>
  <c r="BH27" i="2"/>
  <c r="AW14" i="3"/>
  <c r="AX14" i="3"/>
  <c r="AV14" i="3"/>
  <c r="AU14" i="3"/>
  <c r="BA14" i="3"/>
  <c r="AZ14" i="3"/>
  <c r="AY14" i="3"/>
  <c r="F27" i="2"/>
  <c r="R27" i="2"/>
  <c r="T27" i="2"/>
  <c r="H27" i="2"/>
  <c r="V27" i="2"/>
  <c r="J27" i="2"/>
  <c r="X27" i="2"/>
  <c r="D27" i="2"/>
  <c r="L27" i="2"/>
  <c r="Z27" i="2"/>
  <c r="AP27" i="2"/>
  <c r="BD27" i="2"/>
  <c r="AQ27" i="2"/>
  <c r="BE27" i="2"/>
  <c r="AR27" i="2"/>
  <c r="BF27" i="2"/>
  <c r="Y13" i="3"/>
  <c r="V14" i="3"/>
  <c r="AK14" i="3"/>
  <c r="AK22" i="3" s="1"/>
  <c r="W14" i="3"/>
  <c r="AL14" i="3"/>
  <c r="AL22" i="3" s="1"/>
  <c r="P13" i="3"/>
  <c r="AD13" i="3"/>
  <c r="R13" i="3"/>
  <c r="S13" i="3"/>
  <c r="T13" i="3"/>
  <c r="AS22" i="3" l="1"/>
  <c r="AU22" i="3"/>
  <c r="AV22" i="3"/>
  <c r="AW22" i="3"/>
  <c r="AX22" i="3"/>
  <c r="AY22" i="3"/>
  <c r="BA22" i="3"/>
  <c r="AZ22" i="3"/>
  <c r="P6" i="6" l="1"/>
  <c r="P22" i="6"/>
  <c r="P5" i="6"/>
  <c r="P20" i="6"/>
  <c r="P8" i="6"/>
  <c r="P2" i="6"/>
  <c r="P13" i="6"/>
  <c r="P23" i="6"/>
  <c r="P3" i="6"/>
  <c r="P11" i="6"/>
  <c r="P25" i="6"/>
  <c r="P4" i="6"/>
  <c r="P18" i="6"/>
  <c r="P10" i="6"/>
  <c r="P14" i="6"/>
  <c r="P12" i="6"/>
  <c r="P26" i="6"/>
  <c r="P7" i="6"/>
  <c r="P24" i="6"/>
  <c r="P9" i="6"/>
  <c r="P28" i="6"/>
  <c r="P16" i="6"/>
  <c r="P15" i="6"/>
  <c r="P19" i="6"/>
  <c r="P21" i="6"/>
  <c r="P17" i="6"/>
  <c r="P27" i="6"/>
  <c r="P30" i="6" l="1"/>
  <c r="P34" i="6" s="1"/>
  <c r="P29" i="6"/>
  <c r="P31" i="6"/>
  <c r="O24" i="6"/>
  <c r="O18" i="6"/>
  <c r="O8" i="6"/>
  <c r="O27" i="6"/>
  <c r="O19" i="6"/>
  <c r="O17" i="6"/>
  <c r="O26" i="6"/>
  <c r="O7" i="6"/>
  <c r="O25" i="6"/>
  <c r="O4" i="6"/>
  <c r="O28" i="6"/>
  <c r="O15" i="6"/>
  <c r="O6" i="6"/>
  <c r="O11" i="6"/>
  <c r="O9" i="6"/>
  <c r="O5" i="6"/>
  <c r="O13" i="6"/>
  <c r="O20" i="6"/>
  <c r="O22" i="6"/>
  <c r="O2" i="6"/>
  <c r="O23" i="6"/>
  <c r="O3" i="6"/>
  <c r="O14" i="6"/>
  <c r="O10" i="6"/>
  <c r="O12" i="6"/>
  <c r="O21" i="6"/>
  <c r="O16" i="6"/>
  <c r="O29" i="6" l="1"/>
  <c r="O33" i="6"/>
  <c r="O31" i="6"/>
  <c r="O30" i="6"/>
  <c r="O34" i="6" s="1"/>
  <c r="P33" i="6"/>
  <c r="P32" i="6"/>
  <c r="N21" i="6"/>
  <c r="N19" i="6"/>
  <c r="N12" i="6"/>
  <c r="N20" i="6"/>
  <c r="N8" i="6"/>
  <c r="N26" i="6"/>
  <c r="N7" i="6"/>
  <c r="N25" i="6"/>
  <c r="N24" i="6"/>
  <c r="N16" i="6"/>
  <c r="N18" i="6"/>
  <c r="N4" i="6"/>
  <c r="N13" i="6"/>
  <c r="N15" i="6"/>
  <c r="N22" i="6"/>
  <c r="N2" i="6"/>
  <c r="N23" i="6"/>
  <c r="N3" i="6"/>
  <c r="N14" i="6"/>
  <c r="N28" i="6"/>
  <c r="N27" i="6"/>
  <c r="N10" i="6"/>
  <c r="N17" i="6"/>
  <c r="N11" i="6"/>
  <c r="N9" i="6"/>
  <c r="N5" i="6"/>
  <c r="N6" i="6"/>
  <c r="N30" i="6" l="1"/>
  <c r="N34" i="6" s="1"/>
  <c r="N31" i="6"/>
  <c r="N29" i="6"/>
  <c r="O32" i="6"/>
  <c r="M11" i="6"/>
  <c r="M18" i="6"/>
  <c r="M16" i="6"/>
  <c r="M9" i="6"/>
  <c r="M17" i="6"/>
  <c r="M23" i="6"/>
  <c r="M4" i="6"/>
  <c r="M3" i="6"/>
  <c r="M25" i="6"/>
  <c r="M15" i="6"/>
  <c r="M5" i="6"/>
  <c r="M13" i="6"/>
  <c r="M21" i="6"/>
  <c r="M14" i="6"/>
  <c r="M19" i="6"/>
  <c r="M12" i="6"/>
  <c r="M20" i="6"/>
  <c r="M8" i="6"/>
  <c r="M10" i="6"/>
  <c r="M24" i="6"/>
  <c r="M28" i="6"/>
  <c r="M6" i="6"/>
  <c r="M22" i="6"/>
  <c r="M2" i="6"/>
  <c r="M26" i="6"/>
  <c r="M7" i="6"/>
  <c r="M27" i="6"/>
  <c r="M31" i="6" l="1"/>
  <c r="M30" i="6"/>
  <c r="M34" i="6" s="1"/>
  <c r="M29" i="6"/>
  <c r="N33" i="6"/>
  <c r="N32" i="6"/>
  <c r="L28" i="6"/>
  <c r="S28" i="6" s="1"/>
  <c r="L24" i="6"/>
  <c r="S24" i="6" s="1"/>
  <c r="L6" i="6"/>
  <c r="S6" i="6" s="1"/>
  <c r="L22" i="6"/>
  <c r="S22" i="6" s="1"/>
  <c r="L2" i="6"/>
  <c r="L26" i="6"/>
  <c r="S26" i="6" s="1"/>
  <c r="L7" i="6"/>
  <c r="S7" i="6" s="1"/>
  <c r="L13" i="6"/>
  <c r="S13" i="6" s="1"/>
  <c r="L20" i="6"/>
  <c r="S20" i="6" s="1"/>
  <c r="L3" i="6"/>
  <c r="S3" i="6" s="1"/>
  <c r="L15" i="6"/>
  <c r="S15" i="6" s="1"/>
  <c r="L14" i="6"/>
  <c r="S14" i="6" s="1"/>
  <c r="L10" i="6"/>
  <c r="L23" i="6"/>
  <c r="S23" i="6" s="1"/>
  <c r="L17" i="6"/>
  <c r="L18" i="6"/>
  <c r="S18" i="6" s="1"/>
  <c r="L11" i="6"/>
  <c r="L9" i="6"/>
  <c r="S9" i="6" s="1"/>
  <c r="L12" i="6"/>
  <c r="S12" i="6" s="1"/>
  <c r="L16" i="6"/>
  <c r="S16" i="6" s="1"/>
  <c r="L25" i="6"/>
  <c r="L4" i="6"/>
  <c r="S4" i="6" s="1"/>
  <c r="L21" i="6"/>
  <c r="S21" i="6" s="1"/>
  <c r="L8" i="6"/>
  <c r="S8" i="6" s="1"/>
  <c r="L27" i="6"/>
  <c r="L19" i="6"/>
  <c r="S19" i="6" s="1"/>
  <c r="L5" i="6"/>
  <c r="S5" i="6" s="1"/>
  <c r="S11" i="6" l="1"/>
  <c r="L30" i="6"/>
  <c r="L29" i="6"/>
  <c r="S2" i="6"/>
  <c r="L31" i="6"/>
  <c r="S31" i="6" s="1"/>
  <c r="S17" i="6"/>
  <c r="M33" i="6"/>
  <c r="M32" i="6"/>
  <c r="S29" i="6" l="1"/>
  <c r="L33" i="6"/>
  <c r="S33" i="6" s="1"/>
  <c r="L32" i="6"/>
  <c r="S32" i="6" s="1"/>
  <c r="S30" i="6"/>
  <c r="L34" i="6"/>
  <c r="S3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tc={D5295FED-C250-4D61-98EB-F7BCB024C4BB}</author>
    <author>tc={B11DF107-8179-4AA1-BBE1-1F44669FEDA8}</author>
  </authors>
  <commentList>
    <comment ref="DF17" authorId="0" shapeId="0" xr:uid="{D5295FED-C250-4D61-98EB-F7BCB024C4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改为stand
</t>
      </text>
    </comment>
    <comment ref="A63" authorId="1" shapeId="0" xr:uid="{B11DF107-8179-4AA1-BBE1-1F44669FEDA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LEI， 28800 Batch 发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<sst xmlns="http://schemas.openxmlformats.org/spreadsheetml/2006/main" count="344" uniqueCount="171">
  <si>
    <t>Category</t>
  </si>
  <si>
    <t>T523H</t>
  </si>
  <si>
    <t>T523W</t>
  </si>
  <si>
    <t>T59V</t>
  </si>
  <si>
    <t>T59D 1</t>
  </si>
  <si>
    <t>T59D 2</t>
  </si>
  <si>
    <t>T530Y</t>
  </si>
  <si>
    <t>T521X</t>
  </si>
  <si>
    <t>T530X</t>
  </si>
  <si>
    <t>Y</t>
  </si>
  <si>
    <t>X</t>
  </si>
  <si>
    <t>2.0V</t>
  </si>
  <si>
    <t>1.9V</t>
  </si>
  <si>
    <t>D</t>
  </si>
  <si>
    <t>T-A42</t>
  </si>
  <si>
    <t>T</t>
  </si>
  <si>
    <t>T59B</t>
  </si>
  <si>
    <t>B</t>
  </si>
  <si>
    <t>SIP</t>
  </si>
  <si>
    <t>32UP</t>
  </si>
  <si>
    <t>42UP</t>
  </si>
  <si>
    <t>TOTAL</t>
  </si>
  <si>
    <t>SIGMA</t>
  </si>
  <si>
    <t>D-Sigma</t>
  </si>
  <si>
    <t>Sigma</t>
  </si>
  <si>
    <t>59V</t>
  </si>
  <si>
    <t>59D2</t>
  </si>
  <si>
    <t>K</t>
  </si>
  <si>
    <t>T598D687M2R5ATE006</t>
  </si>
  <si>
    <t>60 批 12/27 orders   12days</t>
  </si>
  <si>
    <t>Non-687</t>
  </si>
  <si>
    <t>Total</t>
  </si>
  <si>
    <t>530D 2</t>
  </si>
  <si>
    <t>687 /21号之前需要39  12/15 orders</t>
  </si>
  <si>
    <t>12/4 9 12/28 orders</t>
  </si>
  <si>
    <t>T530D687M2R5ATE0067280</t>
  </si>
  <si>
    <t>T530D687M2R5ATE006</t>
  </si>
  <si>
    <t>T530D337M006ATE010</t>
  </si>
  <si>
    <t>11/30 之前需要11批</t>
  </si>
  <si>
    <t>12/4 22 批</t>
  </si>
  <si>
    <t>T521D106M050ATE0907654</t>
  </si>
  <si>
    <t>QTY</t>
  </si>
  <si>
    <t>T521D107M025ATE040</t>
  </si>
  <si>
    <t>hold</t>
  </si>
  <si>
    <t>T521D107M025ATE050</t>
  </si>
  <si>
    <t>T521D107M025ATE060</t>
  </si>
  <si>
    <t>T521D107M025ATE0407280</t>
  </si>
  <si>
    <t>Total D107</t>
  </si>
  <si>
    <t>T521D686M025AT4146</t>
  </si>
  <si>
    <t>T521D686M025ATE0707652</t>
  </si>
  <si>
    <t>T521D686M025ATE070</t>
  </si>
  <si>
    <t>Total 686</t>
  </si>
  <si>
    <t>T598D337M006AT4143</t>
  </si>
  <si>
    <t>T598D337M006AT41437280</t>
  </si>
  <si>
    <t>T598D337M006ATE025</t>
  </si>
  <si>
    <t>Total D59-1</t>
  </si>
  <si>
    <t>Total D-sigma</t>
  </si>
  <si>
    <t>T520D337M006ATE009</t>
  </si>
  <si>
    <t>T520D337M006ATE0097280</t>
  </si>
  <si>
    <t>T520D477M004ATE010</t>
  </si>
  <si>
    <t>T520D477M004ATE012</t>
  </si>
  <si>
    <t>MTAS</t>
  </si>
  <si>
    <t>32-Sigma (Actual)</t>
  </si>
  <si>
    <t>Coif</t>
  </si>
  <si>
    <t>Rest-Coif</t>
  </si>
  <si>
    <t>P</t>
  </si>
  <si>
    <t>W</t>
  </si>
  <si>
    <t># Coif</t>
  </si>
  <si>
    <t>T530D687M2R5</t>
  </si>
  <si>
    <t>Status</t>
  </si>
  <si>
    <t>PN</t>
  </si>
  <si>
    <t>T521X336M050ATE075</t>
  </si>
  <si>
    <t>T521X336M050ATE050</t>
  </si>
  <si>
    <t>需要全部删除</t>
  </si>
  <si>
    <t>T521X156M063ATE035</t>
  </si>
  <si>
    <t>T598D226M035AT4334</t>
  </si>
  <si>
    <t>KS2</t>
  </si>
  <si>
    <t>T598D106M050ATE090</t>
  </si>
  <si>
    <t>T598D476M025ATE060</t>
  </si>
  <si>
    <t>T530D477M004ATE010</t>
  </si>
  <si>
    <t>T530D687M003ATE010</t>
  </si>
  <si>
    <t>T521X107M025ATE060</t>
  </si>
  <si>
    <t>T521X476M035ATE030</t>
  </si>
  <si>
    <t>521X</t>
  </si>
  <si>
    <t>T521X476M035ATE070</t>
  </si>
  <si>
    <t>T521X226M050ATE075</t>
  </si>
  <si>
    <t>T521X156M075AHE035</t>
  </si>
  <si>
    <t>T521X156M075ATE035</t>
  </si>
  <si>
    <t>T521X337M016ATE025</t>
  </si>
  <si>
    <t>Formation:</t>
  </si>
  <si>
    <t>NGZ</t>
  </si>
  <si>
    <t>T598D477M2R5AHS009</t>
  </si>
  <si>
    <t>T521D227M016ATE050</t>
  </si>
  <si>
    <t>16K/8cycle</t>
  </si>
  <si>
    <t>T521X106M075ATE050</t>
  </si>
  <si>
    <t>59d1</t>
  </si>
  <si>
    <t>T598D226M035ATE065</t>
  </si>
  <si>
    <t>convert to 080,多发一些</t>
  </si>
  <si>
    <t>T530D 2</t>
  </si>
  <si>
    <t>T530X158M2R5ATE005</t>
  </si>
  <si>
    <t>530X</t>
  </si>
  <si>
    <t>`</t>
  </si>
  <si>
    <t>T530X687M006ATE018</t>
  </si>
  <si>
    <t>T530X337M010ATE006</t>
  </si>
  <si>
    <t>T530X477M006ATE004</t>
  </si>
  <si>
    <t>32UP GAP</t>
  </si>
  <si>
    <t>42UP GAP</t>
  </si>
  <si>
    <t>T530D687M2R5ATE010</t>
  </si>
  <si>
    <t>T530X687M004ATE004</t>
  </si>
  <si>
    <t>T530X337M010ATE010</t>
  </si>
  <si>
    <t>T530D 3</t>
  </si>
  <si>
    <t>T530D687M2R5AHE006</t>
  </si>
  <si>
    <t>T-G</t>
  </si>
  <si>
    <t>T528Z 1</t>
  </si>
  <si>
    <t>T528Z 2</t>
  </si>
  <si>
    <t>T598D336M025ATE060</t>
  </si>
  <si>
    <t>T523T</t>
  </si>
  <si>
    <t>T528B</t>
  </si>
  <si>
    <t>Flat T</t>
  </si>
  <si>
    <t>ANODE-KO</t>
  </si>
  <si>
    <t>C</t>
  </si>
  <si>
    <t>2546F267</t>
  </si>
  <si>
    <t>A523H227M016ASSZ01</t>
  </si>
  <si>
    <t>TTS80</t>
  </si>
  <si>
    <t>MES-251121B384</t>
  </si>
  <si>
    <t>ON-hand</t>
  </si>
  <si>
    <t>2607OP17</t>
  </si>
  <si>
    <t>MES-260217384</t>
  </si>
  <si>
    <t>2607OQ17</t>
  </si>
  <si>
    <t>2607OR17</t>
  </si>
  <si>
    <t>2607OU17</t>
  </si>
  <si>
    <t>2607OV17</t>
  </si>
  <si>
    <t>T523H227M016APE070</t>
  </si>
  <si>
    <t>LOT_NUMBER</t>
  </si>
  <si>
    <t>ITEM_NAME</t>
  </si>
  <si>
    <t>SUBINVENTORY</t>
  </si>
  <si>
    <t>Convert  to</t>
  </si>
  <si>
    <t>POWDERNAME</t>
  </si>
  <si>
    <t>2623Z657</t>
  </si>
  <si>
    <t>A520V227M006AS9997</t>
  </si>
  <si>
    <t>ANODE-ENG</t>
  </si>
  <si>
    <t>A520V227M006ASMHSM</t>
  </si>
  <si>
    <t>2623Z757</t>
  </si>
  <si>
    <t>2623Z857</t>
  </si>
  <si>
    <t>2623Z957</t>
  </si>
  <si>
    <t>2623ZC57</t>
  </si>
  <si>
    <t>2623ZO37</t>
  </si>
  <si>
    <t>2623ZQ37</t>
  </si>
  <si>
    <t>2623ZR37</t>
  </si>
  <si>
    <t>2623ZT37</t>
  </si>
  <si>
    <t>2623ZX47</t>
  </si>
  <si>
    <t>2624YE57</t>
  </si>
  <si>
    <t>2624YG57</t>
  </si>
  <si>
    <t>2624YH57</t>
  </si>
  <si>
    <t>2624ZA17</t>
  </si>
  <si>
    <t>2624ZB17</t>
  </si>
  <si>
    <t>2624ZB27</t>
  </si>
  <si>
    <t>2624ZC27</t>
  </si>
  <si>
    <t>2624ZY57</t>
  </si>
  <si>
    <t>2624ZZ57</t>
  </si>
  <si>
    <t>2623ZF27</t>
  </si>
  <si>
    <t>A521V177M016AS9997</t>
  </si>
  <si>
    <t>A521V177M016ASMHSP</t>
  </si>
  <si>
    <t>2623ZG27</t>
  </si>
  <si>
    <t>2623ZH27</t>
  </si>
  <si>
    <t>Cycle  高</t>
  </si>
  <si>
    <t>2625G617</t>
  </si>
  <si>
    <t>A520D337M006ASMHSP</t>
  </si>
  <si>
    <t>KBP76</t>
  </si>
  <si>
    <t>MES-260622A384</t>
  </si>
  <si>
    <t>T520D337M006ATE025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</si>
</sst>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name val="Arial"/>
      <family val="2"/>
    </font>
    <font>
      <sz val="12"/>
      <color theme="3" tint="0.3999755851924192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4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6" fontId="0" fillId="0" borderId="0" xfId="0" applyNumberFormat="1"/>
    <xf numFmtId="16" fontId="0" fillId="5" borderId="0" xfId="0" applyNumberFormat="1" applyFill="1"/>
    <xf numFmtId="0" fontId="0" fillId="6" borderId="0" xfId="0" applyFill="1"/>
    <xf numFmtId="14" fontId="2" fillId="0" borderId="0" xfId="0" applyNumberFormat="1" applyFont="1"/>
    <xf numFmtId="14" fontId="0" fillId="0" borderId="0" xfId="0" applyNumberFormat="1"/>
    <xf numFmtId="14" fontId="0" fillId="5" borderId="0" xfId="0" applyNumberFormat="1" applyFill="1"/>
    <xf numFmtId="0" fontId="0" fillId="5" borderId="0" xfId="0" applyFill="1"/>
    <xf numFmtId="0" fontId="0" fillId="7" borderId="0" xfId="0" applyFill="1"/>
    <xf numFmtId="164" fontId="0" fillId="0" borderId="0" xfId="1" applyNumberFormat="1" applyFont="1" applyFill="1"/>
    <xf numFmtId="164" fontId="0" fillId="7" borderId="0" xfId="1" applyNumberFormat="1" applyFont="1" applyFill="1"/>
    <xf numFmtId="164" fontId="0" fillId="2" borderId="0" xfId="1" applyNumberFormat="1" applyFont="1" applyFill="1"/>
    <xf numFmtId="14" fontId="0" fillId="2" borderId="0" xfId="0" applyNumberFormat="1" applyFill="1"/>
    <xf numFmtId="164" fontId="0" fillId="5" borderId="0" xfId="1" applyNumberFormat="1" applyFont="1" applyFill="1"/>
    <xf numFmtId="164" fontId="0" fillId="3" borderId="0" xfId="1" applyNumberFormat="1" applyFont="1" applyFill="1"/>
    <xf numFmtId="164" fontId="0" fillId="0" borderId="0" xfId="1" applyNumberFormat="1" applyFont="1"/>
    <xf numFmtId="14" fontId="0" fillId="0" borderId="0" xfId="1" applyNumberFormat="1" applyFont="1"/>
    <xf numFmtId="0" fontId="0" fillId="9" borderId="0" xfId="0" applyFill="1"/>
    <xf numFmtId="164" fontId="0" fillId="9" borderId="0" xfId="1" applyNumberFormat="1" applyFont="1" applyFill="1"/>
    <xf numFmtId="164" fontId="0" fillId="5" borderId="0" xfId="0" applyNumberFormat="1" applyFill="1"/>
    <xf numFmtId="164" fontId="0" fillId="7" borderId="0" xfId="0" applyNumberFormat="1" applyFill="1"/>
    <xf numFmtId="0" fontId="2" fillId="9" borderId="0" xfId="0" applyFont="1" applyFill="1"/>
    <xf numFmtId="16" fontId="2" fillId="9" borderId="0" xfId="0" applyNumberFormat="1" applyFont="1" applyFill="1"/>
    <xf numFmtId="43" fontId="0" fillId="2" borderId="0" xfId="1" applyFont="1" applyFill="1"/>
    <xf numFmtId="164" fontId="0" fillId="2" borderId="0" xfId="0" applyNumberFormat="1" applyFill="1"/>
    <xf numFmtId="1" fontId="0" fillId="2" borderId="0" xfId="0" applyNumberFormat="1" applyFill="1"/>
    <xf numFmtId="1" fontId="0" fillId="3" borderId="0" xfId="0" applyNumberFormat="1" applyFill="1"/>
    <xf numFmtId="164" fontId="0" fillId="9" borderId="0" xfId="0" applyNumberFormat="1" applyFill="1"/>
    <xf numFmtId="164" fontId="0" fillId="3" borderId="0" xfId="0" applyNumberFormat="1" applyFill="1"/>
    <xf numFmtId="164" fontId="0" fillId="8" borderId="0" xfId="1" applyNumberFormat="1" applyFont="1" applyFill="1"/>
    <xf numFmtId="164" fontId="0" fillId="0" borderId="1" xfId="1" applyNumberFormat="1" applyFont="1" applyBorder="1" applyAlignment="1">
      <alignment horizontal="left"/>
    </xf>
    <xf numFmtId="164" fontId="2" fillId="0" borderId="0" xfId="1" applyNumberFormat="1" applyFont="1"/>
    <xf numFmtId="14" fontId="4" fillId="0" borderId="0" xfId="0" applyNumberFormat="1" applyFont="1"/>
    <xf numFmtId="0" fontId="4" fillId="0" borderId="0" xfId="0" applyFont="1"/>
    <xf numFmtId="0" fontId="0" fillId="10" borderId="2" xfId="0" applyFill="1" applyBorder="1"/>
    <xf numFmtId="164" fontId="1" fillId="2" borderId="0" xfId="1" applyNumberFormat="1" applyFont="1" applyFill="1"/>
    <xf numFmtId="0" fontId="0" fillId="0" borderId="2" xfId="0" applyBorder="1"/>
  </cellXfs>
  <cellStyles count="3">
    <cellStyle name="Comma" xfId="1" builtinId="3"/>
    <cellStyle name="Normal" xfId="0" builtinId="0"/>
    <cellStyle name="Normal 12" xfId="2" xr:uid="{BB666B9C-58A9-4D6D-9255-85DB748A6AA8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5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Felix/SIP/2026/Weekly%20SIP%20WK24%202026-internal.xlsx" TargetMode="External"/><Relationship Id="rId2" Type="http://schemas.openxmlformats.org/officeDocument/2006/relationships/externalLinkPath" Target="file:///C:\Users\CEXLSZ4\Desktop\Felix\SIP\2026\Weekly%20SIP%20WK24%202026-internal.xlsx" TargetMode="External"/><Relationship Id="rId1" Type="http://schemas.openxmlformats.org/officeDocument/2006/relationships/externalLinkPath" Target="/Users/CEXLSZ4/Desktop/Felix/SIP/2026/Weekly%20SIP%20WK24%202026-internal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Felix/SIP/2026/Weekly%20SIP%20WK25%202026-internal.xlsx" TargetMode="External"/><Relationship Id="rId2" Type="http://schemas.openxmlformats.org/officeDocument/2006/relationships/externalLinkPath" Target="file:///C:\Users\CEXLSZ4\Desktop\Felix\SIP\2026\Weekly%20SIP%20WK25%202026-internal.xlsx" TargetMode="External"/><Relationship Id="rId1" Type="http://schemas.openxmlformats.org/officeDocument/2006/relationships/externalLinkPath" Target="/Users/CEXLSZ4/Desktop/Felix/SIP/2026/Weekly%20SIP%20WK25%202026-internal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AppData/Local/Microsoft/Olk/Attachments/ooa-35439fb9-50f9-4790-89ce-637000cbd842/475836be7dd5595eb908440b3205e9cfe1f67d720bb38e46f598a6e83bd91d4c/Weekly%20SIP%20WK26%202026-internal.xlsx" TargetMode="External"/><Relationship Id="rId2" Type="http://schemas.openxmlformats.org/officeDocument/2006/relationships/externalLinkPath" Target="file:///C:\Users\CEXLSZ4\AppData\Local\Microsoft\Olk\Attachments\ooa-35439fb9-50f9-4790-89ce-637000cbd842\475836be7dd5595eb908440b3205e9cfe1f67d720bb38e46f598a6e83bd91d4c\Weekly%20SIP%20WK26%202026-internal.xlsx" TargetMode="External"/><Relationship Id="rId1" Type="http://schemas.openxmlformats.org/officeDocument/2006/relationships/externalLinkPath" Target="/Users/CEXLSZ4/AppData/Local/Microsoft/Olk/Attachments/ooa-35439fb9-50f9-4790-89ce-637000cbd842/475836be7dd5595eb908440b3205e9cfe1f67d720bb38e46f598a6e83bd91d4c/Weekly%20SIP%20WK26%202026-internal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11.26/CategorySIPMaintain11.20.xlsx" TargetMode="External"/><Relationship Id="rId2" Type="http://schemas.openxmlformats.org/officeDocument/2006/relationships/externalLinkPath" Target="file:///C:\Users\CEXLSZ4\Desktop\Monica\Daily%20Plan\11.26\CategorySIPMaintain11.20.xlsx" TargetMode="External"/><Relationship Id="rId1" Type="http://schemas.openxmlformats.org/officeDocument/2006/relationships/externalLinkPath" Target="/Users/CEXLSZ4/Desktop/Monica/Daily%20Plan/11.26/CategorySIPMaintain11.20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12.11/CategorySIPMaintain12.05.xlsx" TargetMode="External"/><Relationship Id="rId2" Type="http://schemas.openxmlformats.org/officeDocument/2006/relationships/externalLinkPath" Target="file:///C:\Users\CEXLSZ4\Desktop\Monica\Daily%20Plan\12.11\CategorySIPMaintain12.05.xlsx" TargetMode="External"/><Relationship Id="rId1" Type="http://schemas.openxmlformats.org/officeDocument/2006/relationships/externalLinkPath" Target="/Users/CEXLSZ4/Desktop/Monica/Daily%20Plan/12.11/CategorySIPMaintain12.05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12.19/CategorySIPMaintain12.12.xlsx" TargetMode="External"/><Relationship Id="rId2" Type="http://schemas.openxmlformats.org/officeDocument/2006/relationships/externalLinkPath" Target="file:///C:\Users\CEXLSZ4\Desktop\Monica\Daily%20Plan\12.19\CategorySIPMaintain12.12.xlsx" TargetMode="External"/><Relationship Id="rId1" Type="http://schemas.openxmlformats.org/officeDocument/2006/relationships/externalLinkPath" Target="/Users/CEXLSZ4/Desktop/Monica/Daily%20Plan/12.19/CategorySIPMaintain12.12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12.24/CategorySIPMaintain12.19.xlsx" TargetMode="External"/><Relationship Id="rId2" Type="http://schemas.openxmlformats.org/officeDocument/2006/relationships/externalLinkPath" Target="file:///C:\Users\CEXLSZ4\Desktop\Monica\Daily%20Plan\12.24\CategorySIPMaintain12.19.xlsx" TargetMode="External"/><Relationship Id="rId1" Type="http://schemas.openxmlformats.org/officeDocument/2006/relationships/externalLinkPath" Target="/Users/CEXLSZ4/Desktop/Monica/Daily%20Plan/12.24/CategorySIPMaintain12.19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EXLSZ4\Desktop\Monica\Daily%20Plan\6.31\Anode%203-4-7.1.xlsx" TargetMode="External"/><Relationship Id="rId1" Type="http://schemas.openxmlformats.org/officeDocument/2006/relationships/externalLinkPath" Target="Anode%203-4-7.1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wnloads/PlanningSIPSummary%20(2).xlsx" TargetMode="External"/><Relationship Id="rId1" Type="http://schemas.openxmlformats.org/officeDocument/2006/relationships/externalLinkPath" Target="/Users/CEXLSZ4/Downloads/PlanningSIPSummary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olding- Cap"/>
      <sheetName val="Summary"/>
      <sheetName val="KO SIP Plan history"/>
      <sheetName val="KO SIP Plan"/>
      <sheetName val="42up Cap"/>
      <sheetName val="Model line"/>
      <sheetName val="2026CNY Att."/>
      <sheetName val="Daily SIP"/>
      <sheetName val="Weekly SIP"/>
      <sheetName val="ENG Request"/>
      <sheetName val="HC"/>
      <sheetName val="Key PN Rate"/>
      <sheetName val="2022 National Day Shut down"/>
      <sheetName val="2023 Tomb-Sweeping Day"/>
      <sheetName val="2024 Labour Day"/>
      <sheetName val="2023 Dragon Boat Festival"/>
      <sheetName val="2022 Dec Shut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N1"/>
        </row>
        <row r="2">
          <cell r="A2" t="str">
            <v>Efficiency Avg</v>
          </cell>
          <cell r="N2"/>
        </row>
        <row r="3">
          <cell r="A3" t="str">
            <v>Weeknum</v>
          </cell>
          <cell r="N3" t="str">
            <v>WK26</v>
          </cell>
        </row>
        <row r="4">
          <cell r="A4" t="str">
            <v>Work days</v>
          </cell>
          <cell r="N4">
            <v>7</v>
          </cell>
        </row>
        <row r="5">
          <cell r="A5" t="str">
            <v>WK End</v>
          </cell>
          <cell r="N5">
            <v>46199</v>
          </cell>
        </row>
        <row r="6">
          <cell r="A6" t="str">
            <v>B</v>
          </cell>
          <cell r="N6">
            <v>650</v>
          </cell>
        </row>
        <row r="7">
          <cell r="A7" t="str">
            <v>T59B</v>
          </cell>
          <cell r="N7">
            <v>300</v>
          </cell>
        </row>
        <row r="8">
          <cell r="A8" t="str">
            <v>T59B 2</v>
          </cell>
          <cell r="N8"/>
        </row>
        <row r="9">
          <cell r="A9" t="str">
            <v>B-A42</v>
          </cell>
          <cell r="N9"/>
        </row>
        <row r="10">
          <cell r="A10" t="str">
            <v>T528B</v>
          </cell>
          <cell r="N10"/>
        </row>
        <row r="11">
          <cell r="A11" t="str">
            <v>M</v>
          </cell>
          <cell r="N11"/>
        </row>
        <row r="12">
          <cell r="A12" t="str">
            <v>T</v>
          </cell>
          <cell r="N12">
            <v>300</v>
          </cell>
        </row>
        <row r="13">
          <cell r="A13" t="str">
            <v>T-G</v>
          </cell>
          <cell r="N13">
            <v>150</v>
          </cell>
        </row>
        <row r="14">
          <cell r="A14" t="str">
            <v>Flat T</v>
          </cell>
          <cell r="N14">
            <v>42</v>
          </cell>
        </row>
        <row r="15">
          <cell r="A15" t="str">
            <v>T-A42</v>
          </cell>
          <cell r="N15">
            <v>1050</v>
          </cell>
        </row>
        <row r="16">
          <cell r="A16" t="str">
            <v>T-FP</v>
          </cell>
          <cell r="N16"/>
        </row>
        <row r="17">
          <cell r="A17" t="str">
            <v>C</v>
          </cell>
          <cell r="N17">
            <v>33</v>
          </cell>
        </row>
        <row r="18">
          <cell r="A18" t="str">
            <v>U</v>
          </cell>
          <cell r="N18"/>
        </row>
        <row r="19">
          <cell r="A19" t="str">
            <v>L</v>
          </cell>
          <cell r="N19"/>
        </row>
        <row r="20">
          <cell r="A20" t="str">
            <v>T523T</v>
          </cell>
          <cell r="N20"/>
        </row>
        <row r="21">
          <cell r="A21" t="str">
            <v>T523K</v>
          </cell>
          <cell r="N21"/>
        </row>
        <row r="22">
          <cell r="A22" t="str">
            <v>D</v>
          </cell>
          <cell r="N22">
            <v>950</v>
          </cell>
        </row>
        <row r="23">
          <cell r="A23" t="str">
            <v>1.9V</v>
          </cell>
          <cell r="N23">
            <v>80</v>
          </cell>
        </row>
        <row r="24">
          <cell r="A24" t="str">
            <v>2.0V</v>
          </cell>
          <cell r="N24">
            <v>190</v>
          </cell>
        </row>
        <row r="25">
          <cell r="A25" t="str">
            <v>W</v>
          </cell>
          <cell r="N25">
            <v>60</v>
          </cell>
        </row>
        <row r="26">
          <cell r="A26" t="str">
            <v>Q</v>
          </cell>
          <cell r="N26">
            <v>0</v>
          </cell>
        </row>
        <row r="27">
          <cell r="A27" t="str">
            <v>X</v>
          </cell>
          <cell r="N27">
            <v>20</v>
          </cell>
        </row>
        <row r="28">
          <cell r="A28" t="str">
            <v>Y</v>
          </cell>
          <cell r="N28">
            <v>10</v>
          </cell>
        </row>
        <row r="29">
          <cell r="A29" t="str">
            <v>T530D 2</v>
          </cell>
          <cell r="N29"/>
        </row>
        <row r="30">
          <cell r="A30" t="str">
            <v>T530D 3</v>
          </cell>
          <cell r="N30">
            <v>84</v>
          </cell>
        </row>
        <row r="31">
          <cell r="A31" t="str">
            <v>T530X</v>
          </cell>
          <cell r="N31">
            <v>190</v>
          </cell>
        </row>
        <row r="32">
          <cell r="A32" t="str">
            <v>T521X</v>
          </cell>
          <cell r="N32">
            <v>90</v>
          </cell>
        </row>
        <row r="33">
          <cell r="A33" t="str">
            <v>T530Y</v>
          </cell>
          <cell r="N33">
            <v>380</v>
          </cell>
        </row>
        <row r="34">
          <cell r="A34" t="str">
            <v>T59D 2</v>
          </cell>
          <cell r="N34">
            <v>504</v>
          </cell>
        </row>
        <row r="35">
          <cell r="A35" t="str">
            <v>T59D 1</v>
          </cell>
          <cell r="N35">
            <v>190</v>
          </cell>
        </row>
        <row r="36">
          <cell r="A36" t="str">
            <v>T59V</v>
          </cell>
          <cell r="N36">
            <v>450</v>
          </cell>
        </row>
        <row r="37">
          <cell r="A37" t="str">
            <v>T59X</v>
          </cell>
          <cell r="N37"/>
        </row>
        <row r="38">
          <cell r="A38" t="str">
            <v>T528Z 1</v>
          </cell>
          <cell r="N38"/>
        </row>
        <row r="39">
          <cell r="A39" t="str">
            <v>T528Z 2</v>
          </cell>
          <cell r="N39"/>
        </row>
        <row r="40">
          <cell r="A40" t="str">
            <v>T520DV 2</v>
          </cell>
          <cell r="N40"/>
        </row>
        <row r="41">
          <cell r="A41" t="str">
            <v>T528W</v>
          </cell>
          <cell r="N41"/>
        </row>
        <row r="42">
          <cell r="A42" t="str">
            <v>T523V</v>
          </cell>
          <cell r="N42"/>
        </row>
        <row r="43">
          <cell r="A43" t="str">
            <v>T523W</v>
          </cell>
          <cell r="N43">
            <v>300</v>
          </cell>
        </row>
        <row r="44">
          <cell r="A44" t="str">
            <v>T523H</v>
          </cell>
          <cell r="N44">
            <v>80</v>
          </cell>
        </row>
        <row r="45">
          <cell r="A45" t="str">
            <v>Total</v>
          </cell>
          <cell r="N45">
            <v>6103</v>
          </cell>
        </row>
        <row r="46">
          <cell r="A46" t="str">
            <v>42up</v>
          </cell>
          <cell r="N46">
            <v>2525</v>
          </cell>
        </row>
        <row r="47">
          <cell r="A47" t="str">
            <v>32up</v>
          </cell>
          <cell r="N47">
            <v>3578</v>
          </cell>
        </row>
        <row r="48">
          <cell r="A48" t="str">
            <v>42Age</v>
          </cell>
          <cell r="N48">
            <v>2525</v>
          </cell>
        </row>
        <row r="49">
          <cell r="A49" t="str">
            <v>32Age</v>
          </cell>
          <cell r="N49">
            <v>2830</v>
          </cell>
        </row>
        <row r="50">
          <cell r="A50" t="str">
            <v>Mats+Tesla</v>
          </cell>
          <cell r="N50">
            <v>1248</v>
          </cell>
        </row>
        <row r="51">
          <cell r="A51" t="str">
            <v>B</v>
          </cell>
          <cell r="N51">
            <v>950</v>
          </cell>
        </row>
        <row r="52">
          <cell r="A52" t="str">
            <v>T</v>
          </cell>
          <cell r="N52">
            <v>450</v>
          </cell>
        </row>
        <row r="53">
          <cell r="A53" t="str">
            <v>M</v>
          </cell>
          <cell r="N53">
            <v>0</v>
          </cell>
        </row>
        <row r="54">
          <cell r="A54" t="str">
            <v>CUL</v>
          </cell>
          <cell r="N54">
            <v>33</v>
          </cell>
        </row>
        <row r="55">
          <cell r="A55" t="str">
            <v>FT</v>
          </cell>
          <cell r="N55">
            <v>42</v>
          </cell>
        </row>
        <row r="56">
          <cell r="A56" t="str">
            <v>FD</v>
          </cell>
          <cell r="N56">
            <v>0</v>
          </cell>
        </row>
        <row r="57">
          <cell r="A57" t="str">
            <v>520DVWQ</v>
          </cell>
          <cell r="N57">
            <v>1280</v>
          </cell>
        </row>
        <row r="58">
          <cell r="A58" t="str">
            <v>Auto(59DV)</v>
          </cell>
          <cell r="N58">
            <v>640</v>
          </cell>
        </row>
        <row r="59">
          <cell r="A59" t="str">
            <v>T528Z/T523WV</v>
          </cell>
          <cell r="N59">
            <v>300</v>
          </cell>
        </row>
        <row r="60">
          <cell r="A60" t="str">
            <v>XY</v>
          </cell>
          <cell r="N60">
            <v>250</v>
          </cell>
        </row>
        <row r="61">
          <cell r="A61" t="str">
            <v>Mats</v>
          </cell>
          <cell r="N61">
            <v>744</v>
          </cell>
        </row>
        <row r="62">
          <cell r="A62" t="str">
            <v>Mats-Tesla</v>
          </cell>
          <cell r="N62">
            <v>504</v>
          </cell>
        </row>
        <row r="63">
          <cell r="A63" t="str">
            <v>D-CV</v>
          </cell>
          <cell r="N63">
            <v>978</v>
          </cell>
        </row>
        <row r="64">
          <cell r="A64" t="str">
            <v>D-GH</v>
          </cell>
          <cell r="N64">
            <v>442</v>
          </cell>
        </row>
        <row r="65">
          <cell r="A65" t="str">
            <v>Total D</v>
          </cell>
          <cell r="N65">
            <v>1420</v>
          </cell>
        </row>
        <row r="66">
          <cell r="A66" t="str">
            <v>V</v>
          </cell>
          <cell r="N66">
            <v>720</v>
          </cell>
        </row>
        <row r="67">
          <cell r="A67" t="str">
            <v>530D 2</v>
          </cell>
          <cell r="N67">
            <v>504</v>
          </cell>
        </row>
        <row r="68">
          <cell r="A68" t="str">
            <v>Total X</v>
          </cell>
          <cell r="N68">
            <v>660</v>
          </cell>
        </row>
        <row r="69">
          <cell r="A69" t="str">
            <v>T530X - 2</v>
          </cell>
          <cell r="N69">
            <v>20</v>
          </cell>
        </row>
        <row r="70">
          <cell r="A70" t="str">
            <v>T530X - 3</v>
          </cell>
          <cell r="N70">
            <v>170</v>
          </cell>
        </row>
        <row r="71">
          <cell r="A71" t="str">
            <v>T521X - 2</v>
          </cell>
          <cell r="N71">
            <v>68</v>
          </cell>
        </row>
        <row r="72">
          <cell r="A72" t="str">
            <v>T521X - 3</v>
          </cell>
          <cell r="N72">
            <v>22</v>
          </cell>
        </row>
        <row r="73">
          <cell r="A73" t="str">
            <v xml:space="preserve">T530Y - 2 </v>
          </cell>
          <cell r="N73">
            <v>378</v>
          </cell>
        </row>
        <row r="74">
          <cell r="A74" t="str">
            <v>T530Y - 3</v>
          </cell>
          <cell r="N74">
            <v>2</v>
          </cell>
        </row>
        <row r="75">
          <cell r="A75"/>
          <cell r="N75"/>
        </row>
        <row r="76">
          <cell r="A76" t="str">
            <v>After Ass</v>
          </cell>
        </row>
        <row r="77">
          <cell r="A77" t="str">
            <v>Total X</v>
          </cell>
          <cell r="N77">
            <v>128</v>
          </cell>
        </row>
        <row r="78">
          <cell r="A78" t="str">
            <v>Total Y</v>
          </cell>
          <cell r="N78">
            <v>199.66666666666666</v>
          </cell>
        </row>
        <row r="79">
          <cell r="A79"/>
          <cell r="N79">
            <v>327.66666666666663</v>
          </cell>
        </row>
        <row r="80">
          <cell r="A80"/>
          <cell r="N80"/>
        </row>
        <row r="81">
          <cell r="A81" t="str">
            <v>1.9V</v>
          </cell>
          <cell r="N81">
            <v>80</v>
          </cell>
        </row>
        <row r="82">
          <cell r="A82" t="str">
            <v>2.0V</v>
          </cell>
          <cell r="N82">
            <v>190</v>
          </cell>
        </row>
        <row r="83">
          <cell r="A83" t="str">
            <v>59*V</v>
          </cell>
          <cell r="N83">
            <v>450</v>
          </cell>
        </row>
        <row r="84">
          <cell r="A84" t="str">
            <v>W</v>
          </cell>
          <cell r="N84">
            <v>60</v>
          </cell>
        </row>
        <row r="85">
          <cell r="A85" t="str">
            <v>59*Y</v>
          </cell>
          <cell r="N85">
            <v>199.66666666666666</v>
          </cell>
        </row>
        <row r="86">
          <cell r="A86" t="str">
            <v>59*D-CV</v>
          </cell>
          <cell r="N86">
            <v>950</v>
          </cell>
        </row>
        <row r="87">
          <cell r="A87" t="str">
            <v>59*D-G</v>
          </cell>
          <cell r="N87">
            <v>442</v>
          </cell>
        </row>
        <row r="88">
          <cell r="A88" t="str">
            <v>59*X-CV</v>
          </cell>
          <cell r="N88">
            <v>128</v>
          </cell>
        </row>
        <row r="89">
          <cell r="A89"/>
        </row>
        <row r="91">
          <cell r="A91" t="str">
            <v>1.9V</v>
          </cell>
          <cell r="N91">
            <v>0.42105263157894735</v>
          </cell>
        </row>
        <row r="92">
          <cell r="A92" t="str">
            <v>2.0V</v>
          </cell>
          <cell r="N92">
            <v>1</v>
          </cell>
        </row>
        <row r="93">
          <cell r="A93" t="str">
            <v>59*V</v>
          </cell>
          <cell r="N93">
            <v>3.75</v>
          </cell>
        </row>
        <row r="94">
          <cell r="A94" t="str">
            <v>W-NFT</v>
          </cell>
          <cell r="N94">
            <v>1.1111111111111112</v>
          </cell>
        </row>
        <row r="95">
          <cell r="A95" t="str">
            <v>59*Y</v>
          </cell>
          <cell r="N95">
            <v>1.6638888888888888</v>
          </cell>
        </row>
        <row r="96">
          <cell r="A96" t="str">
            <v>59*D-CV</v>
          </cell>
          <cell r="N96">
            <v>5.2777777777777777</v>
          </cell>
        </row>
        <row r="97">
          <cell r="A97" t="str">
            <v>59*D-G</v>
          </cell>
          <cell r="N97">
            <v>3.6833333333333331</v>
          </cell>
        </row>
        <row r="98">
          <cell r="A98" t="str">
            <v>59*X-CV</v>
          </cell>
          <cell r="N98">
            <v>0.85333333333333339</v>
          </cell>
        </row>
        <row r="99">
          <cell r="A99" t="str">
            <v>ASSA</v>
          </cell>
          <cell r="N99">
            <v>16.64938596491228</v>
          </cell>
        </row>
        <row r="100">
          <cell r="A100" t="str">
            <v>NFT</v>
          </cell>
          <cell r="N100">
            <v>1.1111111111111112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olding- Cap"/>
      <sheetName val="Summary"/>
      <sheetName val="KO SIP Plan history"/>
      <sheetName val="KO SIP Plan"/>
      <sheetName val="42up Cap"/>
      <sheetName val="Model line"/>
      <sheetName val="2026CNY Att."/>
      <sheetName val="Daily SIP"/>
      <sheetName val="Weekly SIP"/>
      <sheetName val="ENG Request"/>
      <sheetName val="HC"/>
      <sheetName val="Key PN Rate"/>
      <sheetName val="2022 National Day Shut down"/>
      <sheetName val="2023 Tomb-Sweeping Day"/>
      <sheetName val="2024 Labour Day"/>
      <sheetName val="2023 Dragon Boat Festival"/>
      <sheetName val="2022 Dec Shut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N1"/>
        </row>
        <row r="2">
          <cell r="A2" t="str">
            <v>Efficiency Avg</v>
          </cell>
          <cell r="N2"/>
        </row>
        <row r="3">
          <cell r="A3" t="str">
            <v>Weeknum</v>
          </cell>
          <cell r="N3" t="str">
            <v>WK26</v>
          </cell>
        </row>
        <row r="4">
          <cell r="A4" t="str">
            <v>Work days</v>
          </cell>
          <cell r="N4">
            <v>7</v>
          </cell>
        </row>
        <row r="5">
          <cell r="A5" t="str">
            <v>WK End</v>
          </cell>
          <cell r="N5">
            <v>46199</v>
          </cell>
        </row>
        <row r="6">
          <cell r="A6" t="str">
            <v>B</v>
          </cell>
          <cell r="N6">
            <v>650</v>
          </cell>
        </row>
        <row r="7">
          <cell r="A7" t="str">
            <v>T59B</v>
          </cell>
          <cell r="N7">
            <v>300</v>
          </cell>
        </row>
        <row r="8">
          <cell r="A8" t="str">
            <v>T59B 2</v>
          </cell>
          <cell r="N8"/>
        </row>
        <row r="9">
          <cell r="A9" t="str">
            <v>B-A42</v>
          </cell>
          <cell r="N9"/>
        </row>
        <row r="10">
          <cell r="A10" t="str">
            <v>T528B</v>
          </cell>
          <cell r="N10"/>
        </row>
        <row r="11">
          <cell r="A11" t="str">
            <v>M</v>
          </cell>
          <cell r="N11"/>
        </row>
        <row r="12">
          <cell r="A12" t="str">
            <v>T</v>
          </cell>
          <cell r="N12">
            <v>300</v>
          </cell>
        </row>
        <row r="13">
          <cell r="A13" t="str">
            <v>T-G</v>
          </cell>
          <cell r="N13">
            <v>150</v>
          </cell>
        </row>
        <row r="14">
          <cell r="A14" t="str">
            <v>Flat T</v>
          </cell>
          <cell r="N14">
            <v>42</v>
          </cell>
        </row>
        <row r="15">
          <cell r="A15" t="str">
            <v>T-A42</v>
          </cell>
          <cell r="N15">
            <v>1100</v>
          </cell>
        </row>
        <row r="16">
          <cell r="A16" t="str">
            <v>T-FP</v>
          </cell>
          <cell r="N16"/>
        </row>
        <row r="17">
          <cell r="A17" t="str">
            <v>C</v>
          </cell>
          <cell r="N17">
            <v>33</v>
          </cell>
        </row>
        <row r="18">
          <cell r="A18" t="str">
            <v>U</v>
          </cell>
          <cell r="N18"/>
        </row>
        <row r="19">
          <cell r="A19" t="str">
            <v>L</v>
          </cell>
          <cell r="N19"/>
        </row>
        <row r="20">
          <cell r="A20" t="str">
            <v>T523T</v>
          </cell>
          <cell r="N20"/>
        </row>
        <row r="21">
          <cell r="A21" t="str">
            <v>T523K</v>
          </cell>
          <cell r="N21"/>
        </row>
        <row r="22">
          <cell r="A22" t="str">
            <v>D</v>
          </cell>
          <cell r="N22">
            <v>1000</v>
          </cell>
        </row>
        <row r="23">
          <cell r="A23" t="str">
            <v>1.9V</v>
          </cell>
          <cell r="N23">
            <v>80</v>
          </cell>
        </row>
        <row r="24">
          <cell r="A24" t="str">
            <v>2.0V</v>
          </cell>
          <cell r="N24">
            <v>150</v>
          </cell>
        </row>
        <row r="25">
          <cell r="A25" t="str">
            <v>W</v>
          </cell>
          <cell r="N25">
            <v>60</v>
          </cell>
        </row>
        <row r="26">
          <cell r="A26" t="str">
            <v>Q</v>
          </cell>
          <cell r="N26">
            <v>0</v>
          </cell>
        </row>
        <row r="27">
          <cell r="A27" t="str">
            <v>X</v>
          </cell>
          <cell r="N27">
            <v>30</v>
          </cell>
        </row>
        <row r="28">
          <cell r="A28" t="str">
            <v>Y</v>
          </cell>
          <cell r="N28">
            <v>10</v>
          </cell>
        </row>
        <row r="29">
          <cell r="A29" t="str">
            <v>T530D 2</v>
          </cell>
          <cell r="N29"/>
        </row>
        <row r="30">
          <cell r="A30" t="str">
            <v>T530D 3</v>
          </cell>
          <cell r="N30">
            <v>84</v>
          </cell>
        </row>
        <row r="31">
          <cell r="A31" t="str">
            <v>T530X</v>
          </cell>
          <cell r="N31">
            <v>260</v>
          </cell>
        </row>
        <row r="32">
          <cell r="A32" t="str">
            <v>T521X</v>
          </cell>
          <cell r="N32">
            <v>90</v>
          </cell>
        </row>
        <row r="33">
          <cell r="A33" t="str">
            <v>T530Y</v>
          </cell>
          <cell r="N33">
            <v>380</v>
          </cell>
        </row>
        <row r="34">
          <cell r="A34" t="str">
            <v>T59D 2</v>
          </cell>
          <cell r="N34">
            <v>462</v>
          </cell>
        </row>
        <row r="35">
          <cell r="A35" t="str">
            <v>T59D 1</v>
          </cell>
          <cell r="N35">
            <v>170</v>
          </cell>
        </row>
        <row r="36">
          <cell r="A36" t="str">
            <v>T59V</v>
          </cell>
          <cell r="N36">
            <v>450</v>
          </cell>
        </row>
        <row r="37">
          <cell r="A37" t="str">
            <v>T59X</v>
          </cell>
          <cell r="N37"/>
        </row>
        <row r="38">
          <cell r="A38" t="str">
            <v>T528Z 1</v>
          </cell>
          <cell r="N38"/>
        </row>
        <row r="39">
          <cell r="A39" t="str">
            <v>T528Z 2</v>
          </cell>
          <cell r="N39"/>
        </row>
        <row r="40">
          <cell r="A40" t="str">
            <v>T520DV 2</v>
          </cell>
          <cell r="N40"/>
        </row>
        <row r="41">
          <cell r="A41" t="str">
            <v>T528W</v>
          </cell>
          <cell r="N41"/>
        </row>
        <row r="42">
          <cell r="A42" t="str">
            <v>T523V</v>
          </cell>
          <cell r="N42"/>
        </row>
        <row r="43">
          <cell r="A43" t="str">
            <v>T523W</v>
          </cell>
          <cell r="N43">
            <v>300</v>
          </cell>
        </row>
        <row r="44">
          <cell r="A44" t="str">
            <v>T523H</v>
          </cell>
          <cell r="N44">
            <v>80</v>
          </cell>
        </row>
        <row r="45">
          <cell r="A45" t="str">
            <v>Total</v>
          </cell>
          <cell r="N45">
            <v>6181</v>
          </cell>
        </row>
        <row r="46">
          <cell r="A46" t="str">
            <v>42up</v>
          </cell>
          <cell r="N46">
            <v>2575</v>
          </cell>
        </row>
        <row r="47">
          <cell r="A47" t="str">
            <v>32up</v>
          </cell>
          <cell r="N47">
            <v>3606</v>
          </cell>
        </row>
        <row r="48">
          <cell r="A48" t="str">
            <v>42Age</v>
          </cell>
          <cell r="N48">
            <v>2575</v>
          </cell>
        </row>
        <row r="49">
          <cell r="A49" t="str">
            <v>32Age</v>
          </cell>
          <cell r="N49">
            <v>2832.3333333333335</v>
          </cell>
        </row>
        <row r="50">
          <cell r="A50" t="str">
            <v>Mats+Tesla</v>
          </cell>
          <cell r="N50">
            <v>1276</v>
          </cell>
        </row>
        <row r="51">
          <cell r="A51" t="str">
            <v>B</v>
          </cell>
          <cell r="N51">
            <v>950</v>
          </cell>
        </row>
        <row r="52">
          <cell r="A52" t="str">
            <v>T</v>
          </cell>
          <cell r="N52">
            <v>450</v>
          </cell>
        </row>
        <row r="53">
          <cell r="A53" t="str">
            <v>M</v>
          </cell>
          <cell r="N53">
            <v>0</v>
          </cell>
        </row>
        <row r="54">
          <cell r="A54" t="str">
            <v>CUL</v>
          </cell>
          <cell r="N54">
            <v>33</v>
          </cell>
        </row>
        <row r="55">
          <cell r="A55" t="str">
            <v>FT</v>
          </cell>
          <cell r="N55">
            <v>42</v>
          </cell>
        </row>
        <row r="56">
          <cell r="A56" t="str">
            <v>FD</v>
          </cell>
          <cell r="N56">
            <v>0</v>
          </cell>
        </row>
        <row r="57">
          <cell r="A57" t="str">
            <v>520DVWQ</v>
          </cell>
          <cell r="N57">
            <v>1290</v>
          </cell>
        </row>
        <row r="58">
          <cell r="A58" t="str">
            <v>Auto(59DV)</v>
          </cell>
          <cell r="N58">
            <v>620</v>
          </cell>
        </row>
        <row r="59">
          <cell r="A59" t="str">
            <v>T528Z/T523WV</v>
          </cell>
          <cell r="N59">
            <v>300</v>
          </cell>
        </row>
        <row r="60">
          <cell r="A60" t="str">
            <v>XY</v>
          </cell>
          <cell r="N60">
            <v>283.33333333333337</v>
          </cell>
        </row>
        <row r="61">
          <cell r="A61" t="str">
            <v>Mats</v>
          </cell>
          <cell r="N61">
            <v>814</v>
          </cell>
        </row>
        <row r="62">
          <cell r="A62" t="str">
            <v>Mats-Tesla</v>
          </cell>
          <cell r="N62">
            <v>462</v>
          </cell>
        </row>
        <row r="63">
          <cell r="A63" t="str">
            <v>D-CV</v>
          </cell>
          <cell r="N63">
            <v>1028</v>
          </cell>
        </row>
        <row r="64">
          <cell r="A64" t="str">
            <v>D-GH</v>
          </cell>
          <cell r="N64">
            <v>401</v>
          </cell>
        </row>
        <row r="65">
          <cell r="A65" t="str">
            <v>Total D</v>
          </cell>
          <cell r="N65">
            <v>1429</v>
          </cell>
        </row>
        <row r="66">
          <cell r="A66" t="str">
            <v>V</v>
          </cell>
          <cell r="N66">
            <v>680</v>
          </cell>
        </row>
        <row r="67">
          <cell r="A67" t="str">
            <v>530D 2</v>
          </cell>
          <cell r="N67">
            <v>462</v>
          </cell>
        </row>
        <row r="68">
          <cell r="A68" t="str">
            <v>Total X</v>
          </cell>
          <cell r="N68">
            <v>730</v>
          </cell>
        </row>
        <row r="69">
          <cell r="A69" t="str">
            <v>T530X - 2</v>
          </cell>
          <cell r="N69">
            <v>20</v>
          </cell>
        </row>
        <row r="70">
          <cell r="A70" t="str">
            <v>T530X - 3</v>
          </cell>
          <cell r="N70">
            <v>240</v>
          </cell>
        </row>
        <row r="71">
          <cell r="A71" t="str">
            <v>T521X - 2</v>
          </cell>
          <cell r="N71">
            <v>68</v>
          </cell>
        </row>
        <row r="72">
          <cell r="A72" t="str">
            <v>T521X - 3</v>
          </cell>
          <cell r="N72">
            <v>22</v>
          </cell>
        </row>
        <row r="73">
          <cell r="A73" t="str">
            <v xml:space="preserve">T530Y - 2 </v>
          </cell>
          <cell r="N73">
            <v>378</v>
          </cell>
        </row>
        <row r="74">
          <cell r="A74" t="str">
            <v>T530Y - 3</v>
          </cell>
          <cell r="N74">
            <v>2</v>
          </cell>
        </row>
        <row r="75">
          <cell r="A75"/>
          <cell r="N75"/>
        </row>
        <row r="76">
          <cell r="A76" t="str">
            <v>After Ass</v>
          </cell>
        </row>
        <row r="77">
          <cell r="A77" t="str">
            <v>Total X</v>
          </cell>
          <cell r="N77">
            <v>161.33333333333331</v>
          </cell>
        </row>
        <row r="78">
          <cell r="A78" t="str">
            <v>Total Y</v>
          </cell>
          <cell r="N78">
            <v>199.66666666666666</v>
          </cell>
        </row>
        <row r="79">
          <cell r="A79"/>
          <cell r="N79">
            <v>361</v>
          </cell>
        </row>
        <row r="80">
          <cell r="A80"/>
          <cell r="N80"/>
        </row>
        <row r="81">
          <cell r="A81" t="str">
            <v>1.9V</v>
          </cell>
          <cell r="N81">
            <v>80</v>
          </cell>
        </row>
        <row r="82">
          <cell r="A82" t="str">
            <v>2.0V</v>
          </cell>
          <cell r="N82">
            <v>150</v>
          </cell>
        </row>
        <row r="83">
          <cell r="A83" t="str">
            <v>59*V</v>
          </cell>
          <cell r="N83">
            <v>450</v>
          </cell>
        </row>
        <row r="84">
          <cell r="A84" t="str">
            <v>W</v>
          </cell>
          <cell r="N84">
            <v>60</v>
          </cell>
        </row>
        <row r="85">
          <cell r="A85" t="str">
            <v>59*Y</v>
          </cell>
          <cell r="N85">
            <v>199.66666666666666</v>
          </cell>
        </row>
        <row r="86">
          <cell r="A86" t="str">
            <v>59*D-CV</v>
          </cell>
          <cell r="N86">
            <v>1000</v>
          </cell>
        </row>
        <row r="87">
          <cell r="A87" t="str">
            <v>59*D-G</v>
          </cell>
          <cell r="N87">
            <v>401</v>
          </cell>
        </row>
        <row r="88">
          <cell r="A88" t="str">
            <v>59*X-CV</v>
          </cell>
          <cell r="N88">
            <v>161.33333333333331</v>
          </cell>
        </row>
        <row r="89">
          <cell r="A89"/>
        </row>
        <row r="91">
          <cell r="A91" t="str">
            <v>1.9V</v>
          </cell>
          <cell r="N91">
            <v>0.42105263157894735</v>
          </cell>
        </row>
        <row r="92">
          <cell r="A92" t="str">
            <v>2.0V</v>
          </cell>
          <cell r="N92">
            <v>0.78947368421052633</v>
          </cell>
        </row>
        <row r="93">
          <cell r="A93" t="str">
            <v>59*V</v>
          </cell>
          <cell r="N93">
            <v>3.75</v>
          </cell>
        </row>
        <row r="94">
          <cell r="A94" t="str">
            <v>W-NFT</v>
          </cell>
          <cell r="N94">
            <v>1.1111111111111112</v>
          </cell>
        </row>
        <row r="95">
          <cell r="A95" t="str">
            <v>59*Y</v>
          </cell>
          <cell r="N95">
            <v>1.6638888888888888</v>
          </cell>
        </row>
        <row r="96">
          <cell r="A96" t="str">
            <v>59*D-CV</v>
          </cell>
          <cell r="N96">
            <v>5.5555555555555554</v>
          </cell>
        </row>
        <row r="97">
          <cell r="A97" t="str">
            <v>59*D-G</v>
          </cell>
          <cell r="N97">
            <v>3.3416666666666668</v>
          </cell>
        </row>
        <row r="98">
          <cell r="A98" t="str">
            <v>59*X-CV</v>
          </cell>
          <cell r="N98">
            <v>1.0755555555555554</v>
          </cell>
        </row>
        <row r="99">
          <cell r="A99" t="str">
            <v>ASSA</v>
          </cell>
          <cell r="N99">
            <v>16.597192982456139</v>
          </cell>
        </row>
        <row r="100">
          <cell r="A100" t="str">
            <v>NFT</v>
          </cell>
          <cell r="N100">
            <v>1.1111111111111112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olding- Cap"/>
      <sheetName val="Summary"/>
      <sheetName val="KO SIP Plan history"/>
      <sheetName val="KO SIP Plan"/>
      <sheetName val="42up Cap"/>
      <sheetName val="Model line"/>
      <sheetName val="2026CNY Att."/>
      <sheetName val="Daily SIP"/>
      <sheetName val="Weekly SIP"/>
      <sheetName val="ENG Request"/>
      <sheetName val="HC"/>
      <sheetName val="Key PN Rate"/>
      <sheetName val="2022 National Day Shut down"/>
      <sheetName val="2023 Tomb-Sweeping Day"/>
      <sheetName val="2024 Labour Day"/>
      <sheetName val="2023 Dragon Boat Festival"/>
      <sheetName val="2022 Dec Shut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K1"/>
        </row>
        <row r="2">
          <cell r="A2" t="str">
            <v>Efficiency Avg</v>
          </cell>
          <cell r="K2"/>
        </row>
        <row r="3">
          <cell r="A3" t="str">
            <v>Weeknum</v>
          </cell>
          <cell r="K3" t="str">
            <v>WK27</v>
          </cell>
        </row>
        <row r="4">
          <cell r="A4" t="str">
            <v>Work days</v>
          </cell>
          <cell r="K4">
            <v>7</v>
          </cell>
        </row>
        <row r="5">
          <cell r="A5" t="str">
            <v>WK End</v>
          </cell>
          <cell r="K5">
            <v>46206</v>
          </cell>
        </row>
        <row r="6">
          <cell r="A6" t="str">
            <v>B</v>
          </cell>
          <cell r="K6">
            <v>700</v>
          </cell>
        </row>
        <row r="7">
          <cell r="A7" t="str">
            <v>T59B</v>
          </cell>
          <cell r="K7">
            <v>300</v>
          </cell>
        </row>
        <row r="8">
          <cell r="A8" t="str">
            <v>T59B 2</v>
          </cell>
          <cell r="K8"/>
        </row>
        <row r="9">
          <cell r="A9" t="str">
            <v>B-A42</v>
          </cell>
          <cell r="K9"/>
        </row>
        <row r="10">
          <cell r="A10" t="str">
            <v>T528B</v>
          </cell>
          <cell r="K10"/>
        </row>
        <row r="11">
          <cell r="A11" t="str">
            <v>M</v>
          </cell>
          <cell r="K11"/>
        </row>
        <row r="12">
          <cell r="A12" t="str">
            <v>T</v>
          </cell>
          <cell r="K12">
            <v>400</v>
          </cell>
        </row>
        <row r="13">
          <cell r="A13" t="str">
            <v>T-G</v>
          </cell>
          <cell r="K13">
            <v>150</v>
          </cell>
        </row>
        <row r="14">
          <cell r="A14" t="str">
            <v>Flat T</v>
          </cell>
          <cell r="K14"/>
        </row>
        <row r="15">
          <cell r="A15" t="str">
            <v>T-A42</v>
          </cell>
          <cell r="K15">
            <v>1000</v>
          </cell>
        </row>
        <row r="16">
          <cell r="A16" t="str">
            <v>T-FP</v>
          </cell>
          <cell r="K16"/>
        </row>
        <row r="17">
          <cell r="A17" t="str">
            <v>C</v>
          </cell>
          <cell r="K17"/>
        </row>
        <row r="18">
          <cell r="A18" t="str">
            <v>U</v>
          </cell>
          <cell r="K18"/>
        </row>
        <row r="19">
          <cell r="A19" t="str">
            <v>L</v>
          </cell>
          <cell r="K19"/>
        </row>
        <row r="20">
          <cell r="A20" t="str">
            <v>T523T</v>
          </cell>
          <cell r="K20"/>
        </row>
        <row r="21">
          <cell r="A21" t="str">
            <v>T523K</v>
          </cell>
          <cell r="K21"/>
        </row>
        <row r="22">
          <cell r="A22" t="str">
            <v>D</v>
          </cell>
          <cell r="K22">
            <v>910</v>
          </cell>
        </row>
        <row r="23">
          <cell r="A23" t="str">
            <v>1.9V</v>
          </cell>
          <cell r="K23">
            <v>80</v>
          </cell>
        </row>
        <row r="24">
          <cell r="A24" t="str">
            <v>2.0V</v>
          </cell>
          <cell r="K24">
            <v>150</v>
          </cell>
        </row>
        <row r="25">
          <cell r="A25" t="str">
            <v>W</v>
          </cell>
          <cell r="K25">
            <v>60</v>
          </cell>
        </row>
        <row r="26">
          <cell r="A26" t="str">
            <v>Q</v>
          </cell>
          <cell r="K26">
            <v>0</v>
          </cell>
        </row>
        <row r="27">
          <cell r="A27" t="str">
            <v>X</v>
          </cell>
          <cell r="K27">
            <v>30</v>
          </cell>
        </row>
        <row r="28">
          <cell r="A28" t="str">
            <v>Y</v>
          </cell>
          <cell r="K28">
            <v>10</v>
          </cell>
        </row>
        <row r="29">
          <cell r="A29" t="str">
            <v>T530D 2</v>
          </cell>
          <cell r="K29"/>
        </row>
        <row r="30">
          <cell r="A30" t="str">
            <v>T530D 3</v>
          </cell>
          <cell r="K30">
            <v>126</v>
          </cell>
        </row>
        <row r="31">
          <cell r="A31" t="str">
            <v>T530X</v>
          </cell>
          <cell r="K31">
            <v>260</v>
          </cell>
        </row>
        <row r="32">
          <cell r="A32" t="str">
            <v>T521X</v>
          </cell>
          <cell r="K32">
            <v>50</v>
          </cell>
        </row>
        <row r="33">
          <cell r="A33" t="str">
            <v>T530Y</v>
          </cell>
          <cell r="K33">
            <v>190</v>
          </cell>
        </row>
        <row r="34">
          <cell r="A34" t="str">
            <v>T59D 2</v>
          </cell>
          <cell r="K34">
            <v>714</v>
          </cell>
        </row>
        <row r="35">
          <cell r="A35" t="str">
            <v>T59D 1</v>
          </cell>
          <cell r="K35">
            <v>200</v>
          </cell>
        </row>
        <row r="36">
          <cell r="A36" t="str">
            <v>T59V</v>
          </cell>
          <cell r="K36">
            <v>450</v>
          </cell>
        </row>
        <row r="37">
          <cell r="A37" t="str">
            <v>T59X</v>
          </cell>
          <cell r="K37"/>
        </row>
        <row r="38">
          <cell r="A38" t="str">
            <v>T528Z 1</v>
          </cell>
          <cell r="K38"/>
        </row>
        <row r="39">
          <cell r="A39" t="str">
            <v>T528Z 2</v>
          </cell>
          <cell r="K39"/>
        </row>
        <row r="40">
          <cell r="A40" t="str">
            <v>T520DV 2</v>
          </cell>
          <cell r="K40"/>
        </row>
        <row r="41">
          <cell r="A41" t="str">
            <v>T528W</v>
          </cell>
          <cell r="K41"/>
        </row>
        <row r="42">
          <cell r="A42" t="str">
            <v>T523V</v>
          </cell>
          <cell r="K42"/>
        </row>
        <row r="43">
          <cell r="A43" t="str">
            <v>T523W</v>
          </cell>
          <cell r="K43">
            <v>322</v>
          </cell>
        </row>
        <row r="44">
          <cell r="A44" t="str">
            <v>T523H</v>
          </cell>
          <cell r="K44">
            <v>80</v>
          </cell>
        </row>
        <row r="45">
          <cell r="A45" t="str">
            <v>Total</v>
          </cell>
          <cell r="K45">
            <v>6182</v>
          </cell>
        </row>
        <row r="46">
          <cell r="A46" t="str">
            <v>42up</v>
          </cell>
          <cell r="K46">
            <v>2550</v>
          </cell>
        </row>
        <row r="47">
          <cell r="A47" t="str">
            <v>32up</v>
          </cell>
          <cell r="K47">
            <v>3632</v>
          </cell>
        </row>
        <row r="48">
          <cell r="A48" t="str">
            <v>42Age</v>
          </cell>
          <cell r="K48">
            <v>2550</v>
          </cell>
        </row>
        <row r="49">
          <cell r="A49" t="str">
            <v>32Age</v>
          </cell>
          <cell r="K49">
            <v>2857.6666666666665</v>
          </cell>
        </row>
        <row r="50">
          <cell r="A50" t="str">
            <v>Mats+Tesla</v>
          </cell>
          <cell r="K50">
            <v>1340</v>
          </cell>
        </row>
        <row r="51">
          <cell r="A51" t="str">
            <v>B</v>
          </cell>
          <cell r="K51">
            <v>1000</v>
          </cell>
        </row>
        <row r="52">
          <cell r="A52" t="str">
            <v>T</v>
          </cell>
          <cell r="K52">
            <v>550</v>
          </cell>
        </row>
        <row r="53">
          <cell r="A53" t="str">
            <v>M</v>
          </cell>
          <cell r="K53">
            <v>0</v>
          </cell>
        </row>
        <row r="54">
          <cell r="A54" t="str">
            <v>CUL</v>
          </cell>
          <cell r="K54">
            <v>0</v>
          </cell>
        </row>
        <row r="55">
          <cell r="A55" t="str">
            <v>FT</v>
          </cell>
          <cell r="K55">
            <v>0</v>
          </cell>
        </row>
        <row r="56">
          <cell r="A56" t="str">
            <v>FD</v>
          </cell>
          <cell r="K56">
            <v>0</v>
          </cell>
        </row>
        <row r="57">
          <cell r="A57" t="str">
            <v>520DVWQ</v>
          </cell>
          <cell r="K57">
            <v>1200</v>
          </cell>
        </row>
        <row r="58">
          <cell r="A58" t="str">
            <v>Auto(59DV)</v>
          </cell>
          <cell r="K58">
            <v>650</v>
          </cell>
        </row>
        <row r="59">
          <cell r="A59" t="str">
            <v>T528Z/T523WV</v>
          </cell>
          <cell r="K59">
            <v>322</v>
          </cell>
        </row>
        <row r="60">
          <cell r="A60" t="str">
            <v>XY</v>
          </cell>
          <cell r="K60">
            <v>206.66666666666666</v>
          </cell>
        </row>
        <row r="61">
          <cell r="A61" t="str">
            <v>Mats</v>
          </cell>
          <cell r="K61">
            <v>626</v>
          </cell>
        </row>
        <row r="62">
          <cell r="A62" t="str">
            <v>Mats-Tesla</v>
          </cell>
          <cell r="K62">
            <v>714</v>
          </cell>
        </row>
        <row r="63">
          <cell r="A63" t="str">
            <v>D-CV</v>
          </cell>
          <cell r="K63">
            <v>952</v>
          </cell>
        </row>
        <row r="64">
          <cell r="A64" t="str">
            <v>D-GH</v>
          </cell>
          <cell r="K64">
            <v>557</v>
          </cell>
        </row>
        <row r="65">
          <cell r="A65" t="str">
            <v>Total D</v>
          </cell>
          <cell r="K65">
            <v>1509</v>
          </cell>
        </row>
        <row r="66">
          <cell r="A66" t="str">
            <v>V</v>
          </cell>
          <cell r="K66">
            <v>680</v>
          </cell>
        </row>
        <row r="67">
          <cell r="A67" t="str">
            <v>530D 2</v>
          </cell>
          <cell r="K67">
            <v>714</v>
          </cell>
        </row>
        <row r="68">
          <cell r="A68" t="str">
            <v>Total X</v>
          </cell>
          <cell r="K68">
            <v>500</v>
          </cell>
        </row>
        <row r="69">
          <cell r="A69" t="str">
            <v>T530X - 2</v>
          </cell>
          <cell r="K69">
            <v>20</v>
          </cell>
        </row>
        <row r="70">
          <cell r="A70" t="str">
            <v>T530X - 3</v>
          </cell>
          <cell r="K70">
            <v>240</v>
          </cell>
        </row>
        <row r="71">
          <cell r="A71" t="str">
            <v>T521X - 2</v>
          </cell>
          <cell r="K71">
            <v>28</v>
          </cell>
        </row>
        <row r="72">
          <cell r="A72" t="str">
            <v>T521X - 3</v>
          </cell>
          <cell r="K72">
            <v>22</v>
          </cell>
        </row>
        <row r="73">
          <cell r="A73" t="str">
            <v xml:space="preserve">T530Y - 2 </v>
          </cell>
          <cell r="K73">
            <v>188</v>
          </cell>
        </row>
        <row r="74">
          <cell r="A74" t="str">
            <v>T530Y - 3</v>
          </cell>
          <cell r="K74">
            <v>2</v>
          </cell>
        </row>
        <row r="75">
          <cell r="A75"/>
          <cell r="K75"/>
        </row>
        <row r="76">
          <cell r="A76" t="str">
            <v>After Ass</v>
          </cell>
        </row>
        <row r="77">
          <cell r="A77" t="str">
            <v>Total X</v>
          </cell>
          <cell r="K77">
            <v>141.33333333333331</v>
          </cell>
        </row>
        <row r="78">
          <cell r="A78" t="str">
            <v>Total Y</v>
          </cell>
          <cell r="K78">
            <v>104.66666666666667</v>
          </cell>
        </row>
        <row r="79">
          <cell r="A79"/>
          <cell r="K79">
            <v>246</v>
          </cell>
        </row>
        <row r="80">
          <cell r="A80"/>
          <cell r="K80"/>
        </row>
        <row r="81">
          <cell r="A81" t="str">
            <v>1.9V</v>
          </cell>
          <cell r="K81">
            <v>80</v>
          </cell>
        </row>
        <row r="82">
          <cell r="A82" t="str">
            <v>2.0V</v>
          </cell>
          <cell r="K82">
            <v>150</v>
          </cell>
        </row>
        <row r="83">
          <cell r="A83" t="str">
            <v>59*V</v>
          </cell>
          <cell r="K83">
            <v>450</v>
          </cell>
        </row>
        <row r="84">
          <cell r="A84" t="str">
            <v>W</v>
          </cell>
          <cell r="K84">
            <v>60</v>
          </cell>
        </row>
        <row r="85">
          <cell r="A85" t="str">
            <v>59*Y</v>
          </cell>
          <cell r="K85">
            <v>104.66666666666667</v>
          </cell>
        </row>
        <row r="86">
          <cell r="A86" t="str">
            <v>59*D-CV</v>
          </cell>
          <cell r="K86">
            <v>910</v>
          </cell>
        </row>
        <row r="87">
          <cell r="A87" t="str">
            <v>59*D-G</v>
          </cell>
          <cell r="K87">
            <v>557</v>
          </cell>
        </row>
        <row r="88">
          <cell r="A88" t="str">
            <v>59*X-CV</v>
          </cell>
          <cell r="K88">
            <v>141.33333333333331</v>
          </cell>
        </row>
        <row r="89">
          <cell r="A89"/>
        </row>
        <row r="91">
          <cell r="A91" t="str">
            <v>1.9V</v>
          </cell>
          <cell r="K91">
            <v>0.42105263157894735</v>
          </cell>
        </row>
        <row r="92">
          <cell r="A92" t="str">
            <v>2.0V</v>
          </cell>
          <cell r="K92">
            <v>0.78947368421052633</v>
          </cell>
        </row>
        <row r="93">
          <cell r="A93" t="str">
            <v>59*V</v>
          </cell>
          <cell r="K93">
            <v>3.75</v>
          </cell>
        </row>
        <row r="94">
          <cell r="A94" t="str">
            <v>W-NFT</v>
          </cell>
          <cell r="K94">
            <v>1.1111111111111112</v>
          </cell>
        </row>
        <row r="95">
          <cell r="A95" t="str">
            <v>59*Y</v>
          </cell>
          <cell r="K95">
            <v>0.87222222222222223</v>
          </cell>
        </row>
        <row r="96">
          <cell r="A96" t="str">
            <v>59*D-CV</v>
          </cell>
          <cell r="K96">
            <v>5.0555555555555554</v>
          </cell>
        </row>
        <row r="97">
          <cell r="A97" t="str">
            <v>59*D-G</v>
          </cell>
          <cell r="K97">
            <v>4.6416666666666666</v>
          </cell>
        </row>
        <row r="98">
          <cell r="A98" t="str">
            <v>59*X-CV</v>
          </cell>
          <cell r="K98">
            <v>0.94222222222222207</v>
          </cell>
        </row>
        <row r="99">
          <cell r="A99" t="str">
            <v>ASSA</v>
          </cell>
          <cell r="K99">
            <v>16.472192982456143</v>
          </cell>
        </row>
        <row r="100">
          <cell r="A100" t="str">
            <v>NFT</v>
          </cell>
          <cell r="K100">
            <v>1.1111111111111112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687"/>
      <sheetName val="D"/>
      <sheetName val="Summary"/>
    </sheetNames>
    <sheetDataSet>
      <sheetData sheetId="0" refreshError="1"/>
      <sheetData sheetId="1" refreshError="1"/>
      <sheetData sheetId="2">
        <row r="32">
          <cell r="D32">
            <v>760</v>
          </cell>
          <cell r="E32">
            <v>760</v>
          </cell>
          <cell r="F32">
            <v>790</v>
          </cell>
          <cell r="G32">
            <v>820</v>
          </cell>
          <cell r="H32">
            <v>820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687"/>
      <sheetName val="D"/>
      <sheetName val="Summary"/>
    </sheetNames>
    <sheetDataSet>
      <sheetData sheetId="0"/>
      <sheetData sheetId="1"/>
      <sheetData sheetId="2">
        <row r="35">
          <cell r="D35">
            <v>720</v>
          </cell>
          <cell r="E35">
            <v>720</v>
          </cell>
          <cell r="F35">
            <v>720</v>
          </cell>
          <cell r="G35">
            <v>720</v>
          </cell>
          <cell r="H35">
            <v>720</v>
          </cell>
          <cell r="I35">
            <v>720</v>
          </cell>
          <cell r="J35">
            <v>720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687"/>
      <sheetName val="D"/>
      <sheetName val="Summary"/>
    </sheetNames>
    <sheetDataSet>
      <sheetData sheetId="0"/>
      <sheetData sheetId="1"/>
      <sheetData sheetId="2">
        <row r="37">
          <cell r="D37">
            <v>740</v>
          </cell>
          <cell r="E37">
            <v>780</v>
          </cell>
          <cell r="F37">
            <v>780</v>
          </cell>
          <cell r="G37">
            <v>680</v>
          </cell>
          <cell r="H37">
            <v>680</v>
          </cell>
          <cell r="I37">
            <v>680</v>
          </cell>
          <cell r="J37">
            <v>680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687"/>
      <sheetName val="D"/>
      <sheetName val="Sheet1"/>
    </sheetNames>
    <sheetDataSet>
      <sheetData sheetId="0" refreshError="1"/>
      <sheetData sheetId="1" refreshError="1"/>
      <sheetData sheetId="2">
        <row r="33">
          <cell r="D33">
            <v>1000</v>
          </cell>
          <cell r="E33">
            <v>1000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me"/>
      <sheetName val="List-cate-anode"/>
      <sheetName val="D107"/>
      <sheetName val="523W"/>
      <sheetName val="H107"/>
      <sheetName val="Summary"/>
      <sheetName val="Waybill-1"/>
      <sheetName val="C-Inventory"/>
      <sheetName val="details"/>
      <sheetName val="Anode_Tantalum_Mapping"/>
      <sheetName val="Waybill-2"/>
      <sheetName val="Key point"/>
      <sheetName val="SIP"/>
      <sheetName val="ENG Request"/>
      <sheetName val="Anode Tantalum Mapping"/>
      <sheetName val="ParametersECP_v"/>
      <sheetName val="OraAnodeInstOH_v"/>
      <sheetName val="Formation Ti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>
            <v>46200</v>
          </cell>
          <cell r="D1">
            <v>46201</v>
          </cell>
          <cell r="E1">
            <v>46202</v>
          </cell>
          <cell r="F1">
            <v>46203</v>
          </cell>
          <cell r="G1">
            <v>46204</v>
          </cell>
        </row>
        <row r="2">
          <cell r="A2" t="str">
            <v>B</v>
          </cell>
          <cell r="C2">
            <v>708.68700000000001</v>
          </cell>
          <cell r="D2">
            <v>659.32</v>
          </cell>
          <cell r="E2">
            <v>759.89499999999998</v>
          </cell>
          <cell r="F2">
            <v>762.7</v>
          </cell>
          <cell r="G2">
            <v>662.94600000000003</v>
          </cell>
        </row>
        <row r="3">
          <cell r="A3" t="str">
            <v>T59B</v>
          </cell>
          <cell r="C3">
            <v>300.84500000000003</v>
          </cell>
          <cell r="D3">
            <v>254.8</v>
          </cell>
          <cell r="E3">
            <v>356.721</v>
          </cell>
          <cell r="F3">
            <v>243.65700000000001</v>
          </cell>
          <cell r="G3">
            <v>354.46800000000002</v>
          </cell>
        </row>
        <row r="4">
          <cell r="A4" t="str">
            <v>T59B 2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</row>
        <row r="5">
          <cell r="A5" t="str">
            <v>B-A42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</row>
        <row r="6">
          <cell r="A6" t="str">
            <v>T528B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</row>
        <row r="7">
          <cell r="A7" t="str">
            <v>M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</row>
        <row r="8">
          <cell r="A8" t="str">
            <v>T</v>
          </cell>
          <cell r="C8">
            <v>536.21199999999999</v>
          </cell>
          <cell r="D8">
            <v>473.02800000000002</v>
          </cell>
          <cell r="E8">
            <v>485.32799999999997</v>
          </cell>
          <cell r="F8">
            <v>355.572</v>
          </cell>
          <cell r="G8">
            <v>260.303</v>
          </cell>
        </row>
        <row r="9">
          <cell r="A9" t="str">
            <v>T-G</v>
          </cell>
          <cell r="C9">
            <v>152.24799999999999</v>
          </cell>
          <cell r="D9">
            <v>152.16399999999999</v>
          </cell>
          <cell r="E9">
            <v>155.1</v>
          </cell>
          <cell r="F9">
            <v>157.91999999999999</v>
          </cell>
          <cell r="G9">
            <v>152.255</v>
          </cell>
        </row>
        <row r="10">
          <cell r="A10" t="str">
            <v>Flat T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</row>
        <row r="11">
          <cell r="A11" t="str">
            <v>T-A42</v>
          </cell>
          <cell r="C11">
            <v>1011.928</v>
          </cell>
          <cell r="D11">
            <v>1013.203</v>
          </cell>
          <cell r="E11">
            <v>1012.022</v>
          </cell>
          <cell r="F11">
            <v>1005.943</v>
          </cell>
          <cell r="G11">
            <v>1014.644</v>
          </cell>
        </row>
        <row r="12">
          <cell r="A12" t="str">
            <v>T-FP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A13" t="str">
            <v>C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A14" t="str">
            <v>U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A15" t="str">
            <v>L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A16" t="str">
            <v>T523T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17">
          <cell r="A17" t="str">
            <v>T523K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A18" t="str">
            <v>D</v>
          </cell>
          <cell r="C18">
            <v>888.98800000000006</v>
          </cell>
          <cell r="D18">
            <v>880.10599999999999</v>
          </cell>
          <cell r="E18">
            <v>819.41399999999999</v>
          </cell>
          <cell r="F18">
            <v>1033.1959999999999</v>
          </cell>
          <cell r="G18">
            <v>1005.693</v>
          </cell>
        </row>
        <row r="19">
          <cell r="A19" t="str">
            <v>1.9V</v>
          </cell>
          <cell r="C19">
            <v>33.6</v>
          </cell>
          <cell r="D19">
            <v>66.599000000000004</v>
          </cell>
          <cell r="E19">
            <v>99.331999999999994</v>
          </cell>
          <cell r="F19">
            <v>66.543000000000006</v>
          </cell>
          <cell r="G19">
            <v>98.918999999999997</v>
          </cell>
        </row>
        <row r="20">
          <cell r="A20" t="str">
            <v>2.0V</v>
          </cell>
          <cell r="C20">
            <v>136.16499999999999</v>
          </cell>
          <cell r="D20">
            <v>135.74799999999999</v>
          </cell>
          <cell r="E20">
            <v>159.846</v>
          </cell>
          <cell r="F20">
            <v>136.30000000000001</v>
          </cell>
          <cell r="G20">
            <v>169.46799999999999</v>
          </cell>
        </row>
        <row r="21">
          <cell r="A21" t="str">
            <v>W</v>
          </cell>
          <cell r="C21">
            <v>46.98</v>
          </cell>
          <cell r="D21">
            <v>70.832999999999998</v>
          </cell>
          <cell r="E21">
            <v>47.222000000000001</v>
          </cell>
          <cell r="F21">
            <v>70.828999999999994</v>
          </cell>
          <cell r="G21">
            <v>47.222000000000001</v>
          </cell>
        </row>
        <row r="22">
          <cell r="A22" t="str">
            <v>Q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</row>
        <row r="23">
          <cell r="A23" t="str">
            <v>X</v>
          </cell>
          <cell r="C23">
            <v>33.6</v>
          </cell>
          <cell r="D23">
            <v>33.585000000000001</v>
          </cell>
          <cell r="E23">
            <v>33.6</v>
          </cell>
          <cell r="F23">
            <v>20.099</v>
          </cell>
          <cell r="G23">
            <v>100.779</v>
          </cell>
        </row>
        <row r="24">
          <cell r="A24" t="str">
            <v>Y</v>
          </cell>
          <cell r="C24">
            <v>33.6</v>
          </cell>
          <cell r="D24">
            <v>0</v>
          </cell>
          <cell r="E24">
            <v>0</v>
          </cell>
          <cell r="F24">
            <v>22.666</v>
          </cell>
          <cell r="G24">
            <v>0</v>
          </cell>
        </row>
        <row r="25">
          <cell r="A25" t="str">
            <v>T530D 2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 t="str">
            <v>T530D 3</v>
          </cell>
          <cell r="C26">
            <v>168.85900000000001</v>
          </cell>
          <cell r="D26">
            <v>169.33199999999999</v>
          </cell>
          <cell r="E26">
            <v>169.59200000000001</v>
          </cell>
          <cell r="F26">
            <v>126.855</v>
          </cell>
          <cell r="G26">
            <v>84.951999999999998</v>
          </cell>
        </row>
        <row r="27">
          <cell r="A27" t="str">
            <v>T530X</v>
          </cell>
          <cell r="C27">
            <v>266.22300000000001</v>
          </cell>
          <cell r="D27">
            <v>266.10500000000002</v>
          </cell>
          <cell r="E27">
            <v>266.173</v>
          </cell>
          <cell r="F27">
            <v>288.90800000000002</v>
          </cell>
          <cell r="G27">
            <v>266.93299999999999</v>
          </cell>
        </row>
        <row r="28">
          <cell r="A28" t="str">
            <v>T521X</v>
          </cell>
          <cell r="C28">
            <v>60.619</v>
          </cell>
          <cell r="D28">
            <v>60.984999999999999</v>
          </cell>
          <cell r="E28">
            <v>61.014000000000003</v>
          </cell>
          <cell r="F28">
            <v>60.915999999999997</v>
          </cell>
          <cell r="G28">
            <v>53.640999999999998</v>
          </cell>
        </row>
        <row r="29">
          <cell r="A29" t="str">
            <v>T530Y</v>
          </cell>
          <cell r="C29">
            <v>199.553</v>
          </cell>
          <cell r="D29">
            <v>209.47200000000001</v>
          </cell>
          <cell r="E29">
            <v>204.703</v>
          </cell>
          <cell r="F29">
            <v>199.27699999999999</v>
          </cell>
          <cell r="G29">
            <v>193.04400000000001</v>
          </cell>
        </row>
        <row r="30">
          <cell r="A30" t="str">
            <v>T59D 2</v>
          </cell>
          <cell r="C30">
            <v>591.05799999999999</v>
          </cell>
          <cell r="D30">
            <v>591.35400000000004</v>
          </cell>
          <cell r="E30">
            <v>590.63300000000004</v>
          </cell>
          <cell r="F30">
            <v>631.41300000000001</v>
          </cell>
          <cell r="G30">
            <v>689.30200000000002</v>
          </cell>
        </row>
        <row r="31">
          <cell r="A31" t="str">
            <v>T59D 1</v>
          </cell>
          <cell r="C31">
            <v>204.09200000000001</v>
          </cell>
          <cell r="D31">
            <v>197.589</v>
          </cell>
          <cell r="E31">
            <v>194.321</v>
          </cell>
          <cell r="F31">
            <v>164.863</v>
          </cell>
          <cell r="G31">
            <v>191.98</v>
          </cell>
        </row>
        <row r="32">
          <cell r="A32" t="str">
            <v>T59V</v>
          </cell>
          <cell r="C32">
            <v>432.97</v>
          </cell>
          <cell r="D32">
            <v>432.28199999999998</v>
          </cell>
          <cell r="E32">
            <v>432.19799999999998</v>
          </cell>
          <cell r="F32">
            <v>400.952</v>
          </cell>
          <cell r="G32">
            <v>432.178</v>
          </cell>
        </row>
        <row r="33">
          <cell r="A33" t="str">
            <v>T59X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</row>
        <row r="34">
          <cell r="A34" t="str">
            <v>T528Z 1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</row>
        <row r="35">
          <cell r="A35" t="str">
            <v>T528Z 2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</row>
        <row r="36">
          <cell r="A36" t="str">
            <v>T520DV 2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</row>
        <row r="37">
          <cell r="A37" t="str">
            <v>T528W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</row>
        <row r="38">
          <cell r="A38" t="str">
            <v>T523V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</row>
        <row r="39">
          <cell r="A39" t="str">
            <v>T523W</v>
          </cell>
          <cell r="C39">
            <v>326.64100000000002</v>
          </cell>
          <cell r="D39">
            <v>327.053</v>
          </cell>
          <cell r="E39">
            <v>326.89699999999999</v>
          </cell>
          <cell r="F39">
            <v>325.35199999999998</v>
          </cell>
          <cell r="G39">
            <v>327.18599999999998</v>
          </cell>
        </row>
        <row r="40">
          <cell r="A40" t="str">
            <v>T523H</v>
          </cell>
          <cell r="C40">
            <v>98.820999999999998</v>
          </cell>
          <cell r="D40">
            <v>105.93600000000001</v>
          </cell>
          <cell r="E40">
            <v>84.019000000000005</v>
          </cell>
          <cell r="F40">
            <v>79.656999999999996</v>
          </cell>
          <cell r="G40">
            <v>80.021000000000001</v>
          </cell>
        </row>
        <row r="41">
          <cell r="A41" t="str">
            <v>Total Qty</v>
          </cell>
          <cell r="C41">
            <v>6231.6889999999994</v>
          </cell>
          <cell r="D41">
            <v>6099.4939999999997</v>
          </cell>
          <cell r="E41">
            <v>6258.03</v>
          </cell>
          <cell r="F41">
            <v>6153.6180000000022</v>
          </cell>
          <cell r="G41">
            <v>6185.9339999999984</v>
          </cell>
        </row>
        <row r="42">
          <cell r="A42" t="str">
            <v>NGZ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</row>
        <row r="43">
          <cell r="A43" t="str">
            <v>P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</row>
        <row r="44">
          <cell r="A44" t="str">
            <v>Y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 t="str">
            <v>Cycles</v>
          </cell>
          <cell r="C45">
            <v>9170</v>
          </cell>
          <cell r="D45">
            <v>9075</v>
          </cell>
          <cell r="E45">
            <v>9130</v>
          </cell>
          <cell r="F45">
            <v>9095</v>
          </cell>
          <cell r="G45">
            <v>9030</v>
          </cell>
        </row>
        <row r="46">
          <cell r="A46" t="str">
            <v>RH</v>
          </cell>
          <cell r="C46">
            <v>2344</v>
          </cell>
          <cell r="D46">
            <v>2336</v>
          </cell>
          <cell r="E46">
            <v>2332</v>
          </cell>
          <cell r="F46">
            <v>2376</v>
          </cell>
          <cell r="G46">
            <v>2372</v>
          </cell>
        </row>
        <row r="47">
          <cell r="A47" t="str">
            <v>R</v>
          </cell>
          <cell r="C47">
            <v>6826</v>
          </cell>
          <cell r="D47">
            <v>6739</v>
          </cell>
          <cell r="E47">
            <v>6798</v>
          </cell>
          <cell r="F47">
            <v>6719</v>
          </cell>
          <cell r="G47">
            <v>6658</v>
          </cell>
        </row>
        <row r="48">
          <cell r="A48">
            <v>35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50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</row>
        <row r="50">
          <cell r="A50">
            <v>60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 t="str">
            <v>Batches(EG)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Batches</v>
          </cell>
          <cell r="C52">
            <v>178</v>
          </cell>
          <cell r="D52">
            <v>177</v>
          </cell>
          <cell r="E52">
            <v>176</v>
          </cell>
          <cell r="F52">
            <v>177</v>
          </cell>
          <cell r="G52">
            <v>175</v>
          </cell>
        </row>
        <row r="53">
          <cell r="A53" t="str">
            <v>Total Batches</v>
          </cell>
          <cell r="C53">
            <v>178</v>
          </cell>
          <cell r="D53">
            <v>177</v>
          </cell>
          <cell r="E53">
            <v>176</v>
          </cell>
          <cell r="F53">
            <v>177</v>
          </cell>
          <cell r="G53">
            <v>175</v>
          </cell>
        </row>
        <row r="54">
          <cell r="A54" t="str">
            <v>Kpcs/Cycle</v>
          </cell>
          <cell r="C54">
            <v>0.67957350054525623</v>
          </cell>
          <cell r="D54">
            <v>0.67212055096418732</v>
          </cell>
          <cell r="E54">
            <v>0.68543592552026289</v>
          </cell>
          <cell r="F54">
            <v>0.67659351291918657</v>
          </cell>
          <cell r="G54">
            <v>0.6850425249169434</v>
          </cell>
        </row>
        <row r="55">
          <cell r="A55" t="str">
            <v>Mat’s</v>
          </cell>
          <cell r="C55">
            <v>1286.3120000000001</v>
          </cell>
          <cell r="D55">
            <v>1297.248</v>
          </cell>
          <cell r="E55">
            <v>1292.115</v>
          </cell>
          <cell r="F55">
            <v>1307.3689999999999</v>
          </cell>
          <cell r="G55">
            <v>1287.8720000000001</v>
          </cell>
        </row>
        <row r="56">
          <cell r="A56" t="str">
            <v>Cycles(EG)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Total Cycles</v>
          </cell>
          <cell r="C57">
            <v>9170</v>
          </cell>
          <cell r="D57">
            <v>9075</v>
          </cell>
          <cell r="E57">
            <v>9130</v>
          </cell>
          <cell r="F57">
            <v>9095</v>
          </cell>
          <cell r="G57">
            <v>9030</v>
          </cell>
        </row>
        <row r="58">
          <cell r="A58" t="str">
            <v>High Voltage Qty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1">
          <cell r="A1" t="str">
            <v>Category</v>
          </cell>
          <cell r="B1" t="str">
            <v>07-02</v>
          </cell>
          <cell r="C1" t="str">
            <v>07-03</v>
          </cell>
        </row>
        <row r="2">
          <cell r="A2" t="str">
            <v>D</v>
          </cell>
          <cell r="B2">
            <v>1071441</v>
          </cell>
          <cell r="C2">
            <v>1109545</v>
          </cell>
        </row>
        <row r="3">
          <cell r="A3" t="str">
            <v>T521X</v>
          </cell>
          <cell r="B3">
            <v>106178</v>
          </cell>
          <cell r="C3">
            <v>76423</v>
          </cell>
        </row>
        <row r="4">
          <cell r="A4" t="str">
            <v>T59D 1</v>
          </cell>
          <cell r="B4">
            <v>133318</v>
          </cell>
          <cell r="C4">
            <v>101481</v>
          </cell>
        </row>
        <row r="5">
          <cell r="A5" t="str">
            <v>T59D 2</v>
          </cell>
          <cell r="B5">
            <v>671495</v>
          </cell>
          <cell r="C5">
            <v>671942</v>
          </cell>
        </row>
        <row r="6">
          <cell r="A6" t="str">
            <v>2.0V</v>
          </cell>
          <cell r="B6">
            <v>136233</v>
          </cell>
          <cell r="C6">
            <v>181128</v>
          </cell>
        </row>
        <row r="7">
          <cell r="A7" t="str">
            <v>T530D 3</v>
          </cell>
          <cell r="B7">
            <v>85297</v>
          </cell>
          <cell r="C7">
            <v>85262</v>
          </cell>
        </row>
        <row r="8">
          <cell r="A8" t="str">
            <v>T59V</v>
          </cell>
          <cell r="B8">
            <v>439327</v>
          </cell>
          <cell r="C8">
            <v>458369</v>
          </cell>
        </row>
        <row r="9">
          <cell r="A9" t="str">
            <v>1.9V</v>
          </cell>
          <cell r="B9">
            <v>65875</v>
          </cell>
          <cell r="C9">
            <v>99194</v>
          </cell>
        </row>
        <row r="10">
          <cell r="A10" t="str">
            <v>T</v>
          </cell>
          <cell r="B10">
            <v>323201</v>
          </cell>
          <cell r="C10">
            <v>269885</v>
          </cell>
        </row>
        <row r="11">
          <cell r="A11" t="str">
            <v>T530Y</v>
          </cell>
          <cell r="B11">
            <v>199011</v>
          </cell>
          <cell r="C11">
            <v>198979</v>
          </cell>
        </row>
        <row r="12">
          <cell r="A12" t="str">
            <v>T-A42</v>
          </cell>
          <cell r="B12">
            <v>1014154</v>
          </cell>
          <cell r="C12">
            <v>1014102</v>
          </cell>
        </row>
        <row r="13">
          <cell r="A13" t="str">
            <v>W</v>
          </cell>
          <cell r="B13">
            <v>70599</v>
          </cell>
          <cell r="C13">
            <v>44011</v>
          </cell>
        </row>
        <row r="14">
          <cell r="A14" t="str">
            <v>B</v>
          </cell>
          <cell r="B14">
            <v>709710</v>
          </cell>
          <cell r="C14">
            <v>706828</v>
          </cell>
        </row>
        <row r="15">
          <cell r="A15" t="str">
            <v>T523H</v>
          </cell>
          <cell r="B15">
            <v>62750</v>
          </cell>
          <cell r="C15">
            <v>45979</v>
          </cell>
        </row>
        <row r="16">
          <cell r="A16" t="str">
            <v>T523W</v>
          </cell>
          <cell r="B16">
            <v>327521</v>
          </cell>
          <cell r="C16">
            <v>327264</v>
          </cell>
        </row>
        <row r="17">
          <cell r="A17" t="str">
            <v>T530X</v>
          </cell>
          <cell r="B17">
            <v>233258</v>
          </cell>
          <cell r="C17">
            <v>266078</v>
          </cell>
        </row>
        <row r="18">
          <cell r="A18" t="str">
            <v>T59B</v>
          </cell>
          <cell r="B18">
            <v>304818</v>
          </cell>
          <cell r="C18">
            <v>305554</v>
          </cell>
        </row>
        <row r="19">
          <cell r="A19" t="str">
            <v>T-G</v>
          </cell>
          <cell r="B19">
            <v>152275</v>
          </cell>
          <cell r="C19">
            <v>152056</v>
          </cell>
        </row>
        <row r="20">
          <cell r="A20" t="str">
            <v>Y</v>
          </cell>
          <cell r="B20" t="str">
            <v>-</v>
          </cell>
          <cell r="C20" t="str">
            <v>-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sme Li (李佩盈)" id="{7B3B5B07-9CED-44A7-9259-EF9D55317F92}" userId="S::Esme.Li@yageo.com::ffe74129-1099-4c30-9ecc-fff2c2fe2a2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F17" dT="2026-03-12T09:04:13.01" personId="{7B3B5B07-9CED-44A7-9259-EF9D55317F92}" id="{D5295FED-C250-4D61-98EB-F7BCB024C4BB}">
    <text xml:space="preserve">改为stand
</text>
  </threadedComment>
  <threadedComment ref="A63" dT="2026-03-04T07:09:35.85" personId="{7B3B5B07-9CED-44A7-9259-EF9D55317F92}" id="{B11DF107-8179-4AA1-BBE1-1F44669FEDA8}">
    <text xml:space="preserve">LEI， 28800 Batch 发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172C0-999F-45F9-81B5-D17B84188E62}">
  <dimension ref="A1:S50"/>
  <sheetViews>
    <sheetView tabSelected="1" zoomScale="90" zoomScaleNormal="90" workbookViewId="0">
      <selection activeCell="V23" sqref="V23"/>
    </sheetView>
  </sheetViews>
  <sheetFormatPr defaultRowHeight="15.5" x14ac:dyDescent="0.35"/>
  <cols>
    <col min="1" max="1" width="9.33203125" style="2" customWidth="1"/>
    <col min="2" max="2" width="8.83203125" style="2" customWidth="1"/>
    <col min="3" max="3" width="8.83203125" style="1" customWidth="1"/>
    <col min="4" max="4" width="9.75" style="1" customWidth="1"/>
    <col min="5" max="5" width="9.6640625" style="1" customWidth="1"/>
    <col min="6" max="10" width="9.75" style="1" customWidth="1"/>
    <col min="11" max="11" width="9.25" style="1" customWidth="1"/>
    <col min="12" max="16" width="11.33203125" style="1" hidden="1" customWidth="1"/>
    <col min="17" max="18" width="11.33203125" style="1" customWidth="1"/>
    <col min="19" max="16384" width="8.6640625" style="1"/>
  </cols>
  <sheetData>
    <row r="1" spans="1:19" x14ac:dyDescent="0.35">
      <c r="B1" s="2" t="s">
        <v>18</v>
      </c>
      <c r="C1" s="1" t="s">
        <v>0</v>
      </c>
      <c r="D1" s="15">
        <v>46200</v>
      </c>
      <c r="E1" s="15">
        <f>D1+1</f>
        <v>46201</v>
      </c>
      <c r="F1" s="15">
        <f t="shared" ref="F1:J1" si="0">E1+1</f>
        <v>46202</v>
      </c>
      <c r="G1" s="15">
        <f t="shared" si="0"/>
        <v>46203</v>
      </c>
      <c r="H1" s="15">
        <f t="shared" si="0"/>
        <v>46204</v>
      </c>
      <c r="I1" s="15">
        <f t="shared" si="0"/>
        <v>46205</v>
      </c>
      <c r="J1" s="15">
        <f t="shared" si="0"/>
        <v>46206</v>
      </c>
      <c r="K1" s="15"/>
      <c r="L1" s="15">
        <f>D1</f>
        <v>46200</v>
      </c>
      <c r="M1" s="15">
        <f>L1+1</f>
        <v>46201</v>
      </c>
      <c r="N1" s="15">
        <f t="shared" ref="N1:R1" si="1">M1+1</f>
        <v>46202</v>
      </c>
      <c r="O1" s="15">
        <f t="shared" si="1"/>
        <v>46203</v>
      </c>
      <c r="P1" s="15">
        <f t="shared" si="1"/>
        <v>46204</v>
      </c>
      <c r="Q1" s="15">
        <f t="shared" si="1"/>
        <v>46205</v>
      </c>
      <c r="R1" s="15">
        <f t="shared" si="1"/>
        <v>46206</v>
      </c>
    </row>
    <row r="2" spans="1:19" x14ac:dyDescent="0.35">
      <c r="A2" s="17">
        <f>B2*7</f>
        <v>4900</v>
      </c>
      <c r="B2" s="17">
        <v>700</v>
      </c>
      <c r="C2" s="1" t="s">
        <v>17</v>
      </c>
      <c r="D2" s="1">
        <v>700</v>
      </c>
      <c r="E2" s="1">
        <v>700</v>
      </c>
      <c r="F2" s="1">
        <v>700</v>
      </c>
      <c r="G2" s="1">
        <v>700</v>
      </c>
      <c r="H2" s="1">
        <v>700</v>
      </c>
      <c r="I2" s="1">
        <v>700</v>
      </c>
      <c r="J2" s="1">
        <v>700</v>
      </c>
      <c r="K2" s="2">
        <f t="shared" ref="K2:K28" si="2">SUM(D2:J2)</f>
        <v>4900</v>
      </c>
      <c r="L2" s="38">
        <f>IFERROR(_xlfn.XLOOKUP($C2,'[8]Key point'!$A:$A,'[8]Key point'!C:C,0),0)</f>
        <v>708.68700000000001</v>
      </c>
      <c r="M2" s="38">
        <f>IFERROR(_xlfn.XLOOKUP($C2,'[8]Key point'!$A:$A,'[8]Key point'!D:D,0),0)</f>
        <v>659.32</v>
      </c>
      <c r="N2" s="38">
        <f>IFERROR(_xlfn.XLOOKUP($C2,'[8]Key point'!$A:$A,'[8]Key point'!E:E,0),0)</f>
        <v>759.89499999999998</v>
      </c>
      <c r="O2" s="38">
        <f>IFERROR(_xlfn.XLOOKUP($C2,'[8]Key point'!$A:$A,'[8]Key point'!F:F,0),0)</f>
        <v>762.7</v>
      </c>
      <c r="P2" s="38">
        <f>IFERROR(_xlfn.XLOOKUP($C2,'[8]Key point'!$A:$A,'[8]Key point'!G:G,0),0)</f>
        <v>662.94600000000003</v>
      </c>
      <c r="Q2" s="38">
        <f>IFERROR(_xlfn.XLOOKUP($C2,[9]Sheet1!$A:$A,[9]Sheet1!B:B,0)/1000,0)</f>
        <v>709.71</v>
      </c>
      <c r="R2" s="38">
        <f>IFERROR(_xlfn.XLOOKUP($C2,[9]Sheet1!$A:$A,[9]Sheet1!C:C,0)/1000,0)</f>
        <v>706.82799999999997</v>
      </c>
      <c r="S2" s="30">
        <f>SUM(L2:R2)</f>
        <v>4970.0859999999993</v>
      </c>
    </row>
    <row r="3" spans="1:19" x14ac:dyDescent="0.35">
      <c r="A3" s="17">
        <f t="shared" ref="A3:A28" si="3">B3*7</f>
        <v>2100</v>
      </c>
      <c r="B3" s="17">
        <v>300</v>
      </c>
      <c r="C3" s="1" t="s">
        <v>16</v>
      </c>
      <c r="D3" s="1">
        <f>_xlfn.XLOOKUP(C3,'[1]Weekly SIP'!$A:$A,'[1]Weekly SIP'!$N:$N,0)</f>
        <v>300</v>
      </c>
      <c r="E3" s="1">
        <v>300</v>
      </c>
      <c r="F3" s="1">
        <v>300</v>
      </c>
      <c r="G3" s="1">
        <v>300</v>
      </c>
      <c r="H3" s="1">
        <v>300</v>
      </c>
      <c r="I3" s="1">
        <v>300</v>
      </c>
      <c r="J3" s="1">
        <v>300</v>
      </c>
      <c r="K3" s="2">
        <f t="shared" si="2"/>
        <v>2100</v>
      </c>
      <c r="L3" s="38">
        <f>IFERROR(_xlfn.XLOOKUP($C3,'[8]Key point'!$A:$A,'[8]Key point'!C:C,0),0)</f>
        <v>300.84500000000003</v>
      </c>
      <c r="M3" s="38">
        <f>IFERROR(_xlfn.XLOOKUP($C3,'[8]Key point'!$A:$A,'[8]Key point'!D:D,0),0)</f>
        <v>254.8</v>
      </c>
      <c r="N3" s="38">
        <f>IFERROR(_xlfn.XLOOKUP($C3,'[8]Key point'!$A:$A,'[8]Key point'!E:E,0),0)</f>
        <v>356.721</v>
      </c>
      <c r="O3" s="38">
        <f>IFERROR(_xlfn.XLOOKUP($C3,'[8]Key point'!$A:$A,'[8]Key point'!F:F,0),0)</f>
        <v>243.65700000000001</v>
      </c>
      <c r="P3" s="38">
        <f>IFERROR(_xlfn.XLOOKUP($C3,'[8]Key point'!$A:$A,'[8]Key point'!G:G,0),0)</f>
        <v>354.46800000000002</v>
      </c>
      <c r="Q3" s="38">
        <f>IFERROR(_xlfn.XLOOKUP($C3,[9]Sheet1!$A:$A,[9]Sheet1!B:B,0)/1000,0)</f>
        <v>304.81799999999998</v>
      </c>
      <c r="R3" s="38">
        <f>IFERROR(_xlfn.XLOOKUP($C3,[9]Sheet1!$A:$A,[9]Sheet1!C:C,0)/1000,0)</f>
        <v>305.55399999999997</v>
      </c>
      <c r="S3" s="30">
        <f t="shared" ref="S3:S32" si="4">SUM(L3:R3)</f>
        <v>2120.8629999999998</v>
      </c>
    </row>
    <row r="4" spans="1:19" hidden="1" x14ac:dyDescent="0.35">
      <c r="A4" s="17">
        <f t="shared" si="3"/>
        <v>0</v>
      </c>
      <c r="B4" s="17">
        <v>0</v>
      </c>
      <c r="C4" s="1" t="s">
        <v>117</v>
      </c>
      <c r="D4" s="1">
        <f>_xlfn.XLOOKUP(C4,'[1]Weekly SIP'!$A:$A,'[1]Weekly SIP'!$N:$N,0)</f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2">
        <f t="shared" si="2"/>
        <v>0</v>
      </c>
      <c r="L4" s="38">
        <f>IFERROR(_xlfn.XLOOKUP($C4,'[8]Key point'!$A:$A,'[8]Key point'!C:C,0),0)</f>
        <v>0</v>
      </c>
      <c r="M4" s="38">
        <f>IFERROR(_xlfn.XLOOKUP($C4,'[8]Key point'!$A:$A,'[8]Key point'!D:D,0),0)</f>
        <v>0</v>
      </c>
      <c r="N4" s="38">
        <f>IFERROR(_xlfn.XLOOKUP($C4,'[8]Key point'!$A:$A,'[8]Key point'!E:E,0),0)</f>
        <v>0</v>
      </c>
      <c r="O4" s="38">
        <f>IFERROR(_xlfn.XLOOKUP($C4,'[8]Key point'!$A:$A,'[8]Key point'!F:F,0),0)</f>
        <v>0</v>
      </c>
      <c r="P4" s="38">
        <f>IFERROR(_xlfn.XLOOKUP($C4,'[8]Key point'!$A:$A,'[8]Key point'!G:G,0),0)</f>
        <v>0</v>
      </c>
      <c r="Q4" s="38">
        <f>IFERROR(_xlfn.XLOOKUP($C4,[9]Sheet1!$A:$A,[9]Sheet1!B:B,0)/1000,0)</f>
        <v>0</v>
      </c>
      <c r="R4" s="38">
        <f>IFERROR(_xlfn.XLOOKUP($C4,[9]Sheet1!$A:$A,[9]Sheet1!C:C,0)/1000,0)</f>
        <v>0</v>
      </c>
      <c r="S4" s="30">
        <f t="shared" si="4"/>
        <v>0</v>
      </c>
    </row>
    <row r="5" spans="1:19" x14ac:dyDescent="0.35">
      <c r="A5" s="17">
        <f t="shared" si="3"/>
        <v>2800</v>
      </c>
      <c r="B5" s="17">
        <v>400</v>
      </c>
      <c r="C5" s="1" t="s">
        <v>15</v>
      </c>
      <c r="D5" s="1">
        <v>500</v>
      </c>
      <c r="E5" s="1">
        <v>500</v>
      </c>
      <c r="F5" s="1">
        <v>500</v>
      </c>
      <c r="G5" s="1">
        <v>350</v>
      </c>
      <c r="H5" s="1">
        <v>300</v>
      </c>
      <c r="I5" s="1">
        <v>300</v>
      </c>
      <c r="J5" s="1">
        <v>300</v>
      </c>
      <c r="K5" s="2">
        <f t="shared" si="2"/>
        <v>2750</v>
      </c>
      <c r="L5" s="38">
        <f>IFERROR(_xlfn.XLOOKUP($C5,'[8]Key point'!$A:$A,'[8]Key point'!C:C,0),0)</f>
        <v>536.21199999999999</v>
      </c>
      <c r="M5" s="38">
        <f>IFERROR(_xlfn.XLOOKUP($C5,'[8]Key point'!$A:$A,'[8]Key point'!D:D,0),0)</f>
        <v>473.02800000000002</v>
      </c>
      <c r="N5" s="38">
        <f>IFERROR(_xlfn.XLOOKUP($C5,'[8]Key point'!$A:$A,'[8]Key point'!E:E,0),0)</f>
        <v>485.32799999999997</v>
      </c>
      <c r="O5" s="38">
        <f>IFERROR(_xlfn.XLOOKUP($C5,'[8]Key point'!$A:$A,'[8]Key point'!F:F,0),0)</f>
        <v>355.572</v>
      </c>
      <c r="P5" s="38">
        <f>IFERROR(_xlfn.XLOOKUP($C5,'[8]Key point'!$A:$A,'[8]Key point'!G:G,0),0)</f>
        <v>260.303</v>
      </c>
      <c r="Q5" s="38">
        <f>IFERROR(_xlfn.XLOOKUP($C5,[9]Sheet1!$A:$A,[9]Sheet1!B:B,0)/1000,0)</f>
        <v>323.20100000000002</v>
      </c>
      <c r="R5" s="38">
        <f>IFERROR(_xlfn.XLOOKUP($C5,[9]Sheet1!$A:$A,[9]Sheet1!C:C,0)/1000,0)</f>
        <v>269.88499999999999</v>
      </c>
      <c r="S5" s="30">
        <f t="shared" si="4"/>
        <v>2703.5289999999995</v>
      </c>
    </row>
    <row r="6" spans="1:19" hidden="1" x14ac:dyDescent="0.35">
      <c r="A6" s="17">
        <f t="shared" si="3"/>
        <v>0</v>
      </c>
      <c r="B6" s="17">
        <v>0</v>
      </c>
      <c r="C6" s="1" t="s">
        <v>118</v>
      </c>
      <c r="K6" s="2">
        <f t="shared" si="2"/>
        <v>0</v>
      </c>
      <c r="L6" s="38">
        <f>IFERROR(_xlfn.XLOOKUP($C6,'[8]Key point'!$A:$A,'[8]Key point'!C:C,0),0)</f>
        <v>0</v>
      </c>
      <c r="M6" s="38">
        <f>IFERROR(_xlfn.XLOOKUP($C6,'[8]Key point'!$A:$A,'[8]Key point'!D:D,0),0)</f>
        <v>0</v>
      </c>
      <c r="N6" s="38">
        <f>IFERROR(_xlfn.XLOOKUP($C6,'[8]Key point'!$A:$A,'[8]Key point'!E:E,0),0)</f>
        <v>0</v>
      </c>
      <c r="O6" s="38">
        <f>IFERROR(_xlfn.XLOOKUP($C6,'[8]Key point'!$A:$A,'[8]Key point'!F:F,0),0)</f>
        <v>0</v>
      </c>
      <c r="P6" s="38">
        <f>IFERROR(_xlfn.XLOOKUP($C6,'[8]Key point'!$A:$A,'[8]Key point'!G:G,0),0)</f>
        <v>0</v>
      </c>
      <c r="Q6" s="38">
        <f>IFERROR(_xlfn.XLOOKUP($C6,[9]Sheet1!$A:$A,[9]Sheet1!B:B,0)/1000,0)</f>
        <v>0</v>
      </c>
      <c r="R6" s="38">
        <f>IFERROR(_xlfn.XLOOKUP($C6,[9]Sheet1!$A:$A,[9]Sheet1!C:C,0)/1000,0)</f>
        <v>0</v>
      </c>
      <c r="S6" s="30">
        <f t="shared" si="4"/>
        <v>0</v>
      </c>
    </row>
    <row r="7" spans="1:19" x14ac:dyDescent="0.35">
      <c r="A7" s="17">
        <f t="shared" si="3"/>
        <v>7000</v>
      </c>
      <c r="B7" s="17">
        <v>1000</v>
      </c>
      <c r="C7" s="1" t="s">
        <v>14</v>
      </c>
      <c r="D7" s="1">
        <v>1000</v>
      </c>
      <c r="E7" s="1">
        <v>1000</v>
      </c>
      <c r="F7" s="1">
        <v>1000</v>
      </c>
      <c r="G7" s="1">
        <v>1000</v>
      </c>
      <c r="H7" s="1">
        <v>1000</v>
      </c>
      <c r="I7" s="1">
        <v>1000</v>
      </c>
      <c r="J7" s="1">
        <v>1000</v>
      </c>
      <c r="K7" s="2">
        <f t="shared" si="2"/>
        <v>7000</v>
      </c>
      <c r="L7" s="38">
        <f>IFERROR(_xlfn.XLOOKUP($C7,'[8]Key point'!$A:$A,'[8]Key point'!C:C,0),0)</f>
        <v>1011.928</v>
      </c>
      <c r="M7" s="38">
        <f>IFERROR(_xlfn.XLOOKUP($C7,'[8]Key point'!$A:$A,'[8]Key point'!D:D,0),0)</f>
        <v>1013.203</v>
      </c>
      <c r="N7" s="38">
        <f>IFERROR(_xlfn.XLOOKUP($C7,'[8]Key point'!$A:$A,'[8]Key point'!E:E,0),0)</f>
        <v>1012.022</v>
      </c>
      <c r="O7" s="38">
        <f>IFERROR(_xlfn.XLOOKUP($C7,'[8]Key point'!$A:$A,'[8]Key point'!F:F,0),0)</f>
        <v>1005.943</v>
      </c>
      <c r="P7" s="38">
        <f>IFERROR(_xlfn.XLOOKUP($C7,'[8]Key point'!$A:$A,'[8]Key point'!G:G,0),0)</f>
        <v>1014.644</v>
      </c>
      <c r="Q7" s="38">
        <f>IFERROR(_xlfn.XLOOKUP($C7,[9]Sheet1!$A:$A,[9]Sheet1!B:B,0)/1000,0)</f>
        <v>1014.154</v>
      </c>
      <c r="R7" s="38">
        <f>IFERROR(_xlfn.XLOOKUP($C7,[9]Sheet1!$A:$A,[9]Sheet1!C:C,0)/1000,0)</f>
        <v>1014.102</v>
      </c>
      <c r="S7" s="30">
        <f t="shared" si="4"/>
        <v>7085.9960000000001</v>
      </c>
    </row>
    <row r="8" spans="1:19" x14ac:dyDescent="0.35">
      <c r="A8" s="17">
        <f t="shared" si="3"/>
        <v>1050</v>
      </c>
      <c r="B8" s="17">
        <v>150</v>
      </c>
      <c r="C8" s="1" t="s">
        <v>112</v>
      </c>
      <c r="D8" s="1">
        <f>_xlfn.XLOOKUP(C8,'[1]Weekly SIP'!$A:$A,'[1]Weekly SIP'!$N:$N,0)</f>
        <v>150</v>
      </c>
      <c r="E8" s="1">
        <v>150</v>
      </c>
      <c r="F8" s="1">
        <v>150</v>
      </c>
      <c r="G8" s="1">
        <v>150</v>
      </c>
      <c r="H8" s="1">
        <v>150</v>
      </c>
      <c r="I8" s="1">
        <v>150</v>
      </c>
      <c r="J8" s="1">
        <v>150</v>
      </c>
      <c r="K8" s="2">
        <f t="shared" si="2"/>
        <v>1050</v>
      </c>
      <c r="L8" s="38">
        <f>IFERROR(_xlfn.XLOOKUP($C8,'[8]Key point'!$A:$A,'[8]Key point'!C:C,0),0)</f>
        <v>152.24799999999999</v>
      </c>
      <c r="M8" s="38">
        <f>IFERROR(_xlfn.XLOOKUP($C8,'[8]Key point'!$A:$A,'[8]Key point'!D:D,0),0)</f>
        <v>152.16399999999999</v>
      </c>
      <c r="N8" s="38">
        <f>IFERROR(_xlfn.XLOOKUP($C8,'[8]Key point'!$A:$A,'[8]Key point'!E:E,0),0)</f>
        <v>155.1</v>
      </c>
      <c r="O8" s="38">
        <f>IFERROR(_xlfn.XLOOKUP($C8,'[8]Key point'!$A:$A,'[8]Key point'!F:F,0),0)</f>
        <v>157.91999999999999</v>
      </c>
      <c r="P8" s="38">
        <f>IFERROR(_xlfn.XLOOKUP($C8,'[8]Key point'!$A:$A,'[8]Key point'!G:G,0),0)</f>
        <v>152.255</v>
      </c>
      <c r="Q8" s="38">
        <f>IFERROR(_xlfn.XLOOKUP($C8,[9]Sheet1!$A:$A,[9]Sheet1!B:B,0)/1000,0)</f>
        <v>152.27500000000001</v>
      </c>
      <c r="R8" s="38">
        <f>IFERROR(_xlfn.XLOOKUP($C8,[9]Sheet1!$A:$A,[9]Sheet1!C:C,0)/1000,0)</f>
        <v>152.05600000000001</v>
      </c>
      <c r="S8" s="30">
        <f t="shared" si="4"/>
        <v>1074.0179999999998</v>
      </c>
    </row>
    <row r="9" spans="1:19" hidden="1" x14ac:dyDescent="0.35">
      <c r="A9" s="17">
        <f t="shared" si="3"/>
        <v>0</v>
      </c>
      <c r="B9" s="17">
        <v>0</v>
      </c>
      <c r="C9" s="1" t="s">
        <v>116</v>
      </c>
      <c r="D9" s="1">
        <f>_xlfn.XLOOKUP(C9,'[1]Weekly SIP'!$A:$A,'[1]Weekly SIP'!$N:$N,0)</f>
        <v>0</v>
      </c>
      <c r="E9" s="1">
        <v>0</v>
      </c>
      <c r="F9" s="1">
        <v>0</v>
      </c>
      <c r="G9" s="1">
        <v>0</v>
      </c>
      <c r="H9" s="1">
        <f>_xlfn.XLOOKUP(C9,'[2]Weekly SIP'!$A:$A,'[2]Weekly SIP'!$N:$N,0)</f>
        <v>0</v>
      </c>
      <c r="I9" s="1">
        <v>0</v>
      </c>
      <c r="J9" s="1">
        <v>0</v>
      </c>
      <c r="K9" s="2">
        <f t="shared" si="2"/>
        <v>0</v>
      </c>
      <c r="L9" s="38">
        <f>IFERROR(_xlfn.XLOOKUP($C9,'[8]Key point'!$A:$A,'[8]Key point'!C:C,0),0)</f>
        <v>0</v>
      </c>
      <c r="M9" s="38">
        <f>IFERROR(_xlfn.XLOOKUP($C9,'[8]Key point'!$A:$A,'[8]Key point'!D:D,0),0)</f>
        <v>0</v>
      </c>
      <c r="N9" s="38">
        <f>IFERROR(_xlfn.XLOOKUP($C9,'[8]Key point'!$A:$A,'[8]Key point'!E:E,0),0)</f>
        <v>0</v>
      </c>
      <c r="O9" s="38">
        <f>IFERROR(_xlfn.XLOOKUP($C9,'[8]Key point'!$A:$A,'[8]Key point'!F:F,0),0)</f>
        <v>0</v>
      </c>
      <c r="P9" s="38">
        <f>IFERROR(_xlfn.XLOOKUP($C9,'[8]Key point'!$A:$A,'[8]Key point'!G:G,0),0)</f>
        <v>0</v>
      </c>
      <c r="Q9" s="38">
        <f>IFERROR(_xlfn.XLOOKUP($C9,[9]Sheet1!$A:$A,[9]Sheet1!B:B,0)/1000,0)</f>
        <v>0</v>
      </c>
      <c r="R9" s="38">
        <f>IFERROR(_xlfn.XLOOKUP($C9,[9]Sheet1!$A:$A,[9]Sheet1!C:C,0)/1000,0)</f>
        <v>0</v>
      </c>
      <c r="S9" s="30">
        <f t="shared" si="4"/>
        <v>0</v>
      </c>
    </row>
    <row r="10" spans="1:19" hidden="1" x14ac:dyDescent="0.35">
      <c r="A10" s="17">
        <f t="shared" si="3"/>
        <v>0</v>
      </c>
      <c r="B10" s="17">
        <v>0</v>
      </c>
      <c r="C10" s="1" t="s">
        <v>120</v>
      </c>
      <c r="K10" s="2">
        <f t="shared" si="2"/>
        <v>0</v>
      </c>
      <c r="L10" s="38">
        <f>IFERROR(_xlfn.XLOOKUP($C10,'[8]Key point'!$A:$A,'[8]Key point'!C:C,0),0)</f>
        <v>0</v>
      </c>
      <c r="M10" s="38">
        <f>IFERROR(_xlfn.XLOOKUP($C10,'[8]Key point'!$A:$A,'[8]Key point'!D:D,0),0)</f>
        <v>0</v>
      </c>
      <c r="N10" s="38">
        <f>IFERROR(_xlfn.XLOOKUP($C10,'[8]Key point'!$A:$A,'[8]Key point'!E:E,0),0)</f>
        <v>0</v>
      </c>
      <c r="O10" s="38">
        <f>IFERROR(_xlfn.XLOOKUP($C10,'[8]Key point'!$A:$A,'[8]Key point'!F:F,0),0)</f>
        <v>0</v>
      </c>
      <c r="P10" s="38">
        <f>IFERROR(_xlfn.XLOOKUP($C10,'[8]Key point'!$A:$A,'[8]Key point'!G:G,0),0)</f>
        <v>0</v>
      </c>
      <c r="Q10" s="38">
        <f>IFERROR(_xlfn.XLOOKUP($C10,[9]Sheet1!$A:$A,[9]Sheet1!B:B,0)/1000,0)</f>
        <v>0</v>
      </c>
      <c r="R10" s="38">
        <f>IFERROR(_xlfn.XLOOKUP($C10,[9]Sheet1!$A:$A,[9]Sheet1!C:C,0)/1000,0)</f>
        <v>0</v>
      </c>
      <c r="S10" s="30"/>
    </row>
    <row r="11" spans="1:19" x14ac:dyDescent="0.35">
      <c r="A11" s="17">
        <f t="shared" si="3"/>
        <v>6790</v>
      </c>
      <c r="B11" s="17">
        <v>970</v>
      </c>
      <c r="C11" s="1" t="s">
        <v>13</v>
      </c>
      <c r="D11" s="1">
        <v>860</v>
      </c>
      <c r="E11" s="1">
        <v>860</v>
      </c>
      <c r="F11" s="1">
        <v>860</v>
      </c>
      <c r="G11" s="1">
        <v>1010</v>
      </c>
      <c r="H11" s="1">
        <v>1060</v>
      </c>
      <c r="I11" s="1">
        <v>1060</v>
      </c>
      <c r="J11" s="1">
        <v>1060</v>
      </c>
      <c r="K11" s="2">
        <f t="shared" si="2"/>
        <v>6770</v>
      </c>
      <c r="L11" s="38">
        <f>IFERROR(_xlfn.XLOOKUP($C11,'[8]Key point'!$A:$A,'[8]Key point'!C:C,0),0)</f>
        <v>888.98800000000006</v>
      </c>
      <c r="M11" s="38">
        <f>IFERROR(_xlfn.XLOOKUP($C11,'[8]Key point'!$A:$A,'[8]Key point'!D:D,0),0)</f>
        <v>880.10599999999999</v>
      </c>
      <c r="N11" s="38">
        <f>IFERROR(_xlfn.XLOOKUP($C11,'[8]Key point'!$A:$A,'[8]Key point'!E:E,0),0)</f>
        <v>819.41399999999999</v>
      </c>
      <c r="O11" s="38">
        <f>IFERROR(_xlfn.XLOOKUP($C11,'[8]Key point'!$A:$A,'[8]Key point'!F:F,0),0)</f>
        <v>1033.1959999999999</v>
      </c>
      <c r="P11" s="38">
        <f>IFERROR(_xlfn.XLOOKUP($C11,'[8]Key point'!$A:$A,'[8]Key point'!G:G,0),0)</f>
        <v>1005.693</v>
      </c>
      <c r="Q11" s="38">
        <f>IFERROR(_xlfn.XLOOKUP($C11,[9]Sheet1!$A:$A,[9]Sheet1!B:B,0)/1000,0)</f>
        <v>1071.441</v>
      </c>
      <c r="R11" s="38">
        <f>IFERROR(_xlfn.XLOOKUP($C11,[9]Sheet1!$A:$A,[9]Sheet1!C:C,0)/1000,0)</f>
        <v>1109.5450000000001</v>
      </c>
      <c r="S11" s="30">
        <f t="shared" si="4"/>
        <v>6808.3829999999998</v>
      </c>
    </row>
    <row r="12" spans="1:19" x14ac:dyDescent="0.35">
      <c r="A12" s="17">
        <f t="shared" si="3"/>
        <v>560</v>
      </c>
      <c r="B12" s="17">
        <v>80</v>
      </c>
      <c r="C12" s="1" t="s">
        <v>12</v>
      </c>
      <c r="D12" s="1">
        <f>_xlfn.XLOOKUP(C12,'[3]Weekly SIP'!$A:$A,'[3]Weekly SIP'!$K:$K,0)</f>
        <v>80</v>
      </c>
      <c r="E12" s="1">
        <v>80</v>
      </c>
      <c r="F12" s="1">
        <v>80</v>
      </c>
      <c r="G12" s="1">
        <v>80</v>
      </c>
      <c r="H12" s="1">
        <v>80</v>
      </c>
      <c r="I12" s="1">
        <v>80</v>
      </c>
      <c r="J12" s="1">
        <v>80</v>
      </c>
      <c r="K12" s="2">
        <f t="shared" si="2"/>
        <v>560</v>
      </c>
      <c r="L12" s="38">
        <f>IFERROR(_xlfn.XLOOKUP($C12,'[8]Key point'!$A:$A,'[8]Key point'!C:C,0),0)</f>
        <v>33.6</v>
      </c>
      <c r="M12" s="38">
        <f>IFERROR(_xlfn.XLOOKUP($C12,'[8]Key point'!$A:$A,'[8]Key point'!D:D,0),0)</f>
        <v>66.599000000000004</v>
      </c>
      <c r="N12" s="38">
        <f>IFERROR(_xlfn.XLOOKUP($C12,'[8]Key point'!$A:$A,'[8]Key point'!E:E,0),0)</f>
        <v>99.331999999999994</v>
      </c>
      <c r="O12" s="38">
        <f>IFERROR(_xlfn.XLOOKUP($C12,'[8]Key point'!$A:$A,'[8]Key point'!F:F,0),0)</f>
        <v>66.543000000000006</v>
      </c>
      <c r="P12" s="38">
        <f>IFERROR(_xlfn.XLOOKUP($C12,'[8]Key point'!$A:$A,'[8]Key point'!G:G,0),0)</f>
        <v>98.918999999999997</v>
      </c>
      <c r="Q12" s="38">
        <f>IFERROR(_xlfn.XLOOKUP($C12,[9]Sheet1!$A:$A,[9]Sheet1!B:B,0)/1000,0)</f>
        <v>65.875</v>
      </c>
      <c r="R12" s="38">
        <f>IFERROR(_xlfn.XLOOKUP($C12,[9]Sheet1!$A:$A,[9]Sheet1!C:C,0)/1000,0)</f>
        <v>99.194000000000003</v>
      </c>
      <c r="S12" s="30">
        <f t="shared" si="4"/>
        <v>530.06200000000001</v>
      </c>
    </row>
    <row r="13" spans="1:19" x14ac:dyDescent="0.35">
      <c r="A13" s="17">
        <f t="shared" si="3"/>
        <v>1050</v>
      </c>
      <c r="B13" s="17">
        <v>150</v>
      </c>
      <c r="C13" s="1" t="s">
        <v>11</v>
      </c>
      <c r="D13" s="1">
        <f>_xlfn.XLOOKUP(C13,'[3]Weekly SIP'!$A:$A,'[3]Weekly SIP'!$K:$K,0)</f>
        <v>150</v>
      </c>
      <c r="E13" s="1">
        <v>150</v>
      </c>
      <c r="F13" s="1">
        <v>150</v>
      </c>
      <c r="G13" s="1">
        <v>150</v>
      </c>
      <c r="H13" s="1">
        <v>150</v>
      </c>
      <c r="I13" s="1">
        <v>150</v>
      </c>
      <c r="J13" s="1">
        <v>150</v>
      </c>
      <c r="K13" s="2">
        <f t="shared" si="2"/>
        <v>1050</v>
      </c>
      <c r="L13" s="38">
        <f>IFERROR(_xlfn.XLOOKUP($C13,'[8]Key point'!$A:$A,'[8]Key point'!C:C,0),0)</f>
        <v>136.16499999999999</v>
      </c>
      <c r="M13" s="38">
        <f>IFERROR(_xlfn.XLOOKUP($C13,'[8]Key point'!$A:$A,'[8]Key point'!D:D,0),0)</f>
        <v>135.74799999999999</v>
      </c>
      <c r="N13" s="38">
        <f>IFERROR(_xlfn.XLOOKUP($C13,'[8]Key point'!$A:$A,'[8]Key point'!E:E,0),0)</f>
        <v>159.846</v>
      </c>
      <c r="O13" s="38">
        <f>IFERROR(_xlfn.XLOOKUP($C13,'[8]Key point'!$A:$A,'[8]Key point'!F:F,0),0)</f>
        <v>136.30000000000001</v>
      </c>
      <c r="P13" s="38">
        <f>IFERROR(_xlfn.XLOOKUP($C13,'[8]Key point'!$A:$A,'[8]Key point'!G:G,0),0)</f>
        <v>169.46799999999999</v>
      </c>
      <c r="Q13" s="38">
        <f>IFERROR(_xlfn.XLOOKUP($C13,[9]Sheet1!$A:$A,[9]Sheet1!B:B,0)/1000,0)</f>
        <v>136.233</v>
      </c>
      <c r="R13" s="38">
        <f>IFERROR(_xlfn.XLOOKUP($C13,[9]Sheet1!$A:$A,[9]Sheet1!C:C,0)/1000,0)</f>
        <v>181.12799999999999</v>
      </c>
      <c r="S13" s="30">
        <f t="shared" si="4"/>
        <v>1054.8879999999999</v>
      </c>
    </row>
    <row r="14" spans="1:19" x14ac:dyDescent="0.35">
      <c r="A14" s="17">
        <f t="shared" si="3"/>
        <v>420</v>
      </c>
      <c r="B14" s="17">
        <v>60</v>
      </c>
      <c r="C14" s="1" t="s">
        <v>66</v>
      </c>
      <c r="D14" s="1">
        <f>_xlfn.XLOOKUP(C14,'[3]Weekly SIP'!$A:$A,'[3]Weekly SIP'!$K:$K,0)</f>
        <v>60</v>
      </c>
      <c r="E14" s="1">
        <v>60</v>
      </c>
      <c r="F14" s="1">
        <v>60</v>
      </c>
      <c r="G14" s="1">
        <v>60</v>
      </c>
      <c r="H14" s="1">
        <v>60</v>
      </c>
      <c r="I14" s="1">
        <v>60</v>
      </c>
      <c r="J14" s="1">
        <v>60</v>
      </c>
      <c r="K14" s="2">
        <f t="shared" si="2"/>
        <v>420</v>
      </c>
      <c r="L14" s="38">
        <f>IFERROR(_xlfn.XLOOKUP($C14,'[8]Key point'!$A:$A,'[8]Key point'!C:C,0),0)</f>
        <v>46.98</v>
      </c>
      <c r="M14" s="38">
        <f>IFERROR(_xlfn.XLOOKUP($C14,'[8]Key point'!$A:$A,'[8]Key point'!D:D,0),0)</f>
        <v>70.832999999999998</v>
      </c>
      <c r="N14" s="38">
        <f>IFERROR(_xlfn.XLOOKUP($C14,'[8]Key point'!$A:$A,'[8]Key point'!E:E,0),0)</f>
        <v>47.222000000000001</v>
      </c>
      <c r="O14" s="38">
        <f>IFERROR(_xlfn.XLOOKUP($C14,'[8]Key point'!$A:$A,'[8]Key point'!F:F,0),0)</f>
        <v>70.828999999999994</v>
      </c>
      <c r="P14" s="38">
        <f>IFERROR(_xlfn.XLOOKUP($C14,'[8]Key point'!$A:$A,'[8]Key point'!G:G,0),0)</f>
        <v>47.222000000000001</v>
      </c>
      <c r="Q14" s="38">
        <f>IFERROR(_xlfn.XLOOKUP($C14,[9]Sheet1!$A:$A,[9]Sheet1!B:B,0)/1000,0)</f>
        <v>70.599000000000004</v>
      </c>
      <c r="R14" s="38">
        <f>IFERROR(_xlfn.XLOOKUP($C14,[9]Sheet1!$A:$A,[9]Sheet1!C:C,0)/1000,0)</f>
        <v>44.011000000000003</v>
      </c>
      <c r="S14" s="30">
        <f t="shared" si="4"/>
        <v>397.69599999999997</v>
      </c>
    </row>
    <row r="15" spans="1:19" x14ac:dyDescent="0.35">
      <c r="A15" s="17">
        <f t="shared" si="3"/>
        <v>210</v>
      </c>
      <c r="B15" s="17">
        <v>30</v>
      </c>
      <c r="C15" s="1" t="s">
        <v>10</v>
      </c>
      <c r="D15" s="1">
        <f>_xlfn.XLOOKUP(C15,'[3]Weekly SIP'!$A:$A,'[3]Weekly SIP'!$K:$K,0)</f>
        <v>30</v>
      </c>
      <c r="E15" s="1">
        <v>30</v>
      </c>
      <c r="F15" s="1">
        <v>30</v>
      </c>
      <c r="G15" s="1">
        <v>30</v>
      </c>
      <c r="H15" s="1">
        <v>30</v>
      </c>
      <c r="I15" s="1">
        <v>30</v>
      </c>
      <c r="J15" s="1">
        <v>30</v>
      </c>
      <c r="K15" s="2">
        <f t="shared" si="2"/>
        <v>210</v>
      </c>
      <c r="L15" s="38">
        <f>IFERROR(_xlfn.XLOOKUP($C15,'[8]Key point'!$A:$A,'[8]Key point'!C:C,0),0)</f>
        <v>33.6</v>
      </c>
      <c r="M15" s="38">
        <f>IFERROR(_xlfn.XLOOKUP($C15,'[8]Key point'!$A:$A,'[8]Key point'!D:D,0),0)</f>
        <v>33.585000000000001</v>
      </c>
      <c r="N15" s="38">
        <f>IFERROR(_xlfn.XLOOKUP($C15,'[8]Key point'!$A:$A,'[8]Key point'!E:E,0),0)</f>
        <v>33.6</v>
      </c>
      <c r="O15" s="38">
        <f>IFERROR(_xlfn.XLOOKUP($C15,'[8]Key point'!$A:$A,'[8]Key point'!F:F,0),0)</f>
        <v>20.099</v>
      </c>
      <c r="P15" s="38">
        <f>IFERROR(_xlfn.XLOOKUP($C15,'[8]Key point'!$A:$A,'[8]Key point'!G:G,0),0)</f>
        <v>100.779</v>
      </c>
      <c r="Q15" s="38">
        <f>IFERROR(_xlfn.XLOOKUP($C15,[9]Sheet1!$A:$A,[9]Sheet1!B:B,0)/1000,0)</f>
        <v>0</v>
      </c>
      <c r="R15" s="38">
        <f>IFERROR(_xlfn.XLOOKUP($C15,[9]Sheet1!$A:$A,[9]Sheet1!C:C,0)/1000,0)</f>
        <v>0</v>
      </c>
      <c r="S15" s="30">
        <f t="shared" si="4"/>
        <v>221.66300000000001</v>
      </c>
    </row>
    <row r="16" spans="1:19" x14ac:dyDescent="0.35">
      <c r="A16" s="17">
        <f t="shared" si="3"/>
        <v>70</v>
      </c>
      <c r="B16" s="17">
        <v>10</v>
      </c>
      <c r="C16" s="1" t="s">
        <v>9</v>
      </c>
      <c r="D16" s="1">
        <f>_xlfn.XLOOKUP(C16,'[3]Weekly SIP'!$A:$A,'[3]Weekly SIP'!$K:$K,0)</f>
        <v>10</v>
      </c>
      <c r="E16" s="1">
        <v>10</v>
      </c>
      <c r="F16" s="1">
        <v>10</v>
      </c>
      <c r="G16" s="1">
        <v>30</v>
      </c>
      <c r="H16" s="1">
        <v>10</v>
      </c>
      <c r="I16" s="1">
        <v>10</v>
      </c>
      <c r="J16" s="1">
        <v>10</v>
      </c>
      <c r="K16" s="2">
        <f t="shared" si="2"/>
        <v>90</v>
      </c>
      <c r="L16" s="38">
        <f>IFERROR(_xlfn.XLOOKUP($C16,'[8]Key point'!$A:$A,'[8]Key point'!C:C,0),0)</f>
        <v>33.6</v>
      </c>
      <c r="M16" s="38">
        <f>IFERROR(_xlfn.XLOOKUP($C16,'[8]Key point'!$A:$A,'[8]Key point'!D:D,0),0)</f>
        <v>0</v>
      </c>
      <c r="N16" s="38">
        <f>IFERROR(_xlfn.XLOOKUP($C16,'[8]Key point'!$A:$A,'[8]Key point'!E:E,0),0)</f>
        <v>0</v>
      </c>
      <c r="O16" s="38">
        <f>IFERROR(_xlfn.XLOOKUP($C16,'[8]Key point'!$A:$A,'[8]Key point'!F:F,0),0)</f>
        <v>22.666</v>
      </c>
      <c r="P16" s="38">
        <f>IFERROR(_xlfn.XLOOKUP($C16,'[8]Key point'!$A:$A,'[8]Key point'!G:G,0),0)</f>
        <v>0</v>
      </c>
      <c r="Q16" s="38">
        <f>IFERROR(_xlfn.XLOOKUP($C16,[9]Sheet1!$A:$A,[9]Sheet1!B:B,0)/1000,0)</f>
        <v>0</v>
      </c>
      <c r="R16" s="38">
        <f>IFERROR(_xlfn.XLOOKUP($C16,[9]Sheet1!$A:$A,[9]Sheet1!C:C,0)/1000,0)</f>
        <v>0</v>
      </c>
      <c r="S16" s="30">
        <f t="shared" si="4"/>
        <v>56.266000000000005</v>
      </c>
    </row>
    <row r="17" spans="1:19" hidden="1" x14ac:dyDescent="0.35">
      <c r="A17" s="17">
        <f t="shared" si="3"/>
        <v>0</v>
      </c>
      <c r="B17" s="17">
        <v>0</v>
      </c>
      <c r="C17" s="1" t="s">
        <v>98</v>
      </c>
      <c r="D17" s="1">
        <f>_xlfn.XLOOKUP(C17,'[3]Weekly SIP'!$A:$A,'[3]Weekly SIP'!$K:$K,0)</f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2">
        <f t="shared" si="2"/>
        <v>0</v>
      </c>
      <c r="L17" s="38">
        <f>IFERROR(_xlfn.XLOOKUP($C17,'[8]Key point'!$A:$A,'[8]Key point'!C:C,0),0)</f>
        <v>0</v>
      </c>
      <c r="M17" s="38">
        <f>IFERROR(_xlfn.XLOOKUP($C17,'[8]Key point'!$A:$A,'[8]Key point'!D:D,0),0)</f>
        <v>0</v>
      </c>
      <c r="N17" s="38">
        <f>IFERROR(_xlfn.XLOOKUP($C17,'[8]Key point'!$A:$A,'[8]Key point'!E:E,0),0)</f>
        <v>0</v>
      </c>
      <c r="O17" s="38">
        <f>IFERROR(_xlfn.XLOOKUP($C17,'[8]Key point'!$A:$A,'[8]Key point'!F:F,0),0)</f>
        <v>0</v>
      </c>
      <c r="P17" s="38">
        <f>IFERROR(_xlfn.XLOOKUP($C17,'[8]Key point'!$A:$A,'[8]Key point'!G:G,0),0)</f>
        <v>0</v>
      </c>
      <c r="Q17" s="38">
        <f>IFERROR(_xlfn.XLOOKUP($C17,[9]Sheet1!$A:$A,[9]Sheet1!B:B,0)/1000,0)</f>
        <v>0</v>
      </c>
      <c r="R17" s="38">
        <f>IFERROR(_xlfn.XLOOKUP($C17,[9]Sheet1!$A:$A,[9]Sheet1!C:C,0)/1000,0)</f>
        <v>0</v>
      </c>
      <c r="S17" s="30">
        <f t="shared" si="4"/>
        <v>0</v>
      </c>
    </row>
    <row r="18" spans="1:19" x14ac:dyDescent="0.35">
      <c r="A18" s="17">
        <f t="shared" si="3"/>
        <v>882</v>
      </c>
      <c r="B18" s="17">
        <v>126</v>
      </c>
      <c r="C18" s="1" t="s">
        <v>110</v>
      </c>
      <c r="D18" s="1">
        <f>84*2</f>
        <v>168</v>
      </c>
      <c r="E18" s="1">
        <f t="shared" ref="E18:F18" si="5">84*2</f>
        <v>168</v>
      </c>
      <c r="F18" s="1">
        <f t="shared" si="5"/>
        <v>168</v>
      </c>
      <c r="G18" s="1">
        <v>126</v>
      </c>
      <c r="H18" s="1">
        <v>84</v>
      </c>
      <c r="I18" s="1">
        <v>84</v>
      </c>
      <c r="J18" s="1">
        <v>84</v>
      </c>
      <c r="K18" s="2">
        <f t="shared" si="2"/>
        <v>882</v>
      </c>
      <c r="L18" s="38">
        <f>IFERROR(_xlfn.XLOOKUP($C18,'[8]Key point'!$A:$A,'[8]Key point'!C:C,0),0)</f>
        <v>168.85900000000001</v>
      </c>
      <c r="M18" s="38">
        <f>IFERROR(_xlfn.XLOOKUP($C18,'[8]Key point'!$A:$A,'[8]Key point'!D:D,0),0)</f>
        <v>169.33199999999999</v>
      </c>
      <c r="N18" s="38">
        <f>IFERROR(_xlfn.XLOOKUP($C18,'[8]Key point'!$A:$A,'[8]Key point'!E:E,0),0)</f>
        <v>169.59200000000001</v>
      </c>
      <c r="O18" s="38">
        <f>IFERROR(_xlfn.XLOOKUP($C18,'[8]Key point'!$A:$A,'[8]Key point'!F:F,0),0)</f>
        <v>126.855</v>
      </c>
      <c r="P18" s="38">
        <f>IFERROR(_xlfn.XLOOKUP($C18,'[8]Key point'!$A:$A,'[8]Key point'!G:G,0),0)</f>
        <v>84.951999999999998</v>
      </c>
      <c r="Q18" s="38">
        <f>IFERROR(_xlfn.XLOOKUP($C18,[9]Sheet1!$A:$A,[9]Sheet1!B:B,0)/1000,0)</f>
        <v>85.296999999999997</v>
      </c>
      <c r="R18" s="38">
        <f>IFERROR(_xlfn.XLOOKUP($C18,[9]Sheet1!$A:$A,[9]Sheet1!C:C,0)/1000,0)</f>
        <v>85.262</v>
      </c>
      <c r="S18" s="30">
        <f t="shared" si="4"/>
        <v>890.14900000000011</v>
      </c>
    </row>
    <row r="19" spans="1:19" x14ac:dyDescent="0.35">
      <c r="A19" s="17">
        <f t="shared" si="3"/>
        <v>2030</v>
      </c>
      <c r="B19" s="17">
        <v>290</v>
      </c>
      <c r="C19" s="1" t="s">
        <v>8</v>
      </c>
      <c r="D19" s="1">
        <v>290</v>
      </c>
      <c r="E19" s="1">
        <v>290</v>
      </c>
      <c r="F19" s="1">
        <v>290</v>
      </c>
      <c r="G19" s="1">
        <v>290</v>
      </c>
      <c r="H19" s="1">
        <v>290</v>
      </c>
      <c r="I19" s="1">
        <v>290</v>
      </c>
      <c r="J19" s="1">
        <v>290</v>
      </c>
      <c r="K19" s="2">
        <f t="shared" si="2"/>
        <v>2030</v>
      </c>
      <c r="L19" s="38">
        <f>IFERROR(_xlfn.XLOOKUP($C19,'[8]Key point'!$A:$A,'[8]Key point'!C:C,0),0)</f>
        <v>266.22300000000001</v>
      </c>
      <c r="M19" s="38">
        <f>IFERROR(_xlfn.XLOOKUP($C19,'[8]Key point'!$A:$A,'[8]Key point'!D:D,0),0)</f>
        <v>266.10500000000002</v>
      </c>
      <c r="N19" s="38">
        <f>IFERROR(_xlfn.XLOOKUP($C19,'[8]Key point'!$A:$A,'[8]Key point'!E:E,0),0)</f>
        <v>266.173</v>
      </c>
      <c r="O19" s="38">
        <f>IFERROR(_xlfn.XLOOKUP($C19,'[8]Key point'!$A:$A,'[8]Key point'!F:F,0),0)</f>
        <v>288.90800000000002</v>
      </c>
      <c r="P19" s="38">
        <f>IFERROR(_xlfn.XLOOKUP($C19,'[8]Key point'!$A:$A,'[8]Key point'!G:G,0),0)</f>
        <v>266.93299999999999</v>
      </c>
      <c r="Q19" s="38">
        <f>IFERROR(_xlfn.XLOOKUP($C19,[9]Sheet1!$A:$A,[9]Sheet1!B:B,0)/1000,0)</f>
        <v>233.25800000000001</v>
      </c>
      <c r="R19" s="38">
        <f>IFERROR(_xlfn.XLOOKUP($C19,[9]Sheet1!$A:$A,[9]Sheet1!C:C,0)/1000,0)</f>
        <v>266.07799999999997</v>
      </c>
      <c r="S19" s="30">
        <f t="shared" si="4"/>
        <v>1853.6780000000001</v>
      </c>
    </row>
    <row r="20" spans="1:19" x14ac:dyDescent="0.35">
      <c r="A20" s="17">
        <f t="shared" si="3"/>
        <v>350</v>
      </c>
      <c r="B20" s="17">
        <v>50</v>
      </c>
      <c r="C20" s="1" t="s">
        <v>7</v>
      </c>
      <c r="D20" s="1">
        <f>_xlfn.XLOOKUP(C20,'[3]Weekly SIP'!$A:$A,'[3]Weekly SIP'!$K:$K,0)</f>
        <v>50</v>
      </c>
      <c r="E20" s="1">
        <v>50</v>
      </c>
      <c r="F20" s="1">
        <v>50</v>
      </c>
      <c r="G20" s="1">
        <v>50</v>
      </c>
      <c r="H20" s="1">
        <v>50</v>
      </c>
      <c r="I20" s="1">
        <v>50</v>
      </c>
      <c r="J20" s="1">
        <v>50</v>
      </c>
      <c r="K20" s="29">
        <f t="shared" si="2"/>
        <v>350</v>
      </c>
      <c r="L20" s="38">
        <f>IFERROR(_xlfn.XLOOKUP($C20,'[8]Key point'!$A:$A,'[8]Key point'!C:C,0),0)</f>
        <v>60.619</v>
      </c>
      <c r="M20" s="38">
        <f>IFERROR(_xlfn.XLOOKUP($C20,'[8]Key point'!$A:$A,'[8]Key point'!D:D,0),0)</f>
        <v>60.984999999999999</v>
      </c>
      <c r="N20" s="38">
        <f>IFERROR(_xlfn.XLOOKUP($C20,'[8]Key point'!$A:$A,'[8]Key point'!E:E,0),0)</f>
        <v>61.014000000000003</v>
      </c>
      <c r="O20" s="38">
        <f>IFERROR(_xlfn.XLOOKUP($C20,'[8]Key point'!$A:$A,'[8]Key point'!F:F,0),0)</f>
        <v>60.915999999999997</v>
      </c>
      <c r="P20" s="38">
        <f>IFERROR(_xlfn.XLOOKUP($C20,'[8]Key point'!$A:$A,'[8]Key point'!G:G,0),0)</f>
        <v>53.640999999999998</v>
      </c>
      <c r="Q20" s="38">
        <f>IFERROR(_xlfn.XLOOKUP($C20,[9]Sheet1!$A:$A,[9]Sheet1!B:B,0)/1000,0)</f>
        <v>106.178</v>
      </c>
      <c r="R20" s="38">
        <f>IFERROR(_xlfn.XLOOKUP($C20,[9]Sheet1!$A:$A,[9]Sheet1!C:C,0)/1000,0)</f>
        <v>76.423000000000002</v>
      </c>
      <c r="S20" s="30">
        <f t="shared" si="4"/>
        <v>479.77600000000001</v>
      </c>
    </row>
    <row r="21" spans="1:19" x14ac:dyDescent="0.35">
      <c r="A21" s="17">
        <f t="shared" si="3"/>
        <v>1330</v>
      </c>
      <c r="B21" s="17">
        <v>190</v>
      </c>
      <c r="C21" s="1" t="s">
        <v>6</v>
      </c>
      <c r="D21" s="1">
        <f>_xlfn.XLOOKUP(C21,'[3]Weekly SIP'!$A:$A,'[3]Weekly SIP'!$K:$K,0)</f>
        <v>190</v>
      </c>
      <c r="E21" s="28">
        <v>190</v>
      </c>
      <c r="F21" s="28">
        <v>190</v>
      </c>
      <c r="G21" s="1">
        <v>190</v>
      </c>
      <c r="H21" s="1">
        <v>190</v>
      </c>
      <c r="I21" s="1">
        <v>190</v>
      </c>
      <c r="J21" s="1">
        <v>190</v>
      </c>
      <c r="K21" s="29">
        <f t="shared" si="2"/>
        <v>1330</v>
      </c>
      <c r="L21" s="38">
        <f>IFERROR(_xlfn.XLOOKUP($C21,'[8]Key point'!$A:$A,'[8]Key point'!C:C,0),0)</f>
        <v>199.553</v>
      </c>
      <c r="M21" s="38">
        <f>IFERROR(_xlfn.XLOOKUP($C21,'[8]Key point'!$A:$A,'[8]Key point'!D:D,0),0)</f>
        <v>209.47200000000001</v>
      </c>
      <c r="N21" s="38">
        <f>IFERROR(_xlfn.XLOOKUP($C21,'[8]Key point'!$A:$A,'[8]Key point'!E:E,0),0)</f>
        <v>204.703</v>
      </c>
      <c r="O21" s="38">
        <f>IFERROR(_xlfn.XLOOKUP($C21,'[8]Key point'!$A:$A,'[8]Key point'!F:F,0),0)</f>
        <v>199.27699999999999</v>
      </c>
      <c r="P21" s="38">
        <f>IFERROR(_xlfn.XLOOKUP($C21,'[8]Key point'!$A:$A,'[8]Key point'!G:G,0),0)</f>
        <v>193.04400000000001</v>
      </c>
      <c r="Q21" s="38">
        <f>IFERROR(_xlfn.XLOOKUP($C21,[9]Sheet1!$A:$A,[9]Sheet1!B:B,0)/1000,0)</f>
        <v>199.011</v>
      </c>
      <c r="R21" s="38">
        <f>IFERROR(_xlfn.XLOOKUP($C21,[9]Sheet1!$A:$A,[9]Sheet1!C:C,0)/1000,0)</f>
        <v>198.97900000000001</v>
      </c>
      <c r="S21" s="30">
        <f t="shared" si="4"/>
        <v>1404.039</v>
      </c>
    </row>
    <row r="22" spans="1:19" x14ac:dyDescent="0.35">
      <c r="A22" s="17">
        <f t="shared" si="3"/>
        <v>4410</v>
      </c>
      <c r="B22" s="17">
        <v>630</v>
      </c>
      <c r="C22" s="1" t="s">
        <v>5</v>
      </c>
      <c r="D22" s="1">
        <v>588</v>
      </c>
      <c r="E22" s="1">
        <v>588</v>
      </c>
      <c r="F22" s="1">
        <v>588</v>
      </c>
      <c r="G22" s="1">
        <f>588+42</f>
        <v>630</v>
      </c>
      <c r="H22" s="1">
        <f>84*8</f>
        <v>672</v>
      </c>
      <c r="I22" s="1">
        <f t="shared" ref="I22:J22" si="6">84*8</f>
        <v>672</v>
      </c>
      <c r="J22" s="1">
        <f t="shared" si="6"/>
        <v>672</v>
      </c>
      <c r="K22" s="2">
        <f t="shared" si="2"/>
        <v>4410</v>
      </c>
      <c r="L22" s="38">
        <f>IFERROR(_xlfn.XLOOKUP($C22,'[8]Key point'!$A:$A,'[8]Key point'!C:C,0),0)</f>
        <v>591.05799999999999</v>
      </c>
      <c r="M22" s="38">
        <f>IFERROR(_xlfn.XLOOKUP($C22,'[8]Key point'!$A:$A,'[8]Key point'!D:D,0),0)</f>
        <v>591.35400000000004</v>
      </c>
      <c r="N22" s="38">
        <f>IFERROR(_xlfn.XLOOKUP($C22,'[8]Key point'!$A:$A,'[8]Key point'!E:E,0),0)</f>
        <v>590.63300000000004</v>
      </c>
      <c r="O22" s="38">
        <f>IFERROR(_xlfn.XLOOKUP($C22,'[8]Key point'!$A:$A,'[8]Key point'!F:F,0),0)</f>
        <v>631.41300000000001</v>
      </c>
      <c r="P22" s="38">
        <f>IFERROR(_xlfn.XLOOKUP($C22,'[8]Key point'!$A:$A,'[8]Key point'!G:G,0),0)</f>
        <v>689.30200000000002</v>
      </c>
      <c r="Q22" s="38">
        <f>IFERROR(_xlfn.XLOOKUP($C22,[9]Sheet1!$A:$A,[9]Sheet1!B:B,0)/1000,0)</f>
        <v>671.495</v>
      </c>
      <c r="R22" s="38">
        <f>IFERROR(_xlfn.XLOOKUP($C22,[9]Sheet1!$A:$A,[9]Sheet1!C:C,0)/1000,0)</f>
        <v>671.94200000000001</v>
      </c>
      <c r="S22" s="30">
        <f t="shared" si="4"/>
        <v>4437.1970000000001</v>
      </c>
    </row>
    <row r="23" spans="1:19" x14ac:dyDescent="0.35">
      <c r="A23" s="17">
        <f t="shared" si="3"/>
        <v>1400</v>
      </c>
      <c r="B23" s="17">
        <v>200</v>
      </c>
      <c r="C23" s="1" t="s">
        <v>4</v>
      </c>
      <c r="D23" s="1">
        <f>_xlfn.XLOOKUP(C23,'[3]Weekly SIP'!$A:$A,'[3]Weekly SIP'!$K:$K,0)</f>
        <v>200</v>
      </c>
      <c r="E23" s="1">
        <v>200</v>
      </c>
      <c r="F23" s="1">
        <v>200</v>
      </c>
      <c r="G23" s="1">
        <v>200</v>
      </c>
      <c r="H23" s="1">
        <v>200</v>
      </c>
      <c r="I23" s="1">
        <v>200</v>
      </c>
      <c r="J23" s="1">
        <v>200</v>
      </c>
      <c r="K23" s="2">
        <f t="shared" si="2"/>
        <v>1400</v>
      </c>
      <c r="L23" s="38">
        <f>IFERROR(_xlfn.XLOOKUP($C23,'[8]Key point'!$A:$A,'[8]Key point'!C:C,0),0)</f>
        <v>204.09200000000001</v>
      </c>
      <c r="M23" s="38">
        <f>IFERROR(_xlfn.XLOOKUP($C23,'[8]Key point'!$A:$A,'[8]Key point'!D:D,0),0)</f>
        <v>197.589</v>
      </c>
      <c r="N23" s="38">
        <f>IFERROR(_xlfn.XLOOKUP($C23,'[8]Key point'!$A:$A,'[8]Key point'!E:E,0),0)</f>
        <v>194.321</v>
      </c>
      <c r="O23" s="38">
        <f>IFERROR(_xlfn.XLOOKUP($C23,'[8]Key point'!$A:$A,'[8]Key point'!F:F,0),0)</f>
        <v>164.863</v>
      </c>
      <c r="P23" s="38">
        <f>IFERROR(_xlfn.XLOOKUP($C23,'[8]Key point'!$A:$A,'[8]Key point'!G:G,0),0)</f>
        <v>191.98</v>
      </c>
      <c r="Q23" s="38">
        <v>100</v>
      </c>
      <c r="R23" s="38">
        <f>IFERROR(_xlfn.XLOOKUP($C23,[9]Sheet1!$A:$A,[9]Sheet1!C:C,0)/1000,0)</f>
        <v>101.48099999999999</v>
      </c>
      <c r="S23" s="30">
        <f t="shared" si="4"/>
        <v>1154.326</v>
      </c>
    </row>
    <row r="24" spans="1:19" x14ac:dyDescent="0.35">
      <c r="A24" s="17">
        <f t="shared" si="3"/>
        <v>3150</v>
      </c>
      <c r="B24" s="17">
        <v>450</v>
      </c>
      <c r="C24" s="1" t="s">
        <v>3</v>
      </c>
      <c r="D24" s="1">
        <f>_xlfn.XLOOKUP(C24,'[3]Weekly SIP'!$A:$A,'[3]Weekly SIP'!$K:$K,0)</f>
        <v>450</v>
      </c>
      <c r="E24" s="1">
        <v>450</v>
      </c>
      <c r="F24" s="1">
        <v>450</v>
      </c>
      <c r="G24" s="1">
        <v>450</v>
      </c>
      <c r="H24" s="1">
        <v>450</v>
      </c>
      <c r="I24" s="1">
        <v>450</v>
      </c>
      <c r="J24" s="1">
        <v>450</v>
      </c>
      <c r="K24" s="2">
        <f t="shared" si="2"/>
        <v>3150</v>
      </c>
      <c r="L24" s="38">
        <f>IFERROR(_xlfn.XLOOKUP($C24,'[8]Key point'!$A:$A,'[8]Key point'!C:C,0),0)</f>
        <v>432.97</v>
      </c>
      <c r="M24" s="38">
        <f>IFERROR(_xlfn.XLOOKUP($C24,'[8]Key point'!$A:$A,'[8]Key point'!D:D,0),0)</f>
        <v>432.28199999999998</v>
      </c>
      <c r="N24" s="38">
        <f>IFERROR(_xlfn.XLOOKUP($C24,'[8]Key point'!$A:$A,'[8]Key point'!E:E,0),0)</f>
        <v>432.19799999999998</v>
      </c>
      <c r="O24" s="38">
        <f>IFERROR(_xlfn.XLOOKUP($C24,'[8]Key point'!$A:$A,'[8]Key point'!F:F,0),0)</f>
        <v>400.952</v>
      </c>
      <c r="P24" s="38">
        <f>IFERROR(_xlfn.XLOOKUP($C24,'[8]Key point'!$A:$A,'[8]Key point'!G:G,0),0)</f>
        <v>432.178</v>
      </c>
      <c r="Q24" s="38">
        <f>IFERROR(_xlfn.XLOOKUP($C24,[9]Sheet1!$A:$A,[9]Sheet1!B:B,0)/1000,0)</f>
        <v>439.327</v>
      </c>
      <c r="R24" s="38">
        <f>IFERROR(_xlfn.XLOOKUP($C24,[9]Sheet1!$A:$A,[9]Sheet1!C:C,0)/1000,0)</f>
        <v>458.36900000000003</v>
      </c>
      <c r="S24" s="30">
        <f t="shared" si="4"/>
        <v>3028.2760000000003</v>
      </c>
    </row>
    <row r="25" spans="1:19" hidden="1" x14ac:dyDescent="0.35">
      <c r="A25" s="17">
        <f t="shared" si="3"/>
        <v>0</v>
      </c>
      <c r="B25" s="17">
        <v>0</v>
      </c>
      <c r="C25" s="1" t="s">
        <v>113</v>
      </c>
      <c r="D25" s="1">
        <f>_xlfn.XLOOKUP(C25,'[3]Weekly SIP'!$A:$A,'[3]Weekly SIP'!$K:$K,0)</f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2">
        <f t="shared" si="2"/>
        <v>0</v>
      </c>
      <c r="L25" s="38">
        <f>IFERROR(_xlfn.XLOOKUP($C25,'[8]Key point'!$A:$A,'[8]Key point'!C:C,0),0)</f>
        <v>0</v>
      </c>
      <c r="M25" s="38">
        <f>IFERROR(_xlfn.XLOOKUP($C25,'[8]Key point'!$A:$A,'[8]Key point'!D:D,0),0)</f>
        <v>0</v>
      </c>
      <c r="N25" s="38">
        <f>IFERROR(_xlfn.XLOOKUP($C25,'[8]Key point'!$A:$A,'[8]Key point'!E:E,0),0)</f>
        <v>0</v>
      </c>
      <c r="O25" s="38">
        <f>IFERROR(_xlfn.XLOOKUP($C25,'[8]Key point'!$A:$A,'[8]Key point'!F:F,0),0)</f>
        <v>0</v>
      </c>
      <c r="P25" s="38">
        <f>IFERROR(_xlfn.XLOOKUP($C25,'[8]Key point'!$A:$A,'[8]Key point'!G:G,0),0)</f>
        <v>0</v>
      </c>
      <c r="Q25" s="38">
        <f>IFERROR(_xlfn.XLOOKUP($C25,[9]Sheet1!$A:$A,[9]Sheet1!B:B,0)/1000,0)</f>
        <v>0</v>
      </c>
      <c r="R25" s="38">
        <f>IFERROR(_xlfn.XLOOKUP($C25,[9]Sheet1!$A:$A,[9]Sheet1!C:C,0)/1000,0)</f>
        <v>0</v>
      </c>
      <c r="S25" s="30"/>
    </row>
    <row r="26" spans="1:19" x14ac:dyDescent="0.35">
      <c r="A26" s="17">
        <f t="shared" si="3"/>
        <v>2254</v>
      </c>
      <c r="B26" s="17">
        <v>322</v>
      </c>
      <c r="C26" s="1" t="s">
        <v>2</v>
      </c>
      <c r="D26" s="1">
        <f>_xlfn.XLOOKUP(C26,'[3]Weekly SIP'!$A:$A,'[3]Weekly SIP'!$K:$K,0)</f>
        <v>322</v>
      </c>
      <c r="E26" s="1">
        <v>322</v>
      </c>
      <c r="F26" s="1">
        <v>322</v>
      </c>
      <c r="G26" s="1">
        <v>322</v>
      </c>
      <c r="H26" s="1">
        <v>322</v>
      </c>
      <c r="I26" s="1">
        <v>322</v>
      </c>
      <c r="J26" s="1">
        <v>322</v>
      </c>
      <c r="K26" s="2">
        <f t="shared" si="2"/>
        <v>2254</v>
      </c>
      <c r="L26" s="38">
        <f>IFERROR(_xlfn.XLOOKUP($C26,'[8]Key point'!$A:$A,'[8]Key point'!C:C,0),0)</f>
        <v>326.64100000000002</v>
      </c>
      <c r="M26" s="38">
        <f>IFERROR(_xlfn.XLOOKUP($C26,'[8]Key point'!$A:$A,'[8]Key point'!D:D,0),0)</f>
        <v>327.053</v>
      </c>
      <c r="N26" s="38">
        <f>IFERROR(_xlfn.XLOOKUP($C26,'[8]Key point'!$A:$A,'[8]Key point'!E:E,0),0)</f>
        <v>326.89699999999999</v>
      </c>
      <c r="O26" s="38">
        <f>IFERROR(_xlfn.XLOOKUP($C26,'[8]Key point'!$A:$A,'[8]Key point'!F:F,0),0)</f>
        <v>325.35199999999998</v>
      </c>
      <c r="P26" s="38">
        <f>IFERROR(_xlfn.XLOOKUP($C26,'[8]Key point'!$A:$A,'[8]Key point'!G:G,0),0)</f>
        <v>327.18599999999998</v>
      </c>
      <c r="Q26" s="38">
        <f>IFERROR(_xlfn.XLOOKUP($C26,[9]Sheet1!$A:$A,[9]Sheet1!B:B,0)/1000,0)</f>
        <v>327.52100000000002</v>
      </c>
      <c r="R26" s="38">
        <f>IFERROR(_xlfn.XLOOKUP($C26,[9]Sheet1!$A:$A,[9]Sheet1!C:C,0)/1000,0)</f>
        <v>327.26400000000001</v>
      </c>
      <c r="S26" s="30">
        <f t="shared" si="4"/>
        <v>2287.9139999999998</v>
      </c>
    </row>
    <row r="27" spans="1:19" hidden="1" x14ac:dyDescent="0.35">
      <c r="A27" s="17">
        <f t="shared" si="3"/>
        <v>0</v>
      </c>
      <c r="B27" s="17">
        <v>0</v>
      </c>
      <c r="C27" s="1" t="s">
        <v>114</v>
      </c>
      <c r="D27" s="1">
        <f>_xlfn.XLOOKUP(C27,'[3]Weekly SIP'!$A:$A,'[3]Weekly SIP'!$K:$K,0)</f>
        <v>0</v>
      </c>
      <c r="E27" s="27">
        <v>0</v>
      </c>
      <c r="F27" s="27">
        <v>0</v>
      </c>
      <c r="G27" s="27">
        <v>0</v>
      </c>
      <c r="H27" s="1">
        <v>0</v>
      </c>
      <c r="I27" s="27">
        <v>0</v>
      </c>
      <c r="J27" s="27">
        <v>0</v>
      </c>
      <c r="K27" s="2">
        <f t="shared" si="2"/>
        <v>0</v>
      </c>
      <c r="L27" s="38">
        <f>IFERROR(_xlfn.XLOOKUP($C27,'[8]Key point'!$A:$A,'[8]Key point'!C:C,0),0)</f>
        <v>0</v>
      </c>
      <c r="M27" s="38">
        <f>IFERROR(_xlfn.XLOOKUP($C27,'[8]Key point'!$A:$A,'[8]Key point'!D:D,0),0)</f>
        <v>0</v>
      </c>
      <c r="N27" s="38">
        <f>IFERROR(_xlfn.XLOOKUP($C27,'[8]Key point'!$A:$A,'[8]Key point'!E:E,0),0)</f>
        <v>0</v>
      </c>
      <c r="O27" s="38">
        <f>IFERROR(_xlfn.XLOOKUP($C27,'[8]Key point'!$A:$A,'[8]Key point'!F:F,0),0)</f>
        <v>0</v>
      </c>
      <c r="P27" s="38">
        <f>IFERROR(_xlfn.XLOOKUP($C27,'[8]Key point'!$A:$A,'[8]Key point'!G:G,0),0)</f>
        <v>0</v>
      </c>
      <c r="Q27" s="38">
        <f>IFERROR(_xlfn.XLOOKUP($C27,[9]Sheet1!$A:$A,[9]Sheet1!B:B,0)/1000,0)</f>
        <v>0</v>
      </c>
      <c r="R27" s="38">
        <f>IFERROR(_xlfn.XLOOKUP($C27,[9]Sheet1!$A:$A,[9]Sheet1!C:C,0)/1000,0)</f>
        <v>0</v>
      </c>
      <c r="S27" s="30"/>
    </row>
    <row r="28" spans="1:19" ht="17" customHeight="1" x14ac:dyDescent="0.35">
      <c r="A28" s="17">
        <f t="shared" si="3"/>
        <v>560</v>
      </c>
      <c r="B28" s="17">
        <v>80</v>
      </c>
      <c r="C28" s="1" t="s">
        <v>1</v>
      </c>
      <c r="D28" s="1">
        <f>_xlfn.XLOOKUP(C28,'[3]Weekly SIP'!$A:$A,'[3]Weekly SIP'!$K:$K,0)</f>
        <v>80</v>
      </c>
      <c r="E28" s="1">
        <v>80</v>
      </c>
      <c r="F28" s="1">
        <v>80</v>
      </c>
      <c r="G28" s="1">
        <v>80</v>
      </c>
      <c r="H28" s="1">
        <v>80</v>
      </c>
      <c r="I28" s="1">
        <v>80</v>
      </c>
      <c r="J28" s="1">
        <v>80</v>
      </c>
      <c r="K28" s="2">
        <f t="shared" si="2"/>
        <v>560</v>
      </c>
      <c r="L28" s="38">
        <f>IFERROR(_xlfn.XLOOKUP($C28,'[8]Key point'!$A:$A,'[8]Key point'!C:C,0),0)</f>
        <v>98.820999999999998</v>
      </c>
      <c r="M28" s="38">
        <f>IFERROR(_xlfn.XLOOKUP($C28,'[8]Key point'!$A:$A,'[8]Key point'!D:D,0),0)</f>
        <v>105.93600000000001</v>
      </c>
      <c r="N28" s="38">
        <f>IFERROR(_xlfn.XLOOKUP($C28,'[8]Key point'!$A:$A,'[8]Key point'!E:E,0),0)</f>
        <v>84.019000000000005</v>
      </c>
      <c r="O28" s="38">
        <f>IFERROR(_xlfn.XLOOKUP($C28,'[8]Key point'!$A:$A,'[8]Key point'!F:F,0),0)</f>
        <v>79.656999999999996</v>
      </c>
      <c r="P28" s="38">
        <f>IFERROR(_xlfn.XLOOKUP($C28,'[8]Key point'!$A:$A,'[8]Key point'!G:G,0),0)</f>
        <v>80.021000000000001</v>
      </c>
      <c r="Q28" s="38">
        <f>IFERROR(_xlfn.XLOOKUP($C28,[9]Sheet1!$A:$A,[9]Sheet1!B:B,0)/1000,0)</f>
        <v>62.75</v>
      </c>
      <c r="R28" s="38">
        <f>IFERROR(_xlfn.XLOOKUP($C28,[9]Sheet1!$A:$A,[9]Sheet1!C:C,0)/1000,0)</f>
        <v>45.978999999999999</v>
      </c>
      <c r="S28" s="30">
        <f t="shared" si="4"/>
        <v>557.18299999999999</v>
      </c>
    </row>
    <row r="29" spans="1:19" x14ac:dyDescent="0.35">
      <c r="A29" s="2" t="s">
        <v>20</v>
      </c>
      <c r="B29" s="17">
        <f>SUM(B2:B9)</f>
        <v>2550</v>
      </c>
      <c r="C29" s="17">
        <f>SUM(C2:C8)</f>
        <v>0</v>
      </c>
      <c r="D29" s="17">
        <f>SUM(D2:D10)</f>
        <v>2650</v>
      </c>
      <c r="E29" s="17">
        <f t="shared" ref="E29:J29" si="7">SUM(E2:E10)</f>
        <v>2650</v>
      </c>
      <c r="F29" s="17">
        <f t="shared" si="7"/>
        <v>2650</v>
      </c>
      <c r="G29" s="17">
        <f t="shared" si="7"/>
        <v>2500</v>
      </c>
      <c r="H29" s="17">
        <f t="shared" si="7"/>
        <v>2450</v>
      </c>
      <c r="I29" s="17">
        <f t="shared" si="7"/>
        <v>2450</v>
      </c>
      <c r="J29" s="17">
        <f t="shared" si="7"/>
        <v>2450</v>
      </c>
      <c r="K29" s="17">
        <f t="shared" ref="K29:R29" si="8">SUM(K2:K9)</f>
        <v>17800</v>
      </c>
      <c r="L29" s="17">
        <f>SUM(L2:L10)</f>
        <v>2709.92</v>
      </c>
      <c r="M29" s="17">
        <f t="shared" ref="M29:Q29" si="9">SUM(M2:M10)</f>
        <v>2552.5150000000003</v>
      </c>
      <c r="N29" s="17">
        <f t="shared" si="9"/>
        <v>2769.0659999999998</v>
      </c>
      <c r="O29" s="17">
        <f t="shared" si="9"/>
        <v>2525.7920000000004</v>
      </c>
      <c r="P29" s="17">
        <f t="shared" si="9"/>
        <v>2444.616</v>
      </c>
      <c r="Q29" s="17">
        <f t="shared" si="9"/>
        <v>2504.1579999999999</v>
      </c>
      <c r="R29" s="17">
        <f t="shared" si="8"/>
        <v>2448.4249999999997</v>
      </c>
      <c r="S29" s="30">
        <f t="shared" si="4"/>
        <v>17954.492000000002</v>
      </c>
    </row>
    <row r="30" spans="1:19" x14ac:dyDescent="0.35">
      <c r="A30" s="2" t="s">
        <v>19</v>
      </c>
      <c r="B30" s="17">
        <f t="shared" ref="B30:R30" si="10">SUM(B11:B28)</f>
        <v>3638</v>
      </c>
      <c r="C30" s="17">
        <f t="shared" si="10"/>
        <v>0</v>
      </c>
      <c r="D30" s="17">
        <f t="shared" si="10"/>
        <v>3528</v>
      </c>
      <c r="E30" s="17">
        <f t="shared" ref="E30:J30" si="11">SUM(E11:E28)</f>
        <v>3528</v>
      </c>
      <c r="F30" s="17">
        <f t="shared" si="11"/>
        <v>3528</v>
      </c>
      <c r="G30" s="17">
        <f t="shared" si="11"/>
        <v>3698</v>
      </c>
      <c r="H30" s="17">
        <f t="shared" si="11"/>
        <v>3728</v>
      </c>
      <c r="I30" s="17">
        <f t="shared" si="11"/>
        <v>3728</v>
      </c>
      <c r="J30" s="17">
        <f t="shared" si="11"/>
        <v>3728</v>
      </c>
      <c r="K30" s="17">
        <f t="shared" si="10"/>
        <v>25466</v>
      </c>
      <c r="L30" s="17">
        <f t="shared" si="10"/>
        <v>3521.7689999999998</v>
      </c>
      <c r="M30" s="17">
        <f t="shared" si="10"/>
        <v>3546.9789999999998</v>
      </c>
      <c r="N30" s="17">
        <f t="shared" si="10"/>
        <v>3488.9639999999999</v>
      </c>
      <c r="O30" s="17">
        <f t="shared" si="10"/>
        <v>3627.8259999999991</v>
      </c>
      <c r="P30" s="17">
        <f t="shared" si="10"/>
        <v>3741.3180000000007</v>
      </c>
      <c r="Q30" s="17">
        <f t="shared" si="10"/>
        <v>3568.9850000000001</v>
      </c>
      <c r="R30" s="17">
        <f t="shared" si="10"/>
        <v>3665.6549999999997</v>
      </c>
      <c r="S30" s="30">
        <f t="shared" si="4"/>
        <v>25161.495999999999</v>
      </c>
    </row>
    <row r="31" spans="1:19" x14ac:dyDescent="0.35">
      <c r="A31" s="2" t="s">
        <v>61</v>
      </c>
      <c r="B31" s="17">
        <f t="shared" ref="B31:R31" si="12">SUM(B17:B22)</f>
        <v>1286</v>
      </c>
      <c r="C31" s="17">
        <f t="shared" si="12"/>
        <v>0</v>
      </c>
      <c r="D31" s="17">
        <f t="shared" si="12"/>
        <v>1286</v>
      </c>
      <c r="E31" s="17">
        <f t="shared" si="12"/>
        <v>1286</v>
      </c>
      <c r="F31" s="17">
        <f t="shared" si="12"/>
        <v>1286</v>
      </c>
      <c r="G31" s="17">
        <f t="shared" si="12"/>
        <v>1286</v>
      </c>
      <c r="H31" s="17">
        <f t="shared" si="12"/>
        <v>1286</v>
      </c>
      <c r="I31" s="17">
        <f t="shared" si="12"/>
        <v>1286</v>
      </c>
      <c r="J31" s="17">
        <f t="shared" si="12"/>
        <v>1286</v>
      </c>
      <c r="K31" s="17">
        <f t="shared" si="12"/>
        <v>9002</v>
      </c>
      <c r="L31" s="17">
        <f t="shared" si="12"/>
        <v>1286.3119999999999</v>
      </c>
      <c r="M31" s="17">
        <f t="shared" si="12"/>
        <v>1297.248</v>
      </c>
      <c r="N31" s="17">
        <f t="shared" si="12"/>
        <v>1292.115</v>
      </c>
      <c r="O31" s="17">
        <f t="shared" si="12"/>
        <v>1307.3690000000001</v>
      </c>
      <c r="P31" s="17">
        <f t="shared" si="12"/>
        <v>1287.8720000000001</v>
      </c>
      <c r="Q31" s="17">
        <f t="shared" si="12"/>
        <v>1295.239</v>
      </c>
      <c r="R31" s="17">
        <f t="shared" si="12"/>
        <v>1298.684</v>
      </c>
      <c r="S31" s="30">
        <f t="shared" si="4"/>
        <v>9064.8389999999999</v>
      </c>
    </row>
    <row r="32" spans="1:19" x14ac:dyDescent="0.35">
      <c r="A32" s="2" t="s">
        <v>21</v>
      </c>
      <c r="B32" s="17">
        <f>SUM(B30:B30)</f>
        <v>3638</v>
      </c>
      <c r="C32" s="17">
        <f>SUM(C30:C30)</f>
        <v>0</v>
      </c>
      <c r="D32" s="17">
        <f>SUM(D29:D30)</f>
        <v>6178</v>
      </c>
      <c r="E32" s="17">
        <f t="shared" ref="E32:J32" si="13">SUM(E29:E30)</f>
        <v>6178</v>
      </c>
      <c r="F32" s="17">
        <f t="shared" si="13"/>
        <v>6178</v>
      </c>
      <c r="G32" s="17">
        <f t="shared" si="13"/>
        <v>6198</v>
      </c>
      <c r="H32" s="17">
        <f t="shared" si="13"/>
        <v>6178</v>
      </c>
      <c r="I32" s="17">
        <f t="shared" si="13"/>
        <v>6178</v>
      </c>
      <c r="J32" s="17">
        <f t="shared" si="13"/>
        <v>6178</v>
      </c>
      <c r="K32" s="17">
        <f t="shared" ref="K32:R32" si="14">SUM(K29:K30)</f>
        <v>43266</v>
      </c>
      <c r="L32" s="17">
        <f t="shared" si="14"/>
        <v>6231.6890000000003</v>
      </c>
      <c r="M32" s="17">
        <f t="shared" si="14"/>
        <v>6099.4940000000006</v>
      </c>
      <c r="N32" s="17">
        <f t="shared" si="14"/>
        <v>6258.03</v>
      </c>
      <c r="O32" s="17">
        <f t="shared" si="14"/>
        <v>6153.6179999999995</v>
      </c>
      <c r="P32" s="17">
        <f t="shared" si="14"/>
        <v>6185.9340000000011</v>
      </c>
      <c r="Q32" s="17">
        <f t="shared" si="14"/>
        <v>6073.143</v>
      </c>
      <c r="R32" s="17">
        <f t="shared" si="14"/>
        <v>6114.08</v>
      </c>
      <c r="S32" s="30">
        <f t="shared" si="4"/>
        <v>43115.987999999998</v>
      </c>
    </row>
    <row r="33" spans="1:19" x14ac:dyDescent="0.35">
      <c r="C33" s="2"/>
      <c r="D33" s="2"/>
      <c r="E33" s="2"/>
      <c r="F33" s="2"/>
      <c r="G33" s="2"/>
      <c r="H33" s="2"/>
      <c r="I33" s="2"/>
      <c r="J33" s="2"/>
      <c r="K33" s="2" t="s">
        <v>106</v>
      </c>
      <c r="L33" s="31">
        <f>L29-D29</f>
        <v>59.920000000000073</v>
      </c>
      <c r="M33" s="31">
        <f t="shared" ref="M33:R33" si="15">M29-E29</f>
        <v>-97.484999999999673</v>
      </c>
      <c r="N33" s="31">
        <f t="shared" si="15"/>
        <v>119.0659999999998</v>
      </c>
      <c r="O33" s="31">
        <f t="shared" si="15"/>
        <v>25.792000000000371</v>
      </c>
      <c r="P33" s="31">
        <f t="shared" si="15"/>
        <v>-5.3840000000000146</v>
      </c>
      <c r="Q33" s="31">
        <f t="shared" si="15"/>
        <v>54.157999999999902</v>
      </c>
      <c r="R33" s="31">
        <f t="shared" si="15"/>
        <v>-1.5750000000002728</v>
      </c>
      <c r="S33" s="30">
        <f>AVERAGE(L33:R33)</f>
        <v>22.070285714285742</v>
      </c>
    </row>
    <row r="34" spans="1:19" x14ac:dyDescent="0.35">
      <c r="B34" s="17"/>
      <c r="C34" s="17"/>
      <c r="D34" s="17"/>
      <c r="E34" s="17"/>
      <c r="F34" s="17"/>
      <c r="G34" s="17"/>
      <c r="H34" s="17"/>
      <c r="I34" s="17"/>
      <c r="J34" s="17"/>
      <c r="K34" s="2" t="s">
        <v>105</v>
      </c>
      <c r="L34" s="17">
        <f>L30-D30</f>
        <v>-6.2310000000002219</v>
      </c>
      <c r="M34" s="17">
        <f t="shared" ref="M34:R34" si="16">M30-E30</f>
        <v>18.978999999999814</v>
      </c>
      <c r="N34" s="17">
        <f t="shared" si="16"/>
        <v>-39.036000000000058</v>
      </c>
      <c r="O34" s="17">
        <f t="shared" si="16"/>
        <v>-70.174000000000888</v>
      </c>
      <c r="P34" s="17">
        <f t="shared" si="16"/>
        <v>13.318000000000666</v>
      </c>
      <c r="Q34" s="17">
        <f t="shared" si="16"/>
        <v>-159.01499999999987</v>
      </c>
      <c r="R34" s="17">
        <f t="shared" si="16"/>
        <v>-62.345000000000255</v>
      </c>
      <c r="S34" s="30">
        <f t="shared" ref="S34" si="17">AVERAGE(L34:R34)</f>
        <v>-43.500571428571547</v>
      </c>
    </row>
    <row r="35" spans="1:19" x14ac:dyDescent="0.35">
      <c r="A35" s="2" t="s">
        <v>63</v>
      </c>
      <c r="B35" s="2">
        <f>19*90</f>
        <v>1710</v>
      </c>
      <c r="C35" s="1" t="s">
        <v>23</v>
      </c>
      <c r="D35" s="1">
        <v>640</v>
      </c>
      <c r="E35" s="1">
        <v>640</v>
      </c>
      <c r="F35" s="1">
        <v>640</v>
      </c>
      <c r="G35" s="1">
        <v>640</v>
      </c>
      <c r="H35" s="1">
        <v>640</v>
      </c>
      <c r="I35" s="1">
        <v>640</v>
      </c>
      <c r="J35" s="1">
        <v>640</v>
      </c>
      <c r="L35" s="27"/>
      <c r="M35" s="27"/>
      <c r="N35" s="27"/>
      <c r="O35" s="27"/>
      <c r="P35" s="27"/>
      <c r="Q35" s="27"/>
      <c r="R35" s="27"/>
    </row>
    <row r="36" spans="1:19" x14ac:dyDescent="0.35">
      <c r="A36" s="2" t="s">
        <v>22</v>
      </c>
      <c r="B36" s="2">
        <f>B30-B35</f>
        <v>1928</v>
      </c>
      <c r="D36" s="27">
        <f>SUM(D35,D24,420,180)-40</f>
        <v>1650</v>
      </c>
      <c r="E36" s="27">
        <f t="shared" ref="E36:J36" si="18">SUM(E35,E24,420,180)-40</f>
        <v>1650</v>
      </c>
      <c r="F36" s="27">
        <f t="shared" si="18"/>
        <v>1650</v>
      </c>
      <c r="G36" s="27">
        <f t="shared" si="18"/>
        <v>1650</v>
      </c>
      <c r="H36" s="27">
        <f t="shared" si="18"/>
        <v>1650</v>
      </c>
      <c r="I36" s="27">
        <f t="shared" si="18"/>
        <v>1650</v>
      </c>
      <c r="J36" s="27">
        <f t="shared" si="18"/>
        <v>1650</v>
      </c>
    </row>
    <row r="37" spans="1:19" x14ac:dyDescent="0.35">
      <c r="A37" s="2" t="s">
        <v>62</v>
      </c>
      <c r="B37" s="2">
        <f>3*210+2*200+100+2*210+100</f>
        <v>1650</v>
      </c>
      <c r="C37" s="1" t="s">
        <v>67</v>
      </c>
      <c r="D37" s="26">
        <f>(D30-D36)/90</f>
        <v>20.866666666666667</v>
      </c>
      <c r="E37" s="26">
        <f t="shared" ref="E37:J37" si="19">(E30-E36)/90</f>
        <v>20.866666666666667</v>
      </c>
      <c r="F37" s="26">
        <f t="shared" si="19"/>
        <v>20.866666666666667</v>
      </c>
      <c r="G37" s="26">
        <f t="shared" si="19"/>
        <v>22.755555555555556</v>
      </c>
      <c r="H37" s="26">
        <f t="shared" si="19"/>
        <v>23.088888888888889</v>
      </c>
      <c r="I37" s="26">
        <f t="shared" si="19"/>
        <v>23.088888888888889</v>
      </c>
      <c r="J37" s="26">
        <f t="shared" si="19"/>
        <v>23.088888888888889</v>
      </c>
    </row>
    <row r="38" spans="1:19" x14ac:dyDescent="0.35">
      <c r="A38" s="2" t="s">
        <v>64</v>
      </c>
      <c r="B38" s="2">
        <f>B30-B37</f>
        <v>1988</v>
      </c>
      <c r="C38" s="1" t="s">
        <v>15</v>
      </c>
      <c r="D38" s="26">
        <f>SUM(D5:D9,100)/240</f>
        <v>7.291666666666667</v>
      </c>
      <c r="E38" s="26">
        <f t="shared" ref="E38:J38" si="20">SUM(E5:E9)/240</f>
        <v>6.875</v>
      </c>
      <c r="F38" s="26">
        <f t="shared" si="20"/>
        <v>6.875</v>
      </c>
      <c r="G38" s="26">
        <f t="shared" si="20"/>
        <v>6.25</v>
      </c>
      <c r="H38" s="26">
        <f t="shared" si="20"/>
        <v>6.041666666666667</v>
      </c>
      <c r="I38" s="26">
        <f t="shared" si="20"/>
        <v>6.041666666666667</v>
      </c>
      <c r="J38" s="26">
        <f t="shared" si="20"/>
        <v>6.041666666666667</v>
      </c>
    </row>
    <row r="39" spans="1:19" x14ac:dyDescent="0.35">
      <c r="B39" s="2">
        <f>(B30-B37)/19</f>
        <v>104.63157894736842</v>
      </c>
      <c r="C39" s="1" t="s">
        <v>17</v>
      </c>
      <c r="D39" s="1">
        <f t="shared" ref="D39:J39" si="21">SUM(D2:D3)/250</f>
        <v>4</v>
      </c>
      <c r="E39" s="1">
        <f t="shared" si="21"/>
        <v>4</v>
      </c>
      <c r="F39" s="1">
        <f t="shared" si="21"/>
        <v>4</v>
      </c>
      <c r="G39" s="1">
        <f t="shared" si="21"/>
        <v>4</v>
      </c>
      <c r="H39" s="1">
        <f t="shared" si="21"/>
        <v>4</v>
      </c>
      <c r="I39" s="1">
        <f t="shared" si="21"/>
        <v>4</v>
      </c>
      <c r="J39" s="1">
        <f t="shared" si="21"/>
        <v>4</v>
      </c>
    </row>
    <row r="40" spans="1:19" x14ac:dyDescent="0.35">
      <c r="C40" s="1" t="s">
        <v>13</v>
      </c>
      <c r="D40" s="1">
        <f t="shared" ref="D40:J40" si="22">D35/210</f>
        <v>3.0476190476190474</v>
      </c>
      <c r="E40" s="1">
        <f t="shared" si="22"/>
        <v>3.0476190476190474</v>
      </c>
      <c r="F40" s="1">
        <f t="shared" si="22"/>
        <v>3.0476190476190474</v>
      </c>
      <c r="G40" s="1">
        <f t="shared" si="22"/>
        <v>3.0476190476190474</v>
      </c>
      <c r="H40" s="1">
        <f t="shared" si="22"/>
        <v>3.0476190476190474</v>
      </c>
      <c r="I40" s="1">
        <f t="shared" si="22"/>
        <v>3.0476190476190474</v>
      </c>
      <c r="J40" s="1">
        <f t="shared" si="22"/>
        <v>3.0476190476190474</v>
      </c>
    </row>
    <row r="41" spans="1:19" x14ac:dyDescent="0.35">
      <c r="C41" s="1" t="s">
        <v>25</v>
      </c>
      <c r="D41" s="26">
        <f t="shared" ref="D41:J41" si="23">D24/210</f>
        <v>2.1428571428571428</v>
      </c>
      <c r="E41" s="26">
        <f t="shared" si="23"/>
        <v>2.1428571428571428</v>
      </c>
      <c r="F41" s="26">
        <f t="shared" si="23"/>
        <v>2.1428571428571428</v>
      </c>
      <c r="G41" s="26">
        <f t="shared" si="23"/>
        <v>2.1428571428571428</v>
      </c>
      <c r="H41" s="26">
        <f t="shared" si="23"/>
        <v>2.1428571428571428</v>
      </c>
      <c r="I41" s="26">
        <f t="shared" si="23"/>
        <v>2.1428571428571428</v>
      </c>
      <c r="J41" s="26">
        <f t="shared" si="23"/>
        <v>2.1428571428571428</v>
      </c>
    </row>
    <row r="42" spans="1:19" x14ac:dyDescent="0.35">
      <c r="C42" s="1" t="s">
        <v>24</v>
      </c>
      <c r="D42" s="1">
        <f>6+4+4+2+2+1</f>
        <v>19</v>
      </c>
      <c r="E42" s="1">
        <f t="shared" ref="E42:J42" si="24">6+4+4+2+2+1</f>
        <v>19</v>
      </c>
      <c r="F42" s="1">
        <f t="shared" si="24"/>
        <v>19</v>
      </c>
      <c r="G42" s="1">
        <f t="shared" si="24"/>
        <v>19</v>
      </c>
      <c r="H42" s="1">
        <f t="shared" si="24"/>
        <v>19</v>
      </c>
      <c r="I42" s="1">
        <f t="shared" si="24"/>
        <v>19</v>
      </c>
      <c r="J42" s="1">
        <f t="shared" si="24"/>
        <v>19</v>
      </c>
    </row>
    <row r="44" spans="1:19" x14ac:dyDescent="0.35">
      <c r="B44" s="2" t="s">
        <v>15</v>
      </c>
      <c r="D44" s="14">
        <v>1568</v>
      </c>
      <c r="E44" s="14">
        <v>1576</v>
      </c>
      <c r="F44" s="14">
        <v>1776</v>
      </c>
      <c r="G44" s="14">
        <v>1826</v>
      </c>
      <c r="H44" s="14">
        <v>1776</v>
      </c>
      <c r="I44" s="14">
        <v>1776</v>
      </c>
      <c r="J44" s="14">
        <v>1826</v>
      </c>
    </row>
    <row r="45" spans="1:19" x14ac:dyDescent="0.35">
      <c r="B45" s="2" t="s">
        <v>17</v>
      </c>
      <c r="D45" s="14">
        <v>750</v>
      </c>
      <c r="E45" s="14">
        <v>750</v>
      </c>
      <c r="F45" s="14">
        <v>350</v>
      </c>
      <c r="G45" s="14">
        <v>500</v>
      </c>
      <c r="H45" s="14">
        <v>500</v>
      </c>
      <c r="I45" s="14">
        <v>500</v>
      </c>
      <c r="J45" s="14">
        <v>500</v>
      </c>
    </row>
    <row r="46" spans="1:19" x14ac:dyDescent="0.35">
      <c r="B46" s="2" t="s">
        <v>9</v>
      </c>
      <c r="C46" s="1">
        <f t="shared" ref="C46:C47" si="25">F46*24</f>
        <v>528</v>
      </c>
      <c r="F46" s="1">
        <v>22</v>
      </c>
    </row>
    <row r="47" spans="1:19" x14ac:dyDescent="0.35">
      <c r="B47" s="2" t="s">
        <v>65</v>
      </c>
      <c r="C47" s="1">
        <f t="shared" si="25"/>
        <v>1272</v>
      </c>
      <c r="F47" s="1">
        <v>53</v>
      </c>
      <c r="L47" s="1">
        <v>904509</v>
      </c>
      <c r="M47" s="1">
        <v>801860</v>
      </c>
      <c r="N47" s="1">
        <v>820990</v>
      </c>
      <c r="O47" s="1">
        <v>799413</v>
      </c>
      <c r="P47" s="1">
        <v>261676</v>
      </c>
      <c r="Q47" s="1">
        <v>262694</v>
      </c>
      <c r="R47" s="1">
        <v>265765</v>
      </c>
      <c r="S47" s="1">
        <v>265413</v>
      </c>
    </row>
    <row r="48" spans="1:19" x14ac:dyDescent="0.35">
      <c r="B48" s="2" t="s">
        <v>90</v>
      </c>
      <c r="C48" s="1">
        <f>F48*24</f>
        <v>288</v>
      </c>
      <c r="F48" s="1">
        <v>12</v>
      </c>
    </row>
    <row r="49" spans="4:6" x14ac:dyDescent="0.35">
      <c r="F49" s="1">
        <f>SUM(F46:F48)</f>
        <v>87</v>
      </c>
    </row>
    <row r="50" spans="4:6" x14ac:dyDescent="0.35">
      <c r="D50" s="27">
        <f>(D30-D17-D18-D22)/90</f>
        <v>30.8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604DB-6FE0-4075-8A7D-FAE305BDC520}">
  <dimension ref="A1:GT31"/>
  <sheetViews>
    <sheetView workbookViewId="0">
      <selection activeCell="GN7" sqref="GN7"/>
    </sheetView>
  </sheetViews>
  <sheetFormatPr defaultRowHeight="15.5" x14ac:dyDescent="0.35"/>
  <cols>
    <col min="1" max="1" width="24.25" customWidth="1"/>
    <col min="2" max="2" width="11.58203125" hidden="1" customWidth="1"/>
    <col min="3" max="5" width="9.75" hidden="1" customWidth="1"/>
    <col min="6" max="19" width="10.33203125" hidden="1" customWidth="1"/>
    <col min="20" max="25" width="9.33203125" hidden="1" customWidth="1"/>
    <col min="26" max="30" width="0" hidden="1" customWidth="1"/>
    <col min="31" max="31" width="8.25" hidden="1" customWidth="1"/>
    <col min="32" max="32" width="8.25" style="24" customWidth="1"/>
    <col min="33" max="65" width="0" hidden="1" customWidth="1"/>
    <col min="66" max="67" width="8.9140625" hidden="1" customWidth="1"/>
    <col min="68" max="69" width="0" hidden="1" customWidth="1"/>
    <col min="70" max="70" width="9.08203125" hidden="1" customWidth="1"/>
    <col min="71" max="114" width="0" hidden="1" customWidth="1"/>
    <col min="115" max="115" width="11.25" hidden="1" customWidth="1"/>
    <col min="116" max="116" width="9.9140625" hidden="1" customWidth="1"/>
    <col min="117" max="150" width="0" hidden="1" customWidth="1"/>
    <col min="151" max="151" width="26.25" hidden="1" customWidth="1"/>
    <col min="152" max="165" width="0" hidden="1" customWidth="1"/>
    <col min="166" max="168" width="8.5" hidden="1" customWidth="1"/>
    <col min="169" max="184" width="0" hidden="1" customWidth="1"/>
    <col min="185" max="185" width="8.5" hidden="1" customWidth="1"/>
    <col min="186" max="190" width="0" hidden="1" customWidth="1"/>
  </cols>
  <sheetData>
    <row r="1" spans="1:202" x14ac:dyDescent="0.35">
      <c r="A1" s="3" t="s">
        <v>26</v>
      </c>
      <c r="B1" s="4" t="s">
        <v>13</v>
      </c>
      <c r="C1" s="4">
        <v>45975</v>
      </c>
      <c r="D1" s="5">
        <v>45976</v>
      </c>
      <c r="E1" s="4">
        <v>45977</v>
      </c>
      <c r="F1" s="4">
        <v>45978</v>
      </c>
      <c r="G1" s="4">
        <v>45979</v>
      </c>
      <c r="H1" s="4">
        <v>45980</v>
      </c>
      <c r="I1" s="4">
        <v>45981</v>
      </c>
      <c r="J1" s="4">
        <v>45982</v>
      </c>
      <c r="K1" s="5">
        <v>45983</v>
      </c>
      <c r="L1" s="4">
        <v>45984</v>
      </c>
      <c r="M1" s="4">
        <v>45985</v>
      </c>
      <c r="N1" s="4">
        <v>45986</v>
      </c>
      <c r="O1" s="4">
        <v>45987</v>
      </c>
      <c r="P1" s="4">
        <v>45988</v>
      </c>
      <c r="Q1" s="4">
        <v>45989</v>
      </c>
      <c r="R1" s="5">
        <v>45990</v>
      </c>
      <c r="S1" s="5">
        <v>45991</v>
      </c>
      <c r="T1" s="4">
        <v>45992</v>
      </c>
      <c r="U1" s="4">
        <v>45993</v>
      </c>
      <c r="V1" s="4">
        <v>45994</v>
      </c>
      <c r="W1" s="4">
        <v>45995</v>
      </c>
      <c r="X1" s="4">
        <v>45996</v>
      </c>
      <c r="Y1" s="5">
        <v>45997</v>
      </c>
      <c r="Z1" s="5">
        <v>45998</v>
      </c>
      <c r="AA1" s="4">
        <v>45999</v>
      </c>
      <c r="AB1" s="4">
        <v>46000</v>
      </c>
      <c r="AC1" s="4">
        <v>46001</v>
      </c>
      <c r="AD1" s="4">
        <v>46002</v>
      </c>
      <c r="AE1" s="4">
        <v>46003</v>
      </c>
      <c r="AF1" s="24" t="s">
        <v>69</v>
      </c>
      <c r="AG1" s="5">
        <v>46018</v>
      </c>
      <c r="AH1" s="5">
        <v>46019</v>
      </c>
      <c r="AI1" s="4">
        <v>46020</v>
      </c>
      <c r="AJ1" s="4">
        <v>46021</v>
      </c>
      <c r="AK1" s="4">
        <v>46022</v>
      </c>
      <c r="AL1" s="4">
        <v>46023</v>
      </c>
      <c r="AM1" s="4">
        <v>46024</v>
      </c>
      <c r="AN1" s="5">
        <v>46025</v>
      </c>
      <c r="AO1" s="5">
        <v>46026</v>
      </c>
      <c r="AP1" s="4">
        <v>46027</v>
      </c>
      <c r="AQ1" s="4">
        <v>46028</v>
      </c>
      <c r="AR1" s="4">
        <v>46029</v>
      </c>
      <c r="AS1" s="4">
        <v>46030</v>
      </c>
      <c r="AT1" s="4">
        <v>46031</v>
      </c>
      <c r="AU1" s="5">
        <v>46032</v>
      </c>
      <c r="AV1" s="5">
        <v>46033</v>
      </c>
      <c r="AW1" s="4">
        <v>46034</v>
      </c>
      <c r="AX1" s="4">
        <v>46035</v>
      </c>
      <c r="AY1" s="4">
        <v>46036</v>
      </c>
      <c r="AZ1" s="4">
        <v>46037</v>
      </c>
      <c r="BA1" s="4">
        <v>46038</v>
      </c>
      <c r="BB1" s="5">
        <v>46039</v>
      </c>
      <c r="BC1" s="5">
        <v>46040</v>
      </c>
      <c r="BD1" s="4">
        <v>46041</v>
      </c>
      <c r="BE1" s="4">
        <v>46042</v>
      </c>
      <c r="BF1" s="4">
        <v>46043</v>
      </c>
      <c r="BG1" s="4">
        <v>46044</v>
      </c>
      <c r="BH1" s="4">
        <v>46045</v>
      </c>
      <c r="BI1" s="5">
        <v>46046</v>
      </c>
      <c r="BJ1" s="5">
        <v>46047</v>
      </c>
      <c r="BK1" s="4">
        <v>46048</v>
      </c>
      <c r="BL1" s="4">
        <v>46049</v>
      </c>
      <c r="BM1" s="4">
        <v>46050</v>
      </c>
      <c r="BN1" s="4">
        <v>46051</v>
      </c>
      <c r="BO1" s="4">
        <v>46052</v>
      </c>
      <c r="BP1" s="5">
        <v>46053</v>
      </c>
      <c r="BQ1" s="5">
        <v>46054</v>
      </c>
      <c r="BR1" s="4">
        <v>46055</v>
      </c>
      <c r="BS1" s="4">
        <v>46056</v>
      </c>
      <c r="BT1" s="4">
        <v>46057</v>
      </c>
      <c r="BU1" s="4">
        <v>46058</v>
      </c>
      <c r="BV1" s="4">
        <v>46059</v>
      </c>
      <c r="BW1" s="5">
        <v>46060</v>
      </c>
      <c r="BX1" s="5">
        <v>46061</v>
      </c>
      <c r="BY1" s="4">
        <v>46062</v>
      </c>
      <c r="BZ1" s="4">
        <v>46063</v>
      </c>
      <c r="CA1" s="4">
        <v>46064</v>
      </c>
      <c r="CB1" s="4">
        <v>46065</v>
      </c>
      <c r="CC1" s="4">
        <v>46066</v>
      </c>
      <c r="CD1" s="5">
        <v>46067</v>
      </c>
      <c r="CE1" s="5">
        <v>46068</v>
      </c>
      <c r="CF1" s="4">
        <v>46069</v>
      </c>
      <c r="CG1" s="4">
        <v>46070</v>
      </c>
      <c r="CH1" s="4">
        <v>46071</v>
      </c>
      <c r="CI1" s="4">
        <v>46072</v>
      </c>
      <c r="CJ1" s="4">
        <v>46073</v>
      </c>
      <c r="CK1" s="5">
        <v>46074</v>
      </c>
      <c r="CL1" s="5">
        <v>46075</v>
      </c>
      <c r="CM1" s="4">
        <v>46076</v>
      </c>
      <c r="CN1" s="4">
        <v>46077</v>
      </c>
      <c r="CO1" s="4">
        <v>46078</v>
      </c>
      <c r="CP1" s="4">
        <v>46079</v>
      </c>
      <c r="CQ1" s="4">
        <v>46080</v>
      </c>
      <c r="CR1" s="5">
        <v>46081</v>
      </c>
      <c r="CS1" s="5">
        <v>46082</v>
      </c>
      <c r="CT1" s="4">
        <v>46083</v>
      </c>
      <c r="CU1" s="4">
        <v>46084</v>
      </c>
      <c r="CV1" s="4">
        <v>46085</v>
      </c>
      <c r="CW1" s="4">
        <v>46086</v>
      </c>
      <c r="CX1" s="4">
        <v>46087</v>
      </c>
      <c r="CY1" s="5">
        <v>46088</v>
      </c>
      <c r="CZ1" s="5">
        <v>46089</v>
      </c>
      <c r="DA1" s="4">
        <v>46090</v>
      </c>
      <c r="DB1" s="4">
        <v>46091</v>
      </c>
      <c r="DC1" s="4">
        <v>46092</v>
      </c>
      <c r="DD1" s="4">
        <v>46093</v>
      </c>
      <c r="DE1" s="4">
        <v>46094</v>
      </c>
      <c r="DF1" s="5">
        <v>46095</v>
      </c>
      <c r="DG1" s="5">
        <v>46096</v>
      </c>
      <c r="DH1" s="4">
        <v>46097</v>
      </c>
      <c r="DI1" s="4">
        <v>46098</v>
      </c>
      <c r="DJ1" s="4">
        <v>46099</v>
      </c>
      <c r="DK1" s="4">
        <v>46100</v>
      </c>
      <c r="DL1" s="4">
        <v>46101</v>
      </c>
      <c r="DM1" s="5">
        <v>46102</v>
      </c>
      <c r="DN1" s="5">
        <v>46103</v>
      </c>
      <c r="DO1" s="4">
        <v>46104</v>
      </c>
      <c r="DP1" s="4">
        <v>46105</v>
      </c>
      <c r="DQ1" s="4">
        <v>46106</v>
      </c>
      <c r="DR1" s="4">
        <v>46107</v>
      </c>
      <c r="DS1" s="4">
        <v>46108</v>
      </c>
      <c r="DT1" s="5">
        <v>46109</v>
      </c>
      <c r="DU1" s="5">
        <v>46110</v>
      </c>
      <c r="DV1" s="4">
        <v>46111</v>
      </c>
      <c r="DW1" s="4">
        <v>46112</v>
      </c>
      <c r="DX1" s="4">
        <v>46113</v>
      </c>
      <c r="DY1" s="4">
        <v>46114</v>
      </c>
      <c r="DZ1" s="4">
        <v>46115</v>
      </c>
      <c r="EA1" s="5">
        <v>46116</v>
      </c>
      <c r="EB1" s="5">
        <v>46117</v>
      </c>
      <c r="EC1" s="4">
        <v>46118</v>
      </c>
      <c r="ED1" s="4">
        <v>46119</v>
      </c>
      <c r="EE1" s="4">
        <v>46120</v>
      </c>
      <c r="EF1" s="4">
        <v>46121</v>
      </c>
      <c r="EG1" s="4">
        <v>46122</v>
      </c>
      <c r="EH1" s="5">
        <v>46123</v>
      </c>
      <c r="EI1" s="5">
        <v>46124</v>
      </c>
      <c r="EJ1" s="4">
        <v>46125</v>
      </c>
      <c r="EK1" s="4">
        <v>46126</v>
      </c>
      <c r="EL1" s="4">
        <v>46127</v>
      </c>
      <c r="EM1" s="4">
        <v>46128</v>
      </c>
      <c r="EN1" s="4">
        <v>46129</v>
      </c>
      <c r="EO1" s="5">
        <v>46130</v>
      </c>
      <c r="EP1" s="5">
        <v>46131</v>
      </c>
      <c r="EQ1" s="4">
        <v>46132</v>
      </c>
      <c r="ER1" s="4">
        <v>46133</v>
      </c>
      <c r="ES1" s="4">
        <v>46134</v>
      </c>
      <c r="ET1" s="4">
        <v>46135</v>
      </c>
      <c r="EU1" s="4">
        <v>46136</v>
      </c>
      <c r="EV1" s="5">
        <v>46137</v>
      </c>
      <c r="EW1" s="5">
        <v>46138</v>
      </c>
      <c r="EX1" s="4">
        <v>46139</v>
      </c>
      <c r="EY1" s="4">
        <v>46140</v>
      </c>
      <c r="EZ1" s="4">
        <v>46141</v>
      </c>
      <c r="FA1" s="4">
        <v>46142</v>
      </c>
      <c r="FB1" s="4">
        <v>46143</v>
      </c>
      <c r="FC1" s="5">
        <v>46144</v>
      </c>
      <c r="FD1" s="5">
        <v>46145</v>
      </c>
      <c r="FE1" s="4">
        <v>46146</v>
      </c>
      <c r="FF1" s="4">
        <v>46147</v>
      </c>
      <c r="FG1" s="4">
        <v>46148</v>
      </c>
      <c r="FH1" s="4">
        <v>46149</v>
      </c>
      <c r="FI1" s="4">
        <v>46150</v>
      </c>
      <c r="FJ1" s="5">
        <v>46151</v>
      </c>
      <c r="FK1" s="5">
        <v>46152</v>
      </c>
      <c r="FL1" s="4">
        <v>46153</v>
      </c>
      <c r="FM1" s="4">
        <v>46154</v>
      </c>
      <c r="FN1" s="4">
        <v>46155</v>
      </c>
      <c r="FO1" s="4">
        <v>46156</v>
      </c>
      <c r="FP1" s="4">
        <v>46157</v>
      </c>
      <c r="FQ1" s="5">
        <v>46203</v>
      </c>
      <c r="FR1" s="4">
        <v>46204</v>
      </c>
      <c r="FS1" s="4">
        <v>46205</v>
      </c>
      <c r="FT1" s="4">
        <v>46206</v>
      </c>
      <c r="FU1" s="4">
        <v>46207</v>
      </c>
      <c r="FV1" s="4">
        <v>46208</v>
      </c>
      <c r="FW1" s="5">
        <v>46209</v>
      </c>
      <c r="FX1" s="5">
        <v>46210</v>
      </c>
      <c r="FY1" s="4">
        <v>46211</v>
      </c>
      <c r="FZ1" s="4">
        <v>46212</v>
      </c>
      <c r="GA1" s="4">
        <v>46213</v>
      </c>
      <c r="GB1" s="4">
        <v>46214</v>
      </c>
      <c r="GC1" s="4">
        <v>46215</v>
      </c>
      <c r="GD1" s="5">
        <v>46200</v>
      </c>
      <c r="GE1" s="5">
        <v>46201</v>
      </c>
      <c r="GF1" s="4">
        <v>46202</v>
      </c>
      <c r="GG1" s="4">
        <v>46203</v>
      </c>
      <c r="GH1" s="4">
        <v>46204</v>
      </c>
      <c r="GI1" s="4">
        <v>46205</v>
      </c>
      <c r="GJ1" s="4">
        <v>46206</v>
      </c>
      <c r="GK1" s="5">
        <v>46207</v>
      </c>
      <c r="GL1" s="5">
        <v>46208</v>
      </c>
      <c r="GM1" s="4">
        <v>46209</v>
      </c>
      <c r="GN1" s="4">
        <v>46210</v>
      </c>
      <c r="GO1" s="4">
        <v>46211</v>
      </c>
      <c r="GP1" s="4">
        <v>46212</v>
      </c>
      <c r="GQ1" s="4">
        <v>46213</v>
      </c>
      <c r="GR1" s="5">
        <v>46214</v>
      </c>
    </row>
    <row r="2" spans="1:202" s="1" customFormat="1" x14ac:dyDescent="0.35">
      <c r="A2" s="1" t="s">
        <v>28</v>
      </c>
      <c r="F2" s="1">
        <v>2</v>
      </c>
      <c r="G2" s="1">
        <v>2</v>
      </c>
      <c r="H2" s="1">
        <v>2</v>
      </c>
      <c r="I2" s="1">
        <v>2</v>
      </c>
      <c r="J2" s="1">
        <v>2</v>
      </c>
      <c r="K2" s="1">
        <v>2</v>
      </c>
      <c r="L2" s="1">
        <v>2</v>
      </c>
      <c r="M2" s="1">
        <v>2</v>
      </c>
      <c r="N2" s="1">
        <v>2</v>
      </c>
      <c r="O2" s="1">
        <v>2</v>
      </c>
      <c r="P2" s="1">
        <v>2</v>
      </c>
      <c r="Q2" s="1">
        <v>2</v>
      </c>
      <c r="R2" s="1">
        <v>2</v>
      </c>
      <c r="S2" s="1">
        <v>2</v>
      </c>
      <c r="T2" s="1">
        <v>2</v>
      </c>
      <c r="U2" s="1">
        <v>2</v>
      </c>
      <c r="V2" s="1">
        <v>2</v>
      </c>
      <c r="W2" s="1">
        <v>2</v>
      </c>
      <c r="X2" s="1">
        <v>2</v>
      </c>
      <c r="Y2" s="1">
        <v>1</v>
      </c>
      <c r="AF2" s="24"/>
      <c r="AP2" s="1">
        <v>2</v>
      </c>
      <c r="AR2" s="1">
        <v>1</v>
      </c>
      <c r="AS2" s="1">
        <v>2</v>
      </c>
      <c r="AT2" s="1">
        <v>2</v>
      </c>
      <c r="AU2" s="1">
        <v>2</v>
      </c>
      <c r="AV2" s="1">
        <v>2</v>
      </c>
      <c r="AW2" s="1">
        <v>2</v>
      </c>
      <c r="AX2" s="1">
        <v>2</v>
      </c>
      <c r="AY2" s="1">
        <v>2</v>
      </c>
      <c r="AZ2" s="1">
        <v>2</v>
      </c>
      <c r="BA2" s="1">
        <v>2</v>
      </c>
      <c r="BP2" s="1">
        <v>2</v>
      </c>
      <c r="BQ2" s="1">
        <v>2</v>
      </c>
      <c r="BR2" s="1">
        <v>2</v>
      </c>
      <c r="BS2" s="14">
        <v>2</v>
      </c>
      <c r="BT2" s="14">
        <v>2</v>
      </c>
      <c r="BU2" s="14"/>
      <c r="BV2" s="14"/>
      <c r="BW2" s="14"/>
      <c r="BX2" s="14"/>
      <c r="BY2" s="14">
        <v>1</v>
      </c>
      <c r="BZ2" s="14">
        <v>2</v>
      </c>
      <c r="CA2" s="14">
        <v>2</v>
      </c>
      <c r="CB2" s="14">
        <v>1</v>
      </c>
      <c r="CC2" s="14"/>
      <c r="CD2" s="14"/>
      <c r="CE2" s="14"/>
      <c r="CF2" s="14"/>
      <c r="CX2" s="1">
        <v>2</v>
      </c>
      <c r="CY2" s="1">
        <v>4</v>
      </c>
      <c r="CZ2" s="1">
        <v>2</v>
      </c>
      <c r="DA2" s="1">
        <v>2</v>
      </c>
      <c r="DB2" s="1">
        <v>2</v>
      </c>
      <c r="DC2" s="1">
        <v>2</v>
      </c>
      <c r="DD2" s="1">
        <v>2</v>
      </c>
      <c r="DE2" s="1">
        <v>2</v>
      </c>
      <c r="DF2" s="1">
        <v>2</v>
      </c>
      <c r="DG2" s="1">
        <v>2</v>
      </c>
      <c r="DH2" s="1">
        <v>2</v>
      </c>
      <c r="DI2" s="1">
        <v>2</v>
      </c>
      <c r="DJ2" s="1">
        <v>2</v>
      </c>
      <c r="DK2" s="1">
        <v>2</v>
      </c>
      <c r="DL2" s="1">
        <v>2</v>
      </c>
      <c r="DM2" s="1">
        <v>4</v>
      </c>
      <c r="DN2" s="1">
        <v>4</v>
      </c>
      <c r="DO2" s="1">
        <v>2</v>
      </c>
      <c r="DP2" s="1">
        <v>2</v>
      </c>
      <c r="DQ2" s="1">
        <v>2</v>
      </c>
      <c r="DR2" s="1">
        <v>4</v>
      </c>
      <c r="DS2" s="1">
        <v>4</v>
      </c>
      <c r="DT2" s="1">
        <v>4</v>
      </c>
      <c r="DU2" s="1">
        <v>4</v>
      </c>
      <c r="DV2" s="1">
        <v>4</v>
      </c>
      <c r="DW2" s="1">
        <v>4</v>
      </c>
      <c r="DX2" s="1">
        <v>4</v>
      </c>
      <c r="DY2" s="1">
        <v>4</v>
      </c>
      <c r="DZ2" s="1">
        <v>4</v>
      </c>
      <c r="ED2" s="1">
        <v>10</v>
      </c>
      <c r="EE2" s="1">
        <v>10</v>
      </c>
      <c r="EF2" s="1">
        <v>10</v>
      </c>
      <c r="EG2" s="1">
        <v>10</v>
      </c>
      <c r="EH2" s="1">
        <v>6</v>
      </c>
      <c r="EI2" s="1">
        <v>6</v>
      </c>
      <c r="EJ2" s="1">
        <v>6</v>
      </c>
      <c r="EO2" s="1">
        <v>2</v>
      </c>
      <c r="EP2" s="1">
        <v>2</v>
      </c>
      <c r="EQ2" s="1">
        <v>2</v>
      </c>
      <c r="FJ2" s="1">
        <v>4</v>
      </c>
      <c r="FK2" s="1">
        <v>4</v>
      </c>
      <c r="FL2" s="1">
        <v>4</v>
      </c>
      <c r="FM2" s="1">
        <v>4</v>
      </c>
      <c r="FN2" s="1">
        <v>4</v>
      </c>
      <c r="FO2" s="1">
        <v>4</v>
      </c>
      <c r="FP2" s="1">
        <v>4</v>
      </c>
      <c r="FQ2" s="1">
        <v>4</v>
      </c>
      <c r="FR2" s="1">
        <v>4</v>
      </c>
      <c r="FS2" s="1">
        <v>4</v>
      </c>
      <c r="FT2" s="1">
        <v>4</v>
      </c>
      <c r="FU2" s="1">
        <v>4</v>
      </c>
      <c r="FV2" s="1">
        <v>4</v>
      </c>
      <c r="FW2" s="1">
        <v>4</v>
      </c>
      <c r="FX2" s="1">
        <v>4</v>
      </c>
      <c r="FY2" s="1">
        <v>4</v>
      </c>
      <c r="FZ2" s="1">
        <v>4</v>
      </c>
      <c r="GA2" s="1">
        <v>4</v>
      </c>
      <c r="GB2" s="1">
        <v>4</v>
      </c>
      <c r="GC2" s="1">
        <v>4</v>
      </c>
      <c r="GK2" s="1">
        <v>2</v>
      </c>
      <c r="GL2" s="1">
        <v>2</v>
      </c>
      <c r="GM2" s="1">
        <v>2</v>
      </c>
      <c r="GN2" s="1">
        <v>2</v>
      </c>
      <c r="GO2" s="1">
        <v>2</v>
      </c>
      <c r="GP2" s="1">
        <v>2</v>
      </c>
    </row>
    <row r="3" spans="1:202" s="20" customFormat="1" x14ac:dyDescent="0.35">
      <c r="A3" s="20" t="s">
        <v>41</v>
      </c>
      <c r="K3" s="20" t="s">
        <v>29</v>
      </c>
      <c r="AF3" s="24"/>
      <c r="BS3" s="21">
        <f>BS2*42</f>
        <v>84</v>
      </c>
      <c r="BT3" s="21">
        <f t="shared" ref="BT3:CE3" si="0">BT2*42</f>
        <v>84</v>
      </c>
      <c r="BU3" s="21">
        <f t="shared" si="0"/>
        <v>0</v>
      </c>
      <c r="BV3" s="21">
        <f t="shared" si="0"/>
        <v>0</v>
      </c>
      <c r="BW3" s="21">
        <f t="shared" si="0"/>
        <v>0</v>
      </c>
      <c r="BX3" s="21">
        <f t="shared" si="0"/>
        <v>0</v>
      </c>
      <c r="BY3" s="21">
        <f t="shared" si="0"/>
        <v>42</v>
      </c>
      <c r="BZ3" s="21">
        <f t="shared" si="0"/>
        <v>84</v>
      </c>
      <c r="CA3" s="21">
        <f t="shared" si="0"/>
        <v>84</v>
      </c>
      <c r="CB3" s="21">
        <f t="shared" si="0"/>
        <v>42</v>
      </c>
      <c r="CC3" s="21">
        <f t="shared" si="0"/>
        <v>0</v>
      </c>
      <c r="CD3" s="21">
        <f t="shared" si="0"/>
        <v>0</v>
      </c>
      <c r="CE3" s="21">
        <f t="shared" si="0"/>
        <v>0</v>
      </c>
      <c r="CF3" s="21"/>
      <c r="CU3" s="20">
        <f>CU2*42</f>
        <v>0</v>
      </c>
      <c r="CV3" s="20">
        <f>CV2*42</f>
        <v>0</v>
      </c>
      <c r="CW3" s="20">
        <f>CW2*42</f>
        <v>0</v>
      </c>
      <c r="CX3" s="20">
        <f t="shared" ref="CX3:DS3" si="1">CX2*42</f>
        <v>84</v>
      </c>
      <c r="CY3" s="20">
        <f t="shared" si="1"/>
        <v>168</v>
      </c>
      <c r="CZ3" s="20">
        <f t="shared" si="1"/>
        <v>84</v>
      </c>
      <c r="DA3" s="20">
        <f t="shared" si="1"/>
        <v>84</v>
      </c>
      <c r="DB3" s="20">
        <f t="shared" si="1"/>
        <v>84</v>
      </c>
      <c r="DC3" s="20">
        <f t="shared" si="1"/>
        <v>84</v>
      </c>
      <c r="DD3" s="20">
        <f t="shared" si="1"/>
        <v>84</v>
      </c>
      <c r="DE3" s="20">
        <f t="shared" si="1"/>
        <v>84</v>
      </c>
      <c r="DF3" s="20">
        <f t="shared" si="1"/>
        <v>84</v>
      </c>
      <c r="DG3" s="20">
        <f t="shared" si="1"/>
        <v>84</v>
      </c>
      <c r="DH3" s="20">
        <f t="shared" si="1"/>
        <v>84</v>
      </c>
      <c r="DI3" s="20">
        <f t="shared" si="1"/>
        <v>84</v>
      </c>
      <c r="DJ3" s="20">
        <f t="shared" si="1"/>
        <v>84</v>
      </c>
      <c r="DK3" s="20">
        <f t="shared" si="1"/>
        <v>84</v>
      </c>
      <c r="DL3" s="20">
        <f t="shared" si="1"/>
        <v>84</v>
      </c>
      <c r="DM3" s="20">
        <f t="shared" si="1"/>
        <v>168</v>
      </c>
      <c r="DN3" s="20">
        <f t="shared" si="1"/>
        <v>168</v>
      </c>
      <c r="DO3" s="20">
        <f t="shared" si="1"/>
        <v>84</v>
      </c>
      <c r="DP3" s="20">
        <f t="shared" si="1"/>
        <v>84</v>
      </c>
      <c r="DQ3" s="20">
        <f t="shared" si="1"/>
        <v>84</v>
      </c>
      <c r="DR3" s="20">
        <f t="shared" si="1"/>
        <v>168</v>
      </c>
      <c r="DS3" s="20">
        <f t="shared" si="1"/>
        <v>168</v>
      </c>
      <c r="DY3" s="20">
        <f t="shared" ref="DY3:EC3" si="2">DY2*42</f>
        <v>168</v>
      </c>
      <c r="DZ3" s="20">
        <f t="shared" si="2"/>
        <v>168</v>
      </c>
      <c r="EA3" s="20">
        <f t="shared" si="2"/>
        <v>0</v>
      </c>
      <c r="EB3" s="20">
        <f t="shared" si="2"/>
        <v>0</v>
      </c>
      <c r="EC3" s="20">
        <f t="shared" si="2"/>
        <v>0</v>
      </c>
      <c r="ED3" s="20">
        <f>ED2*42</f>
        <v>420</v>
      </c>
      <c r="EE3" s="20">
        <f t="shared" ref="EE3:EG3" si="3">EE2*42</f>
        <v>420</v>
      </c>
      <c r="EF3" s="20">
        <f t="shared" si="3"/>
        <v>420</v>
      </c>
      <c r="EG3" s="20">
        <f t="shared" si="3"/>
        <v>420</v>
      </c>
      <c r="EH3" s="21">
        <f t="shared" ref="EH3" si="4">EH2*42</f>
        <v>252</v>
      </c>
      <c r="EI3" s="21">
        <f t="shared" ref="EI3" si="5">EI2*42</f>
        <v>252</v>
      </c>
      <c r="EJ3" s="21">
        <f t="shared" ref="EJ3" si="6">EJ2*42</f>
        <v>252</v>
      </c>
      <c r="EK3" s="21">
        <f t="shared" ref="EK3" si="7">EK2*42</f>
        <v>0</v>
      </c>
      <c r="EL3" s="21">
        <f t="shared" ref="EL3" si="8">EL2*42</f>
        <v>0</v>
      </c>
      <c r="EM3" s="21">
        <f t="shared" ref="EM3" si="9">EM2*42</f>
        <v>0</v>
      </c>
      <c r="EN3" s="21">
        <f t="shared" ref="EN3:EU3" si="10">EN2*42</f>
        <v>0</v>
      </c>
      <c r="EO3" s="21">
        <f t="shared" si="10"/>
        <v>84</v>
      </c>
      <c r="EP3" s="21">
        <f t="shared" si="10"/>
        <v>84</v>
      </c>
      <c r="EQ3" s="21">
        <f t="shared" si="10"/>
        <v>84</v>
      </c>
      <c r="ER3" s="21">
        <f t="shared" si="10"/>
        <v>0</v>
      </c>
      <c r="ES3" s="21">
        <f t="shared" si="10"/>
        <v>0</v>
      </c>
      <c r="ET3" s="21">
        <f t="shared" si="10"/>
        <v>0</v>
      </c>
      <c r="EU3" s="21">
        <f t="shared" si="10"/>
        <v>0</v>
      </c>
      <c r="FJ3" s="21">
        <f t="shared" ref="FJ3:GR3" si="11">FJ2*42</f>
        <v>168</v>
      </c>
      <c r="FK3" s="21">
        <f t="shared" si="11"/>
        <v>168</v>
      </c>
      <c r="FL3" s="21">
        <f t="shared" si="11"/>
        <v>168</v>
      </c>
      <c r="FM3" s="21">
        <f t="shared" si="11"/>
        <v>168</v>
      </c>
      <c r="FN3" s="21">
        <f t="shared" si="11"/>
        <v>168</v>
      </c>
      <c r="FO3" s="21">
        <f t="shared" si="11"/>
        <v>168</v>
      </c>
      <c r="FP3" s="21">
        <f t="shared" si="11"/>
        <v>168</v>
      </c>
      <c r="FQ3" s="21">
        <f t="shared" si="11"/>
        <v>168</v>
      </c>
      <c r="FR3" s="21">
        <f t="shared" si="11"/>
        <v>168</v>
      </c>
      <c r="FS3" s="21">
        <f t="shared" si="11"/>
        <v>168</v>
      </c>
      <c r="FT3" s="21">
        <f t="shared" si="11"/>
        <v>168</v>
      </c>
      <c r="FU3" s="21">
        <f t="shared" si="11"/>
        <v>168</v>
      </c>
      <c r="FV3" s="21">
        <f t="shared" si="11"/>
        <v>168</v>
      </c>
      <c r="FW3" s="21">
        <f t="shared" si="11"/>
        <v>168</v>
      </c>
      <c r="FX3" s="21">
        <f t="shared" si="11"/>
        <v>168</v>
      </c>
      <c r="FY3" s="21">
        <f t="shared" si="11"/>
        <v>168</v>
      </c>
      <c r="FZ3" s="21">
        <f t="shared" si="11"/>
        <v>168</v>
      </c>
      <c r="GA3" s="21">
        <f t="shared" si="11"/>
        <v>168</v>
      </c>
      <c r="GB3" s="21">
        <f t="shared" si="11"/>
        <v>168</v>
      </c>
      <c r="GC3" s="21">
        <f t="shared" si="11"/>
        <v>168</v>
      </c>
      <c r="GD3" s="21">
        <f t="shared" si="11"/>
        <v>0</v>
      </c>
      <c r="GE3" s="21">
        <f t="shared" si="11"/>
        <v>0</v>
      </c>
      <c r="GF3" s="21">
        <f t="shared" si="11"/>
        <v>0</v>
      </c>
      <c r="GG3" s="21">
        <f t="shared" si="11"/>
        <v>0</v>
      </c>
      <c r="GH3" s="21">
        <f t="shared" si="11"/>
        <v>0</v>
      </c>
      <c r="GI3" s="21">
        <f t="shared" si="11"/>
        <v>0</v>
      </c>
      <c r="GJ3" s="21">
        <f t="shared" si="11"/>
        <v>0</v>
      </c>
      <c r="GK3" s="21">
        <f t="shared" si="11"/>
        <v>84</v>
      </c>
      <c r="GL3" s="21">
        <f t="shared" si="11"/>
        <v>84</v>
      </c>
      <c r="GM3" s="21">
        <f t="shared" si="11"/>
        <v>84</v>
      </c>
      <c r="GN3" s="21">
        <f t="shared" si="11"/>
        <v>84</v>
      </c>
      <c r="GO3" s="21">
        <f t="shared" si="11"/>
        <v>84</v>
      </c>
      <c r="GP3" s="21">
        <f t="shared" si="11"/>
        <v>84</v>
      </c>
      <c r="GQ3" s="21">
        <f t="shared" si="11"/>
        <v>0</v>
      </c>
      <c r="GR3" s="21">
        <f t="shared" si="11"/>
        <v>0</v>
      </c>
    </row>
    <row r="4" spans="1:202" x14ac:dyDescent="0.35">
      <c r="A4" t="s">
        <v>30</v>
      </c>
      <c r="G4">
        <v>6</v>
      </c>
      <c r="H4">
        <v>8</v>
      </c>
      <c r="I4">
        <v>8</v>
      </c>
      <c r="J4">
        <v>8</v>
      </c>
      <c r="K4">
        <v>8</v>
      </c>
      <c r="L4">
        <v>8</v>
      </c>
      <c r="M4">
        <v>8</v>
      </c>
      <c r="N4">
        <v>6</v>
      </c>
      <c r="O4">
        <v>6</v>
      </c>
      <c r="P4">
        <v>6</v>
      </c>
      <c r="Q4">
        <v>6</v>
      </c>
    </row>
    <row r="5" spans="1:202" x14ac:dyDescent="0.35">
      <c r="A5" s="6" t="s">
        <v>28</v>
      </c>
      <c r="G5">
        <f t="shared" ref="G5:Q5" si="12">G2*42</f>
        <v>84</v>
      </c>
      <c r="H5">
        <f t="shared" si="12"/>
        <v>84</v>
      </c>
      <c r="I5">
        <f t="shared" si="12"/>
        <v>84</v>
      </c>
      <c r="J5">
        <f t="shared" si="12"/>
        <v>84</v>
      </c>
      <c r="K5">
        <f t="shared" si="12"/>
        <v>84</v>
      </c>
      <c r="L5">
        <f t="shared" si="12"/>
        <v>84</v>
      </c>
      <c r="M5">
        <f t="shared" si="12"/>
        <v>84</v>
      </c>
      <c r="N5">
        <f t="shared" si="12"/>
        <v>84</v>
      </c>
      <c r="O5">
        <f t="shared" si="12"/>
        <v>84</v>
      </c>
      <c r="P5">
        <f t="shared" si="12"/>
        <v>84</v>
      </c>
      <c r="Q5">
        <f t="shared" si="12"/>
        <v>84</v>
      </c>
      <c r="AS5">
        <f>AS2*42</f>
        <v>84</v>
      </c>
      <c r="AT5">
        <f t="shared" ref="AT5:BA5" si="13">AT2*42</f>
        <v>84</v>
      </c>
      <c r="AU5">
        <f t="shared" si="13"/>
        <v>84</v>
      </c>
      <c r="AV5">
        <f t="shared" si="13"/>
        <v>84</v>
      </c>
      <c r="AW5">
        <f t="shared" si="13"/>
        <v>84</v>
      </c>
      <c r="AX5">
        <f t="shared" si="13"/>
        <v>84</v>
      </c>
      <c r="AY5">
        <f t="shared" si="13"/>
        <v>84</v>
      </c>
      <c r="AZ5">
        <f t="shared" si="13"/>
        <v>84</v>
      </c>
      <c r="BA5">
        <f t="shared" si="13"/>
        <v>84</v>
      </c>
      <c r="BB5">
        <f t="shared" ref="BB5:BL5" si="14">BB2*42</f>
        <v>0</v>
      </c>
      <c r="BC5">
        <f t="shared" si="14"/>
        <v>0</v>
      </c>
      <c r="BD5">
        <f t="shared" si="14"/>
        <v>0</v>
      </c>
      <c r="BE5">
        <f t="shared" si="14"/>
        <v>0</v>
      </c>
      <c r="BF5">
        <f t="shared" si="14"/>
        <v>0</v>
      </c>
      <c r="BG5">
        <f t="shared" si="14"/>
        <v>0</v>
      </c>
      <c r="BH5">
        <f t="shared" si="14"/>
        <v>0</v>
      </c>
      <c r="BI5">
        <f t="shared" si="14"/>
        <v>0</v>
      </c>
      <c r="BJ5">
        <f t="shared" si="14"/>
        <v>0</v>
      </c>
      <c r="BK5">
        <f t="shared" si="14"/>
        <v>0</v>
      </c>
      <c r="BL5">
        <f t="shared" si="14"/>
        <v>0</v>
      </c>
    </row>
    <row r="6" spans="1:202" x14ac:dyDescent="0.35">
      <c r="A6" s="6" t="s">
        <v>30</v>
      </c>
      <c r="G6">
        <f t="shared" ref="G6:Q6" si="15">G4*42</f>
        <v>252</v>
      </c>
      <c r="H6">
        <f t="shared" si="15"/>
        <v>336</v>
      </c>
      <c r="I6">
        <f t="shared" si="15"/>
        <v>336</v>
      </c>
      <c r="J6">
        <f t="shared" si="15"/>
        <v>336</v>
      </c>
      <c r="K6">
        <f t="shared" si="15"/>
        <v>336</v>
      </c>
      <c r="L6">
        <f t="shared" si="15"/>
        <v>336</v>
      </c>
      <c r="M6">
        <f t="shared" si="15"/>
        <v>336</v>
      </c>
      <c r="N6">
        <f t="shared" si="15"/>
        <v>252</v>
      </c>
      <c r="O6">
        <f t="shared" si="15"/>
        <v>252</v>
      </c>
      <c r="P6">
        <f t="shared" si="15"/>
        <v>252</v>
      </c>
      <c r="Q6">
        <f t="shared" si="15"/>
        <v>252</v>
      </c>
    </row>
    <row r="7" spans="1:202" x14ac:dyDescent="0.35">
      <c r="A7" s="6" t="s">
        <v>31</v>
      </c>
      <c r="G7">
        <f t="shared" ref="G7:Q7" si="16">SUM(G5:G6)</f>
        <v>336</v>
      </c>
      <c r="H7">
        <f t="shared" si="16"/>
        <v>420</v>
      </c>
      <c r="I7">
        <f t="shared" si="16"/>
        <v>420</v>
      </c>
      <c r="J7">
        <f t="shared" si="16"/>
        <v>420</v>
      </c>
      <c r="K7">
        <f t="shared" si="16"/>
        <v>420</v>
      </c>
      <c r="L7">
        <f t="shared" si="16"/>
        <v>420</v>
      </c>
      <c r="M7">
        <f t="shared" si="16"/>
        <v>420</v>
      </c>
      <c r="N7">
        <f t="shared" si="16"/>
        <v>336</v>
      </c>
      <c r="O7">
        <f t="shared" si="16"/>
        <v>336</v>
      </c>
      <c r="P7">
        <f t="shared" si="16"/>
        <v>336</v>
      </c>
      <c r="Q7">
        <f t="shared" si="16"/>
        <v>336</v>
      </c>
    </row>
    <row r="10" spans="1:202" x14ac:dyDescent="0.35">
      <c r="A10" t="s">
        <v>111</v>
      </c>
      <c r="ER10">
        <v>1</v>
      </c>
    </row>
    <row r="11" spans="1:202" s="8" customFormat="1" x14ac:dyDescent="0.35">
      <c r="A11" s="7"/>
      <c r="C11" s="8">
        <v>45975</v>
      </c>
      <c r="D11" s="5">
        <v>45976</v>
      </c>
      <c r="E11" s="4">
        <v>45977</v>
      </c>
      <c r="F11" s="4">
        <v>45978</v>
      </c>
      <c r="G11" s="4">
        <v>45979</v>
      </c>
      <c r="H11" s="4">
        <v>45980</v>
      </c>
      <c r="I11" s="4">
        <v>45981</v>
      </c>
      <c r="J11" s="4">
        <v>45982</v>
      </c>
      <c r="K11" s="5">
        <v>45983</v>
      </c>
      <c r="L11" s="4">
        <v>45984</v>
      </c>
      <c r="M11" s="4">
        <v>45985</v>
      </c>
      <c r="N11" s="4">
        <v>45986</v>
      </c>
      <c r="O11" s="4">
        <v>45987</v>
      </c>
      <c r="P11" s="4">
        <v>45988</v>
      </c>
      <c r="Q11" s="4">
        <v>45989</v>
      </c>
      <c r="R11" s="5">
        <v>45990</v>
      </c>
      <c r="S11" s="5">
        <v>45991</v>
      </c>
      <c r="T11" s="4">
        <v>45992</v>
      </c>
      <c r="U11" s="4">
        <v>45993</v>
      </c>
      <c r="V11" s="4">
        <v>45994</v>
      </c>
      <c r="W11" s="4">
        <v>45995</v>
      </c>
      <c r="X11" s="4">
        <v>45996</v>
      </c>
      <c r="Y11" s="5">
        <v>45997</v>
      </c>
      <c r="Z11" s="5">
        <v>45998</v>
      </c>
      <c r="AA11" s="4">
        <v>45999</v>
      </c>
      <c r="AB11" s="4">
        <v>46000</v>
      </c>
      <c r="AC11" s="4">
        <v>46001</v>
      </c>
      <c r="AD11" s="4">
        <v>46002</v>
      </c>
      <c r="AE11" s="4">
        <v>46003</v>
      </c>
      <c r="AF11" s="25"/>
      <c r="AG11" s="5">
        <v>46018</v>
      </c>
      <c r="AH11" s="5">
        <v>46019</v>
      </c>
      <c r="AI11" s="4">
        <v>46020</v>
      </c>
      <c r="AJ11" s="4">
        <v>46021</v>
      </c>
      <c r="AK11" s="4">
        <v>46022</v>
      </c>
      <c r="AL11" s="4">
        <v>46023</v>
      </c>
      <c r="AM11" s="4">
        <v>46024</v>
      </c>
      <c r="AN11" s="5">
        <v>46025</v>
      </c>
      <c r="AO11" s="5">
        <v>46026</v>
      </c>
      <c r="AP11" s="4">
        <v>46027</v>
      </c>
      <c r="AQ11" s="4">
        <v>46028</v>
      </c>
      <c r="AR11" s="4">
        <v>46029</v>
      </c>
      <c r="AS11" s="4">
        <v>46030</v>
      </c>
      <c r="AT11" s="4">
        <v>46031</v>
      </c>
      <c r="AU11" s="5">
        <v>46032</v>
      </c>
      <c r="AV11" s="5">
        <v>46033</v>
      </c>
      <c r="AW11" s="4">
        <v>46034</v>
      </c>
      <c r="AX11" s="4">
        <v>46035</v>
      </c>
      <c r="AY11" s="4">
        <v>46036</v>
      </c>
      <c r="AZ11" s="4">
        <v>46037</v>
      </c>
      <c r="BA11" s="4">
        <v>46038</v>
      </c>
      <c r="BB11" s="5">
        <v>46039</v>
      </c>
      <c r="BC11" s="5">
        <v>46040</v>
      </c>
      <c r="BD11" s="4">
        <v>46041</v>
      </c>
      <c r="BE11" s="4">
        <v>46042</v>
      </c>
      <c r="BF11" s="4">
        <v>46043</v>
      </c>
      <c r="BG11" s="4">
        <v>46044</v>
      </c>
      <c r="BH11" s="4">
        <v>46045</v>
      </c>
      <c r="BI11" s="5">
        <v>46046</v>
      </c>
      <c r="BJ11" s="5">
        <v>46047</v>
      </c>
      <c r="BK11" s="4">
        <v>46048</v>
      </c>
      <c r="BL11" s="4">
        <v>46049</v>
      </c>
      <c r="BM11" s="4">
        <v>46050</v>
      </c>
      <c r="BN11" s="4">
        <v>46051</v>
      </c>
      <c r="BO11" s="4">
        <v>46052</v>
      </c>
      <c r="BP11" s="5">
        <v>46053</v>
      </c>
      <c r="BQ11" s="5">
        <v>46054</v>
      </c>
      <c r="BR11" s="4">
        <v>46055</v>
      </c>
      <c r="BS11" s="4">
        <v>46056</v>
      </c>
      <c r="BT11" s="4">
        <v>46057</v>
      </c>
      <c r="BU11" s="4">
        <v>46058</v>
      </c>
      <c r="BV11" s="4">
        <v>46059</v>
      </c>
      <c r="BW11" s="5">
        <v>46060</v>
      </c>
      <c r="BX11" s="5">
        <v>46061</v>
      </c>
      <c r="BY11" s="4">
        <v>46062</v>
      </c>
      <c r="BZ11" s="4">
        <v>46063</v>
      </c>
      <c r="CA11" s="4">
        <v>46064</v>
      </c>
      <c r="CB11" s="4">
        <v>46065</v>
      </c>
      <c r="CC11" s="4">
        <v>46066</v>
      </c>
      <c r="CD11" s="5">
        <v>46067</v>
      </c>
      <c r="CE11" s="5">
        <v>46068</v>
      </c>
      <c r="CF11" s="4">
        <v>46069</v>
      </c>
      <c r="CG11" s="4">
        <v>46070</v>
      </c>
      <c r="CH11" s="4">
        <v>46071</v>
      </c>
      <c r="CI11" s="4">
        <v>46072</v>
      </c>
      <c r="CJ11" s="4">
        <v>46073</v>
      </c>
      <c r="CK11" s="5">
        <v>46074</v>
      </c>
      <c r="CL11" s="5">
        <v>46075</v>
      </c>
      <c r="CM11" s="4">
        <v>46076</v>
      </c>
      <c r="CN11" s="4">
        <v>46077</v>
      </c>
      <c r="CO11" s="4">
        <v>46078</v>
      </c>
      <c r="CP11" s="4">
        <v>46079</v>
      </c>
      <c r="CQ11" s="4">
        <v>46080</v>
      </c>
      <c r="CR11" s="5">
        <v>46081</v>
      </c>
      <c r="CS11" s="5">
        <v>46082</v>
      </c>
      <c r="CT11" s="4">
        <v>46083</v>
      </c>
      <c r="CU11" s="4">
        <v>46084</v>
      </c>
      <c r="CV11" s="4">
        <v>46085</v>
      </c>
      <c r="CW11" s="4">
        <v>46086</v>
      </c>
      <c r="CX11" s="4">
        <v>46087</v>
      </c>
      <c r="CY11" s="5">
        <v>46088</v>
      </c>
      <c r="CZ11" s="5">
        <v>46089</v>
      </c>
      <c r="DA11" s="4">
        <v>46090</v>
      </c>
      <c r="DB11" s="4">
        <v>46091</v>
      </c>
      <c r="DC11" s="4">
        <v>46092</v>
      </c>
      <c r="DD11" s="4">
        <v>46093</v>
      </c>
      <c r="DE11" s="4">
        <v>46094</v>
      </c>
      <c r="DF11" s="5">
        <v>46095</v>
      </c>
      <c r="DG11" s="5">
        <v>46096</v>
      </c>
      <c r="DH11" s="4">
        <v>46097</v>
      </c>
      <c r="DI11" s="4">
        <v>46098</v>
      </c>
      <c r="DJ11" s="4">
        <v>46099</v>
      </c>
      <c r="DK11" s="4">
        <v>46100</v>
      </c>
      <c r="DL11" s="4">
        <v>46101</v>
      </c>
      <c r="DM11" s="5">
        <v>46102</v>
      </c>
      <c r="DN11" s="5">
        <v>46103</v>
      </c>
      <c r="DO11" s="4">
        <v>46104</v>
      </c>
      <c r="DP11" s="4">
        <v>46105</v>
      </c>
      <c r="DQ11" s="4">
        <v>46106</v>
      </c>
      <c r="DR11" s="4">
        <v>46107</v>
      </c>
      <c r="DS11" s="4">
        <v>46108</v>
      </c>
      <c r="DT11" s="5">
        <v>46109</v>
      </c>
      <c r="DU11" s="5">
        <v>46110</v>
      </c>
      <c r="DV11" s="4">
        <v>46111</v>
      </c>
      <c r="DW11" s="4">
        <v>46112</v>
      </c>
      <c r="DX11" s="4">
        <v>46113</v>
      </c>
      <c r="DY11" s="4">
        <v>46114</v>
      </c>
      <c r="DZ11" s="4">
        <v>46115</v>
      </c>
      <c r="EA11" s="5">
        <v>46116</v>
      </c>
      <c r="EB11" s="5">
        <v>46117</v>
      </c>
      <c r="EC11" s="4">
        <v>46118</v>
      </c>
      <c r="ED11" s="4">
        <v>46119</v>
      </c>
      <c r="EE11" s="4">
        <v>46120</v>
      </c>
      <c r="EF11" s="4">
        <v>46121</v>
      </c>
      <c r="EG11" s="4">
        <v>46122</v>
      </c>
      <c r="EH11" s="5">
        <v>46123</v>
      </c>
      <c r="EI11" s="5">
        <v>46124</v>
      </c>
      <c r="EJ11" s="4">
        <v>46125</v>
      </c>
      <c r="EK11" s="4">
        <v>46126</v>
      </c>
      <c r="EL11" s="4">
        <v>46127</v>
      </c>
      <c r="EM11" s="4">
        <v>46128</v>
      </c>
      <c r="EN11" s="4">
        <v>46129</v>
      </c>
      <c r="EO11" s="5">
        <v>46130</v>
      </c>
      <c r="EP11" s="5">
        <v>46131</v>
      </c>
      <c r="EQ11" s="4">
        <v>46132</v>
      </c>
      <c r="ER11" s="4">
        <v>46133</v>
      </c>
      <c r="ES11" s="4">
        <v>46134</v>
      </c>
      <c r="ET11" s="4">
        <v>46135</v>
      </c>
      <c r="EU11" s="4">
        <v>46136</v>
      </c>
      <c r="EV11" s="5">
        <v>46137</v>
      </c>
      <c r="EW11" s="5">
        <v>46138</v>
      </c>
      <c r="EX11" s="4">
        <v>46139</v>
      </c>
      <c r="EY11" s="4">
        <v>46140</v>
      </c>
      <c r="EZ11" s="4">
        <v>46141</v>
      </c>
      <c r="FA11" s="4">
        <v>46142</v>
      </c>
      <c r="FB11" s="4">
        <v>46143</v>
      </c>
      <c r="FC11" s="5">
        <v>46144</v>
      </c>
      <c r="FD11" s="5">
        <v>46145</v>
      </c>
      <c r="FE11" s="4">
        <v>46146</v>
      </c>
      <c r="FF11" s="4">
        <v>46147</v>
      </c>
      <c r="FG11" s="4">
        <v>46148</v>
      </c>
      <c r="FH11" s="4">
        <v>46149</v>
      </c>
      <c r="FI11" s="4">
        <v>46150</v>
      </c>
      <c r="FJ11" s="5">
        <v>46151</v>
      </c>
      <c r="FK11" s="5">
        <v>46152</v>
      </c>
      <c r="FL11" s="4">
        <v>46153</v>
      </c>
      <c r="FM11" s="4">
        <v>46154</v>
      </c>
      <c r="FN11" s="4">
        <v>46155</v>
      </c>
      <c r="FO11" s="4">
        <v>46156</v>
      </c>
      <c r="FP11" s="4">
        <v>46157</v>
      </c>
      <c r="FQ11" s="5">
        <v>46203</v>
      </c>
      <c r="FR11" s="5">
        <v>46204</v>
      </c>
      <c r="FS11" s="4">
        <v>46205</v>
      </c>
      <c r="FT11" s="4">
        <v>46206</v>
      </c>
      <c r="FU11" s="4">
        <v>46207</v>
      </c>
      <c r="FV11" s="4">
        <v>46208</v>
      </c>
      <c r="FW11" s="5">
        <v>46209</v>
      </c>
      <c r="FX11" s="5">
        <v>46210</v>
      </c>
      <c r="FY11" s="4">
        <v>46211</v>
      </c>
      <c r="FZ11" s="4">
        <v>46212</v>
      </c>
      <c r="GA11" s="4">
        <v>46213</v>
      </c>
      <c r="GB11" s="4">
        <v>46214</v>
      </c>
      <c r="GC11" s="4">
        <v>46215</v>
      </c>
      <c r="GD11" s="5">
        <v>46200</v>
      </c>
      <c r="GE11" s="5">
        <v>46201</v>
      </c>
      <c r="GF11" s="4">
        <v>46202</v>
      </c>
      <c r="GG11" s="4">
        <v>46203</v>
      </c>
      <c r="GH11" s="4">
        <v>46204</v>
      </c>
      <c r="GI11" s="4">
        <v>46205</v>
      </c>
      <c r="GJ11" s="4">
        <v>46206</v>
      </c>
      <c r="GK11" s="5">
        <v>46207</v>
      </c>
      <c r="GL11" s="5">
        <v>46208</v>
      </c>
      <c r="GM11" s="4">
        <v>46209</v>
      </c>
      <c r="GN11" s="4">
        <v>46210</v>
      </c>
      <c r="GO11" s="4">
        <v>46211</v>
      </c>
      <c r="GP11" s="4">
        <v>46212</v>
      </c>
      <c r="GQ11" s="4">
        <v>46213</v>
      </c>
      <c r="GR11" s="5">
        <v>46214</v>
      </c>
    </row>
    <row r="12" spans="1:202" x14ac:dyDescent="0.35">
      <c r="A12" s="3" t="s">
        <v>32</v>
      </c>
      <c r="J12" t="s">
        <v>33</v>
      </c>
      <c r="R12" t="s">
        <v>27</v>
      </c>
      <c r="W12" t="s">
        <v>34</v>
      </c>
    </row>
    <row r="13" spans="1:202" s="1" customFormat="1" x14ac:dyDescent="0.35">
      <c r="A13" s="1" t="s">
        <v>36</v>
      </c>
      <c r="B13" s="1">
        <v>6</v>
      </c>
      <c r="C13" s="1">
        <v>5</v>
      </c>
      <c r="G13" s="1">
        <v>8</v>
      </c>
      <c r="H13" s="1">
        <v>5</v>
      </c>
      <c r="I13" s="1">
        <v>6</v>
      </c>
      <c r="J13" s="1">
        <v>4</v>
      </c>
      <c r="K13" s="1">
        <v>4</v>
      </c>
      <c r="L13" s="1">
        <v>4</v>
      </c>
      <c r="M13" s="1">
        <v>4</v>
      </c>
      <c r="N13" s="1">
        <v>4</v>
      </c>
      <c r="O13" s="1">
        <v>4</v>
      </c>
      <c r="P13" s="1">
        <v>4</v>
      </c>
      <c r="Q13" s="1">
        <v>4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2</v>
      </c>
      <c r="AA13" s="1">
        <v>2</v>
      </c>
      <c r="AB13" s="1">
        <v>3</v>
      </c>
      <c r="AC13" s="1">
        <v>3</v>
      </c>
      <c r="AD13" s="1">
        <v>4</v>
      </c>
      <c r="AE13" s="1">
        <v>4</v>
      </c>
      <c r="AF13" s="24"/>
      <c r="AN13" s="1">
        <v>1</v>
      </c>
      <c r="AO13" s="1">
        <v>2</v>
      </c>
      <c r="AQ13" s="1">
        <v>2</v>
      </c>
      <c r="AR13" s="1">
        <v>1</v>
      </c>
      <c r="AW13" s="1">
        <v>4</v>
      </c>
      <c r="AX13" s="1">
        <v>2</v>
      </c>
      <c r="AY13" s="1">
        <v>2</v>
      </c>
      <c r="AZ13" s="1">
        <v>2</v>
      </c>
      <c r="BA13" s="1">
        <v>2</v>
      </c>
      <c r="BB13" s="1">
        <v>4</v>
      </c>
      <c r="BC13" s="1">
        <v>4</v>
      </c>
      <c r="BD13" s="1">
        <v>4</v>
      </c>
      <c r="BE13" s="1">
        <v>4</v>
      </c>
      <c r="BF13" s="1">
        <v>3</v>
      </c>
      <c r="BG13" s="1">
        <v>2</v>
      </c>
      <c r="BH13" s="1">
        <v>2</v>
      </c>
      <c r="BI13" s="1">
        <v>2</v>
      </c>
      <c r="BJ13" s="1">
        <v>2</v>
      </c>
      <c r="BK13" s="1">
        <v>2</v>
      </c>
      <c r="BL13" s="1">
        <v>2</v>
      </c>
      <c r="BM13" s="1">
        <v>2</v>
      </c>
      <c r="BO13" s="1">
        <v>2</v>
      </c>
      <c r="BP13" s="1">
        <v>2</v>
      </c>
      <c r="BQ13" s="1">
        <v>2</v>
      </c>
      <c r="BR13" s="1">
        <v>2</v>
      </c>
      <c r="BS13" s="14">
        <v>2</v>
      </c>
      <c r="BT13" s="14">
        <v>2</v>
      </c>
      <c r="BU13" s="14">
        <v>2</v>
      </c>
      <c r="BV13" s="14">
        <v>2</v>
      </c>
      <c r="BW13" s="14">
        <v>2</v>
      </c>
      <c r="BX13" s="14">
        <v>2</v>
      </c>
      <c r="BY13" s="14">
        <v>1</v>
      </c>
      <c r="BZ13" s="14"/>
      <c r="CA13" s="14"/>
      <c r="CB13" s="14">
        <v>1</v>
      </c>
      <c r="CC13" s="12"/>
      <c r="CD13" s="12">
        <v>2</v>
      </c>
      <c r="CE13" s="12">
        <v>2</v>
      </c>
      <c r="CF13" s="12">
        <v>2</v>
      </c>
      <c r="CG13" s="12">
        <v>2</v>
      </c>
      <c r="CH13" s="14">
        <v>2</v>
      </c>
      <c r="CI13" s="14">
        <v>2</v>
      </c>
      <c r="CJ13" s="14"/>
      <c r="CK13" s="14"/>
      <c r="CP13" s="1">
        <v>2</v>
      </c>
      <c r="CQ13" s="1">
        <v>2</v>
      </c>
      <c r="CR13" s="1">
        <v>4</v>
      </c>
      <c r="CS13" s="1">
        <v>4</v>
      </c>
      <c r="CT13" s="1">
        <v>4</v>
      </c>
      <c r="CU13" s="1">
        <v>4</v>
      </c>
      <c r="CV13" s="1">
        <v>4</v>
      </c>
      <c r="CW13" s="1">
        <v>4</v>
      </c>
      <c r="CX13" s="1">
        <v>2</v>
      </c>
      <c r="CZ13" s="1">
        <v>2</v>
      </c>
      <c r="DA13" s="1">
        <v>2</v>
      </c>
      <c r="DB13" s="1">
        <v>2</v>
      </c>
      <c r="DC13" s="1">
        <v>2</v>
      </c>
      <c r="DE13" s="1">
        <v>2</v>
      </c>
      <c r="DF13" s="1">
        <v>2</v>
      </c>
      <c r="DG13" s="1">
        <v>2</v>
      </c>
      <c r="DH13" s="1">
        <v>2</v>
      </c>
      <c r="DL13" s="1">
        <v>2</v>
      </c>
    </row>
    <row r="14" spans="1:202" s="20" customFormat="1" x14ac:dyDescent="0.35">
      <c r="A14" s="20" t="s">
        <v>41</v>
      </c>
      <c r="AF14" s="24"/>
      <c r="BS14" s="21">
        <f>BS13*42</f>
        <v>84</v>
      </c>
      <c r="BT14" s="21">
        <f t="shared" ref="BT14:CC14" si="17">BT13*42</f>
        <v>84</v>
      </c>
      <c r="BU14" s="21">
        <f t="shared" si="17"/>
        <v>84</v>
      </c>
      <c r="BV14" s="21">
        <f t="shared" si="17"/>
        <v>84</v>
      </c>
      <c r="BW14" s="21">
        <f t="shared" si="17"/>
        <v>84</v>
      </c>
      <c r="BX14" s="21">
        <f t="shared" si="17"/>
        <v>84</v>
      </c>
      <c r="BY14" s="21">
        <f t="shared" si="17"/>
        <v>42</v>
      </c>
      <c r="BZ14" s="21">
        <f t="shared" si="17"/>
        <v>0</v>
      </c>
      <c r="CA14" s="21">
        <f t="shared" si="17"/>
        <v>0</v>
      </c>
      <c r="CB14" s="21">
        <f t="shared" si="17"/>
        <v>42</v>
      </c>
      <c r="CC14" s="21">
        <f t="shared" si="17"/>
        <v>0</v>
      </c>
      <c r="CD14" s="21">
        <f t="shared" ref="CD14" si="18">CD13*42</f>
        <v>84</v>
      </c>
      <c r="CE14" s="21">
        <f t="shared" ref="CE14" si="19">CE13*42</f>
        <v>84</v>
      </c>
      <c r="CF14" s="21">
        <f t="shared" ref="CF14" si="20">CF13*42</f>
        <v>84</v>
      </c>
      <c r="CG14" s="21">
        <f t="shared" ref="CG14" si="21">CG13*42</f>
        <v>84</v>
      </c>
      <c r="CH14" s="21">
        <f t="shared" ref="CH14" si="22">CH13*42</f>
        <v>84</v>
      </c>
      <c r="CI14" s="21">
        <f t="shared" ref="CI14" si="23">CI13*42</f>
        <v>84</v>
      </c>
      <c r="CJ14" s="21">
        <f t="shared" ref="CJ14" si="24">CJ13*42</f>
        <v>0</v>
      </c>
      <c r="CK14" s="21">
        <f t="shared" ref="CK14:CQ14" si="25">CK13*42</f>
        <v>0</v>
      </c>
      <c r="CL14" s="21">
        <f t="shared" si="25"/>
        <v>0</v>
      </c>
      <c r="CM14" s="21">
        <f t="shared" si="25"/>
        <v>0</v>
      </c>
      <c r="CN14" s="21">
        <f t="shared" si="25"/>
        <v>0</v>
      </c>
      <c r="CO14" s="21">
        <f t="shared" si="25"/>
        <v>0</v>
      </c>
      <c r="CP14" s="21">
        <f t="shared" si="25"/>
        <v>84</v>
      </c>
      <c r="CQ14" s="21">
        <f t="shared" si="25"/>
        <v>84</v>
      </c>
      <c r="CR14" s="21">
        <f t="shared" ref="CR14:CZ14" si="26">CR13*42</f>
        <v>168</v>
      </c>
      <c r="CS14" s="21">
        <f t="shared" si="26"/>
        <v>168</v>
      </c>
      <c r="CT14" s="21">
        <f t="shared" si="26"/>
        <v>168</v>
      </c>
      <c r="CU14" s="21">
        <f t="shared" si="26"/>
        <v>168</v>
      </c>
      <c r="CV14" s="21">
        <f t="shared" si="26"/>
        <v>168</v>
      </c>
      <c r="CW14" s="21">
        <f t="shared" si="26"/>
        <v>168</v>
      </c>
      <c r="CX14" s="21">
        <f t="shared" si="26"/>
        <v>84</v>
      </c>
      <c r="CY14" s="21">
        <f t="shared" si="26"/>
        <v>0</v>
      </c>
      <c r="CZ14" s="21">
        <f t="shared" si="26"/>
        <v>84</v>
      </c>
      <c r="DA14" s="21">
        <f t="shared" ref="DA14:DE14" si="27">DA13*42</f>
        <v>84</v>
      </c>
      <c r="DB14" s="21">
        <f t="shared" si="27"/>
        <v>84</v>
      </c>
      <c r="DC14" s="21">
        <f t="shared" si="27"/>
        <v>84</v>
      </c>
      <c r="DD14" s="21">
        <f t="shared" si="27"/>
        <v>0</v>
      </c>
      <c r="DE14" s="21">
        <f t="shared" si="27"/>
        <v>84</v>
      </c>
      <c r="DF14" s="21">
        <f t="shared" ref="DF14:DJ14" si="28">DF13*42</f>
        <v>84</v>
      </c>
      <c r="DG14" s="21">
        <f t="shared" si="28"/>
        <v>84</v>
      </c>
      <c r="DH14" s="21">
        <f t="shared" si="28"/>
        <v>84</v>
      </c>
      <c r="DI14" s="21">
        <f t="shared" si="28"/>
        <v>0</v>
      </c>
      <c r="DJ14" s="21">
        <f t="shared" si="28"/>
        <v>0</v>
      </c>
      <c r="DK14" s="21">
        <f t="shared" ref="DK14:DN14" si="29">DK13*42</f>
        <v>0</v>
      </c>
      <c r="DL14" s="21">
        <f t="shared" si="29"/>
        <v>84</v>
      </c>
      <c r="DM14" s="21">
        <f t="shared" si="29"/>
        <v>0</v>
      </c>
      <c r="DN14" s="21">
        <f t="shared" si="29"/>
        <v>0</v>
      </c>
      <c r="DO14" s="21">
        <f t="shared" ref="DO14:DT14" si="30">DO13*42</f>
        <v>0</v>
      </c>
      <c r="DP14" s="21">
        <f t="shared" si="30"/>
        <v>0</v>
      </c>
      <c r="DQ14" s="21">
        <f t="shared" si="30"/>
        <v>0</v>
      </c>
      <c r="DR14" s="21">
        <f t="shared" si="30"/>
        <v>0</v>
      </c>
      <c r="DS14" s="21">
        <f t="shared" si="30"/>
        <v>0</v>
      </c>
      <c r="DT14" s="21">
        <f t="shared" si="30"/>
        <v>0</v>
      </c>
      <c r="DU14" s="21">
        <f t="shared" ref="DU14:ED14" si="31">DU13*42</f>
        <v>0</v>
      </c>
      <c r="DV14" s="21">
        <f t="shared" si="31"/>
        <v>0</v>
      </c>
      <c r="DW14" s="21">
        <f t="shared" si="31"/>
        <v>0</v>
      </c>
      <c r="DX14" s="21">
        <f t="shared" si="31"/>
        <v>0</v>
      </c>
      <c r="DY14" s="21">
        <f t="shared" si="31"/>
        <v>0</v>
      </c>
      <c r="DZ14" s="21">
        <f t="shared" si="31"/>
        <v>0</v>
      </c>
      <c r="EA14" s="21">
        <f t="shared" si="31"/>
        <v>0</v>
      </c>
      <c r="EB14" s="21">
        <f t="shared" si="31"/>
        <v>0</v>
      </c>
      <c r="EC14" s="21">
        <f t="shared" si="31"/>
        <v>0</v>
      </c>
      <c r="ED14" s="21">
        <f t="shared" si="31"/>
        <v>0</v>
      </c>
      <c r="EE14" s="21">
        <f t="shared" ref="EE14:EG14" si="32">EE13*42</f>
        <v>0</v>
      </c>
      <c r="EF14" s="21">
        <f t="shared" si="32"/>
        <v>0</v>
      </c>
      <c r="EG14" s="21">
        <f t="shared" si="32"/>
        <v>0</v>
      </c>
      <c r="EH14" s="21">
        <f t="shared" ref="EH14:EO14" si="33">EH13*42</f>
        <v>0</v>
      </c>
      <c r="EI14" s="21">
        <f t="shared" si="33"/>
        <v>0</v>
      </c>
      <c r="EJ14" s="21">
        <f t="shared" si="33"/>
        <v>0</v>
      </c>
      <c r="EK14" s="21">
        <f t="shared" si="33"/>
        <v>0</v>
      </c>
      <c r="EL14" s="21">
        <f t="shared" si="33"/>
        <v>0</v>
      </c>
      <c r="EM14" s="21">
        <f t="shared" si="33"/>
        <v>0</v>
      </c>
      <c r="EN14" s="21">
        <f t="shared" si="33"/>
        <v>0</v>
      </c>
      <c r="EO14" s="21">
        <f t="shared" si="33"/>
        <v>0</v>
      </c>
      <c r="EP14" s="21">
        <f t="shared" ref="EP14:EU14" si="34">EP13*42</f>
        <v>0</v>
      </c>
      <c r="EQ14" s="21">
        <f t="shared" si="34"/>
        <v>0</v>
      </c>
      <c r="ER14" s="21">
        <f t="shared" si="34"/>
        <v>0</v>
      </c>
      <c r="ES14" s="21">
        <f t="shared" si="34"/>
        <v>0</v>
      </c>
      <c r="ET14" s="21">
        <f t="shared" si="34"/>
        <v>0</v>
      </c>
      <c r="EU14" s="21">
        <f t="shared" si="34"/>
        <v>0</v>
      </c>
      <c r="EV14" s="21">
        <f t="shared" ref="EV14:FF14" si="35">EV13*42</f>
        <v>0</v>
      </c>
      <c r="EW14" s="21">
        <f t="shared" si="35"/>
        <v>0</v>
      </c>
      <c r="EX14" s="21">
        <f t="shared" si="35"/>
        <v>0</v>
      </c>
      <c r="EY14" s="21">
        <f t="shared" si="35"/>
        <v>0</v>
      </c>
      <c r="EZ14" s="21">
        <f t="shared" si="35"/>
        <v>0</v>
      </c>
      <c r="FA14" s="21">
        <f t="shared" si="35"/>
        <v>0</v>
      </c>
      <c r="FB14" s="21">
        <f t="shared" si="35"/>
        <v>0</v>
      </c>
      <c r="FC14" s="21">
        <f t="shared" si="35"/>
        <v>0</v>
      </c>
      <c r="FD14" s="21">
        <f t="shared" si="35"/>
        <v>0</v>
      </c>
      <c r="FE14" s="21">
        <f t="shared" si="35"/>
        <v>0</v>
      </c>
      <c r="FF14" s="21">
        <f t="shared" si="35"/>
        <v>0</v>
      </c>
      <c r="FG14" s="21">
        <f t="shared" ref="FG14:FP14" si="36">FG13*42</f>
        <v>0</v>
      </c>
      <c r="FH14" s="21">
        <f t="shared" si="36"/>
        <v>0</v>
      </c>
      <c r="FI14" s="21">
        <f t="shared" si="36"/>
        <v>0</v>
      </c>
      <c r="FJ14" s="21">
        <f t="shared" si="36"/>
        <v>0</v>
      </c>
      <c r="FK14" s="21">
        <f t="shared" si="36"/>
        <v>0</v>
      </c>
      <c r="FL14" s="21">
        <f t="shared" si="36"/>
        <v>0</v>
      </c>
      <c r="FM14" s="21">
        <f t="shared" si="36"/>
        <v>0</v>
      </c>
      <c r="FN14" s="21">
        <f t="shared" si="36"/>
        <v>0</v>
      </c>
      <c r="FO14" s="21">
        <f t="shared" si="36"/>
        <v>0</v>
      </c>
      <c r="FP14" s="21">
        <f t="shared" si="36"/>
        <v>0</v>
      </c>
      <c r="FQ14" s="21">
        <f t="shared" ref="FQ14:FY14" si="37">FQ13*42</f>
        <v>0</v>
      </c>
      <c r="FR14" s="21">
        <f t="shared" si="37"/>
        <v>0</v>
      </c>
      <c r="FS14" s="21">
        <f t="shared" si="37"/>
        <v>0</v>
      </c>
      <c r="FT14" s="21">
        <f t="shared" si="37"/>
        <v>0</v>
      </c>
      <c r="FU14" s="21">
        <f t="shared" si="37"/>
        <v>0</v>
      </c>
      <c r="FV14" s="21">
        <f t="shared" si="37"/>
        <v>0</v>
      </c>
      <c r="FW14" s="21">
        <f t="shared" si="37"/>
        <v>0</v>
      </c>
      <c r="FX14" s="21">
        <f t="shared" si="37"/>
        <v>0</v>
      </c>
      <c r="FY14" s="21">
        <f t="shared" si="37"/>
        <v>0</v>
      </c>
      <c r="FZ14" s="21">
        <f t="shared" ref="FZ14:GJ14" si="38">FZ13*42</f>
        <v>0</v>
      </c>
      <c r="GA14" s="21">
        <f t="shared" si="38"/>
        <v>0</v>
      </c>
      <c r="GB14" s="21">
        <f t="shared" si="38"/>
        <v>0</v>
      </c>
      <c r="GC14" s="21">
        <f t="shared" si="38"/>
        <v>0</v>
      </c>
      <c r="GD14" s="21">
        <f t="shared" si="38"/>
        <v>0</v>
      </c>
      <c r="GE14" s="21">
        <f t="shared" si="38"/>
        <v>0</v>
      </c>
      <c r="GF14" s="21">
        <f t="shared" si="38"/>
        <v>0</v>
      </c>
      <c r="GG14" s="21">
        <f t="shared" si="38"/>
        <v>0</v>
      </c>
      <c r="GH14" s="21">
        <f t="shared" si="38"/>
        <v>0</v>
      </c>
      <c r="GI14" s="21">
        <f t="shared" si="38"/>
        <v>0</v>
      </c>
      <c r="GJ14" s="21">
        <f t="shared" si="38"/>
        <v>0</v>
      </c>
      <c r="GK14" s="21">
        <f t="shared" ref="GK14:GT14" si="39">GK13*42</f>
        <v>0</v>
      </c>
      <c r="GL14" s="21">
        <f t="shared" si="39"/>
        <v>0</v>
      </c>
      <c r="GM14" s="21">
        <f t="shared" si="39"/>
        <v>0</v>
      </c>
      <c r="GN14" s="21">
        <f t="shared" si="39"/>
        <v>0</v>
      </c>
      <c r="GO14" s="21">
        <f t="shared" si="39"/>
        <v>0</v>
      </c>
      <c r="GP14" s="21">
        <f t="shared" si="39"/>
        <v>0</v>
      </c>
      <c r="GQ14" s="21">
        <f t="shared" si="39"/>
        <v>0</v>
      </c>
      <c r="GR14" s="21">
        <f t="shared" si="39"/>
        <v>0</v>
      </c>
      <c r="GS14" s="21">
        <f t="shared" si="39"/>
        <v>0</v>
      </c>
      <c r="GT14" s="21">
        <f t="shared" si="39"/>
        <v>0</v>
      </c>
    </row>
    <row r="15" spans="1:202" s="1" customFormat="1" x14ac:dyDescent="0.35">
      <c r="A15" s="1" t="s">
        <v>35</v>
      </c>
      <c r="Y15" s="1">
        <v>2</v>
      </c>
      <c r="Z15" s="1">
        <v>2</v>
      </c>
      <c r="AA15" s="1">
        <v>2</v>
      </c>
      <c r="AF15" s="24"/>
      <c r="AG15" s="1">
        <v>2</v>
      </c>
      <c r="AH15" s="1">
        <v>2</v>
      </c>
      <c r="AI15" s="1">
        <v>2</v>
      </c>
      <c r="AJ15" s="1">
        <v>4</v>
      </c>
      <c r="AK15" s="1">
        <v>4</v>
      </c>
      <c r="AL15" s="1">
        <v>4</v>
      </c>
      <c r="AM15" s="1">
        <v>2</v>
      </c>
      <c r="AN15" s="1">
        <v>1</v>
      </c>
      <c r="AX15" s="1">
        <v>2</v>
      </c>
      <c r="AY15" s="1">
        <v>2</v>
      </c>
      <c r="AZ15" s="1">
        <v>2</v>
      </c>
      <c r="BA15" s="1">
        <v>2</v>
      </c>
      <c r="BB15" s="1">
        <v>2</v>
      </c>
      <c r="BC15" s="1">
        <v>2</v>
      </c>
      <c r="BD15" s="1">
        <v>2</v>
      </c>
      <c r="BE15" s="1">
        <v>2</v>
      </c>
      <c r="BF15" s="1">
        <v>3</v>
      </c>
      <c r="BG15" s="1">
        <v>2</v>
      </c>
      <c r="BH15" s="1">
        <v>2</v>
      </c>
      <c r="BN15" s="1">
        <v>2</v>
      </c>
      <c r="BO15" s="1">
        <v>2</v>
      </c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2">
        <v>2</v>
      </c>
      <c r="CG15" s="12">
        <v>2</v>
      </c>
      <c r="CH15" s="12">
        <v>2</v>
      </c>
      <c r="CI15" s="12">
        <v>2</v>
      </c>
      <c r="CJ15" s="12">
        <v>4</v>
      </c>
      <c r="CK15" s="12">
        <v>4</v>
      </c>
      <c r="CL15" s="12">
        <v>4</v>
      </c>
      <c r="CM15" s="12">
        <v>4</v>
      </c>
      <c r="CN15" s="14">
        <v>2</v>
      </c>
      <c r="CO15" s="14">
        <v>2</v>
      </c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>
        <v>2</v>
      </c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>
        <v>1</v>
      </c>
      <c r="EN15" s="14">
        <v>2</v>
      </c>
      <c r="EO15" s="14">
        <v>2</v>
      </c>
      <c r="EP15" s="14">
        <v>2</v>
      </c>
      <c r="EQ15" s="14"/>
      <c r="ER15" s="14">
        <v>1</v>
      </c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</row>
    <row r="16" spans="1:202" s="20" customFormat="1" x14ac:dyDescent="0.35">
      <c r="A16" s="20" t="s">
        <v>41</v>
      </c>
      <c r="AF16" s="24"/>
      <c r="BS16" s="21">
        <f t="shared" ref="BS16:CE16" si="40">BS15*42</f>
        <v>0</v>
      </c>
      <c r="BT16" s="21">
        <f t="shared" si="40"/>
        <v>0</v>
      </c>
      <c r="BU16" s="21">
        <f t="shared" si="40"/>
        <v>0</v>
      </c>
      <c r="BV16" s="21">
        <f t="shared" si="40"/>
        <v>0</v>
      </c>
      <c r="BW16" s="21">
        <f t="shared" si="40"/>
        <v>0</v>
      </c>
      <c r="BX16" s="21">
        <f t="shared" si="40"/>
        <v>0</v>
      </c>
      <c r="BY16" s="21">
        <f t="shared" si="40"/>
        <v>0</v>
      </c>
      <c r="BZ16" s="21">
        <f t="shared" si="40"/>
        <v>0</v>
      </c>
      <c r="CA16" s="21">
        <f t="shared" si="40"/>
        <v>0</v>
      </c>
      <c r="CB16" s="21">
        <f t="shared" si="40"/>
        <v>0</v>
      </c>
      <c r="CC16" s="21">
        <f t="shared" si="40"/>
        <v>0</v>
      </c>
      <c r="CD16" s="21">
        <f t="shared" si="40"/>
        <v>0</v>
      </c>
      <c r="CE16" s="21">
        <f t="shared" si="40"/>
        <v>0</v>
      </c>
      <c r="CF16" s="21" t="b">
        <f>A2=CF15*42</f>
        <v>0</v>
      </c>
      <c r="CG16" s="21">
        <f t="shared" ref="CG16:DL16" si="41">CG15*42</f>
        <v>84</v>
      </c>
      <c r="CH16" s="21">
        <f t="shared" si="41"/>
        <v>84</v>
      </c>
      <c r="CI16" s="21">
        <f t="shared" si="41"/>
        <v>84</v>
      </c>
      <c r="CJ16" s="21">
        <f t="shared" si="41"/>
        <v>168</v>
      </c>
      <c r="CK16" s="21">
        <f t="shared" si="41"/>
        <v>168</v>
      </c>
      <c r="CL16" s="21">
        <f t="shared" si="41"/>
        <v>168</v>
      </c>
      <c r="CM16" s="21">
        <f t="shared" si="41"/>
        <v>168</v>
      </c>
      <c r="CN16" s="21">
        <f t="shared" si="41"/>
        <v>84</v>
      </c>
      <c r="CO16" s="21">
        <f t="shared" si="41"/>
        <v>84</v>
      </c>
      <c r="CP16" s="21">
        <f t="shared" si="41"/>
        <v>0</v>
      </c>
      <c r="CQ16" s="21">
        <f t="shared" si="41"/>
        <v>0</v>
      </c>
      <c r="CR16" s="21">
        <f t="shared" si="41"/>
        <v>0</v>
      </c>
      <c r="CS16" s="21">
        <f t="shared" si="41"/>
        <v>0</v>
      </c>
      <c r="CT16" s="21">
        <f t="shared" si="41"/>
        <v>0</v>
      </c>
      <c r="CU16" s="21">
        <f t="shared" si="41"/>
        <v>0</v>
      </c>
      <c r="CV16" s="21">
        <f t="shared" si="41"/>
        <v>0</v>
      </c>
      <c r="CW16" s="21">
        <f t="shared" si="41"/>
        <v>0</v>
      </c>
      <c r="CX16" s="21">
        <f t="shared" si="41"/>
        <v>0</v>
      </c>
      <c r="CY16" s="21">
        <f t="shared" si="41"/>
        <v>0</v>
      </c>
      <c r="CZ16" s="21">
        <f t="shared" si="41"/>
        <v>0</v>
      </c>
      <c r="DA16" s="21">
        <f t="shared" si="41"/>
        <v>0</v>
      </c>
      <c r="DB16" s="21">
        <f t="shared" si="41"/>
        <v>0</v>
      </c>
      <c r="DC16" s="21">
        <f t="shared" si="41"/>
        <v>0</v>
      </c>
      <c r="DD16" s="21">
        <f t="shared" si="41"/>
        <v>0</v>
      </c>
      <c r="DE16" s="21">
        <f t="shared" si="41"/>
        <v>0</v>
      </c>
      <c r="DF16" s="21">
        <f t="shared" si="41"/>
        <v>0</v>
      </c>
      <c r="DG16" s="21">
        <f t="shared" si="41"/>
        <v>0</v>
      </c>
      <c r="DH16" s="21">
        <f t="shared" si="41"/>
        <v>0</v>
      </c>
      <c r="DI16" s="21">
        <f t="shared" si="41"/>
        <v>0</v>
      </c>
      <c r="DJ16" s="21">
        <f t="shared" si="41"/>
        <v>0</v>
      </c>
      <c r="DK16" s="21">
        <f t="shared" si="41"/>
        <v>84</v>
      </c>
      <c r="DL16" s="21">
        <f t="shared" si="41"/>
        <v>0</v>
      </c>
      <c r="DM16" s="21">
        <f t="shared" ref="DM16:ER16" si="42">DM15*42</f>
        <v>0</v>
      </c>
      <c r="DN16" s="21">
        <f t="shared" si="42"/>
        <v>0</v>
      </c>
      <c r="DO16" s="21">
        <f t="shared" si="42"/>
        <v>0</v>
      </c>
      <c r="DP16" s="21">
        <f t="shared" si="42"/>
        <v>0</v>
      </c>
      <c r="DQ16" s="21">
        <f t="shared" si="42"/>
        <v>0</v>
      </c>
      <c r="DR16" s="21">
        <f t="shared" si="42"/>
        <v>0</v>
      </c>
      <c r="DS16" s="21">
        <f t="shared" si="42"/>
        <v>0</v>
      </c>
      <c r="DT16" s="21">
        <f t="shared" si="42"/>
        <v>0</v>
      </c>
      <c r="DU16" s="21">
        <f t="shared" si="42"/>
        <v>0</v>
      </c>
      <c r="DV16" s="21">
        <f t="shared" si="42"/>
        <v>0</v>
      </c>
      <c r="DW16" s="21">
        <f t="shared" si="42"/>
        <v>0</v>
      </c>
      <c r="DX16" s="21">
        <f t="shared" si="42"/>
        <v>0</v>
      </c>
      <c r="DY16" s="21">
        <f t="shared" si="42"/>
        <v>0</v>
      </c>
      <c r="DZ16" s="21">
        <f t="shared" si="42"/>
        <v>0</v>
      </c>
      <c r="EA16" s="21">
        <f t="shared" si="42"/>
        <v>0</v>
      </c>
      <c r="EB16" s="21">
        <f t="shared" si="42"/>
        <v>0</v>
      </c>
      <c r="EC16" s="21">
        <f t="shared" si="42"/>
        <v>0</v>
      </c>
      <c r="ED16" s="21">
        <f t="shared" si="42"/>
        <v>0</v>
      </c>
      <c r="EE16" s="21">
        <f t="shared" si="42"/>
        <v>0</v>
      </c>
      <c r="EF16" s="21">
        <f t="shared" si="42"/>
        <v>0</v>
      </c>
      <c r="EG16" s="21">
        <f t="shared" si="42"/>
        <v>0</v>
      </c>
      <c r="EH16" s="21">
        <f t="shared" si="42"/>
        <v>0</v>
      </c>
      <c r="EI16" s="21">
        <f t="shared" si="42"/>
        <v>0</v>
      </c>
      <c r="EJ16" s="21">
        <f t="shared" si="42"/>
        <v>0</v>
      </c>
      <c r="EK16" s="21">
        <f t="shared" si="42"/>
        <v>0</v>
      </c>
      <c r="EL16" s="21">
        <f t="shared" si="42"/>
        <v>0</v>
      </c>
      <c r="EM16" s="21">
        <f t="shared" si="42"/>
        <v>42</v>
      </c>
      <c r="EN16" s="21">
        <f t="shared" si="42"/>
        <v>84</v>
      </c>
      <c r="EO16" s="21">
        <f t="shared" si="42"/>
        <v>84</v>
      </c>
      <c r="EP16" s="21">
        <f t="shared" si="42"/>
        <v>84</v>
      </c>
      <c r="EQ16" s="21">
        <f t="shared" si="42"/>
        <v>0</v>
      </c>
      <c r="ER16" s="21">
        <f t="shared" si="42"/>
        <v>42</v>
      </c>
      <c r="ES16" s="21">
        <f t="shared" ref="ES16:EU16" si="43">ES15*42</f>
        <v>0</v>
      </c>
      <c r="ET16" s="21">
        <f t="shared" si="43"/>
        <v>0</v>
      </c>
      <c r="EU16" s="21">
        <f t="shared" si="43"/>
        <v>0</v>
      </c>
      <c r="EV16" s="21">
        <f t="shared" ref="EV16:FF16" si="44">EV15*42</f>
        <v>0</v>
      </c>
      <c r="EW16" s="21">
        <f t="shared" si="44"/>
        <v>0</v>
      </c>
      <c r="EX16" s="21">
        <f t="shared" si="44"/>
        <v>0</v>
      </c>
      <c r="EY16" s="21">
        <f t="shared" si="44"/>
        <v>0</v>
      </c>
      <c r="EZ16" s="21">
        <f t="shared" si="44"/>
        <v>0</v>
      </c>
      <c r="FA16" s="21">
        <f t="shared" si="44"/>
        <v>0</v>
      </c>
      <c r="FB16" s="21">
        <f t="shared" si="44"/>
        <v>0</v>
      </c>
      <c r="FC16" s="21">
        <f t="shared" si="44"/>
        <v>0</v>
      </c>
      <c r="FD16" s="21">
        <f t="shared" si="44"/>
        <v>0</v>
      </c>
      <c r="FE16" s="21">
        <f t="shared" si="44"/>
        <v>0</v>
      </c>
      <c r="FF16" s="21">
        <f t="shared" si="44"/>
        <v>0</v>
      </c>
      <c r="FG16" s="21">
        <f t="shared" ref="FG16:FP16" si="45">FG15*42</f>
        <v>0</v>
      </c>
      <c r="FH16" s="21">
        <f t="shared" si="45"/>
        <v>0</v>
      </c>
      <c r="FI16" s="21">
        <f t="shared" si="45"/>
        <v>0</v>
      </c>
      <c r="FJ16" s="21">
        <f t="shared" si="45"/>
        <v>0</v>
      </c>
      <c r="FK16" s="21">
        <f t="shared" si="45"/>
        <v>0</v>
      </c>
      <c r="FL16" s="21">
        <f t="shared" si="45"/>
        <v>0</v>
      </c>
      <c r="FM16" s="21">
        <f t="shared" si="45"/>
        <v>0</v>
      </c>
      <c r="FN16" s="21">
        <f t="shared" si="45"/>
        <v>0</v>
      </c>
      <c r="FO16" s="21">
        <f t="shared" si="45"/>
        <v>0</v>
      </c>
      <c r="FP16" s="21">
        <f t="shared" si="45"/>
        <v>0</v>
      </c>
      <c r="FQ16" s="21">
        <f t="shared" ref="FQ16:FY16" si="46">FQ15*42</f>
        <v>0</v>
      </c>
      <c r="FR16" s="21">
        <f t="shared" si="46"/>
        <v>0</v>
      </c>
      <c r="FS16" s="21">
        <f t="shared" si="46"/>
        <v>0</v>
      </c>
      <c r="FT16" s="21">
        <f t="shared" si="46"/>
        <v>0</v>
      </c>
      <c r="FU16" s="21">
        <f t="shared" si="46"/>
        <v>0</v>
      </c>
      <c r="FV16" s="21">
        <f t="shared" si="46"/>
        <v>0</v>
      </c>
      <c r="FW16" s="21">
        <f t="shared" si="46"/>
        <v>0</v>
      </c>
      <c r="FX16" s="21">
        <f t="shared" si="46"/>
        <v>0</v>
      </c>
      <c r="FY16" s="21">
        <f t="shared" si="46"/>
        <v>0</v>
      </c>
      <c r="FZ16" s="21">
        <f t="shared" ref="FZ16:GJ16" si="47">FZ15*42</f>
        <v>0</v>
      </c>
      <c r="GA16" s="21">
        <f t="shared" si="47"/>
        <v>0</v>
      </c>
      <c r="GB16" s="21">
        <f t="shared" si="47"/>
        <v>0</v>
      </c>
      <c r="GC16" s="21">
        <f t="shared" si="47"/>
        <v>0</v>
      </c>
      <c r="GD16" s="21">
        <f t="shared" si="47"/>
        <v>0</v>
      </c>
      <c r="GE16" s="21">
        <f t="shared" si="47"/>
        <v>0</v>
      </c>
      <c r="GF16" s="21">
        <f t="shared" si="47"/>
        <v>0</v>
      </c>
      <c r="GG16" s="21">
        <f t="shared" si="47"/>
        <v>0</v>
      </c>
      <c r="GH16" s="21">
        <f t="shared" si="47"/>
        <v>0</v>
      </c>
      <c r="GI16" s="21">
        <f t="shared" si="47"/>
        <v>0</v>
      </c>
      <c r="GJ16" s="21">
        <f t="shared" si="47"/>
        <v>0</v>
      </c>
      <c r="GK16" s="21">
        <f t="shared" ref="GK16:GT16" si="48">GK15*42</f>
        <v>0</v>
      </c>
      <c r="GL16" s="21">
        <f t="shared" si="48"/>
        <v>0</v>
      </c>
      <c r="GM16" s="21">
        <f t="shared" si="48"/>
        <v>0</v>
      </c>
      <c r="GN16" s="21">
        <f t="shared" si="48"/>
        <v>0</v>
      </c>
      <c r="GO16" s="21">
        <f t="shared" si="48"/>
        <v>0</v>
      </c>
      <c r="GP16" s="21">
        <f t="shared" si="48"/>
        <v>0</v>
      </c>
      <c r="GQ16" s="21">
        <f t="shared" si="48"/>
        <v>0</v>
      </c>
      <c r="GR16" s="21">
        <f t="shared" si="48"/>
        <v>0</v>
      </c>
      <c r="GS16" s="21">
        <f t="shared" si="48"/>
        <v>0</v>
      </c>
      <c r="GT16" s="21">
        <f t="shared" si="48"/>
        <v>0</v>
      </c>
    </row>
    <row r="17" spans="1:202" s="1" customFormat="1" x14ac:dyDescent="0.35">
      <c r="A17" s="1" t="s">
        <v>107</v>
      </c>
      <c r="AF17" s="2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2"/>
      <c r="CG17" s="12"/>
      <c r="CH17" s="12"/>
      <c r="CI17" s="12"/>
      <c r="CJ17" s="12"/>
      <c r="CK17" s="12"/>
      <c r="CL17" s="12"/>
      <c r="CM17" s="12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>
        <v>1</v>
      </c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</row>
    <row r="18" spans="1:202" s="20" customFormat="1" x14ac:dyDescent="0.35">
      <c r="A18" s="20" t="s">
        <v>41</v>
      </c>
      <c r="AF18" s="24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>
        <f>EM17*42</f>
        <v>42</v>
      </c>
      <c r="EN18" s="21">
        <f t="shared" ref="EN18:EU18" si="49">EN17*42</f>
        <v>0</v>
      </c>
      <c r="EO18" s="21">
        <f t="shared" si="49"/>
        <v>0</v>
      </c>
      <c r="EP18" s="21">
        <f t="shared" si="49"/>
        <v>0</v>
      </c>
      <c r="EQ18" s="21">
        <f t="shared" si="49"/>
        <v>0</v>
      </c>
      <c r="ER18" s="21">
        <f t="shared" si="49"/>
        <v>0</v>
      </c>
      <c r="ES18" s="21">
        <f t="shared" si="49"/>
        <v>0</v>
      </c>
      <c r="ET18" s="21">
        <f t="shared" si="49"/>
        <v>0</v>
      </c>
      <c r="EU18" s="21">
        <f t="shared" si="49"/>
        <v>0</v>
      </c>
      <c r="EV18" s="21">
        <f t="shared" ref="EV18:FF18" si="50">EV17*42</f>
        <v>0</v>
      </c>
      <c r="EW18" s="21">
        <f t="shared" si="50"/>
        <v>0</v>
      </c>
      <c r="EX18" s="21">
        <f t="shared" si="50"/>
        <v>0</v>
      </c>
      <c r="EY18" s="21">
        <f t="shared" si="50"/>
        <v>0</v>
      </c>
      <c r="EZ18" s="21">
        <f t="shared" si="50"/>
        <v>0</v>
      </c>
      <c r="FA18" s="21">
        <f t="shared" si="50"/>
        <v>0</v>
      </c>
      <c r="FB18" s="21">
        <f t="shared" si="50"/>
        <v>0</v>
      </c>
      <c r="FC18" s="21">
        <f t="shared" si="50"/>
        <v>0</v>
      </c>
      <c r="FD18" s="21">
        <f t="shared" si="50"/>
        <v>0</v>
      </c>
      <c r="FE18" s="21">
        <f t="shared" si="50"/>
        <v>0</v>
      </c>
      <c r="FF18" s="21">
        <f t="shared" si="50"/>
        <v>0</v>
      </c>
      <c r="FG18" s="21">
        <f t="shared" ref="FG18:FP18" si="51">FG17*42</f>
        <v>0</v>
      </c>
      <c r="FH18" s="21">
        <f t="shared" si="51"/>
        <v>0</v>
      </c>
      <c r="FI18" s="21">
        <f t="shared" si="51"/>
        <v>0</v>
      </c>
      <c r="FJ18" s="21">
        <f t="shared" si="51"/>
        <v>0</v>
      </c>
      <c r="FK18" s="21">
        <f t="shared" si="51"/>
        <v>0</v>
      </c>
      <c r="FL18" s="21">
        <f t="shared" si="51"/>
        <v>0</v>
      </c>
      <c r="FM18" s="21">
        <f t="shared" si="51"/>
        <v>0</v>
      </c>
      <c r="FN18" s="21">
        <f t="shared" si="51"/>
        <v>0</v>
      </c>
      <c r="FO18" s="21">
        <f t="shared" si="51"/>
        <v>0</v>
      </c>
      <c r="FP18" s="21">
        <f t="shared" si="51"/>
        <v>0</v>
      </c>
      <c r="FQ18" s="21">
        <f t="shared" ref="FQ18:FY18" si="52">FQ17*42</f>
        <v>0</v>
      </c>
      <c r="FR18" s="21">
        <f t="shared" si="52"/>
        <v>0</v>
      </c>
      <c r="FS18" s="21">
        <f t="shared" si="52"/>
        <v>0</v>
      </c>
      <c r="FT18" s="21">
        <f t="shared" si="52"/>
        <v>0</v>
      </c>
      <c r="FU18" s="21">
        <f t="shared" si="52"/>
        <v>0</v>
      </c>
      <c r="FV18" s="21">
        <f t="shared" si="52"/>
        <v>0</v>
      </c>
      <c r="FW18" s="21">
        <f t="shared" si="52"/>
        <v>0</v>
      </c>
      <c r="FX18" s="21">
        <f t="shared" si="52"/>
        <v>0</v>
      </c>
      <c r="FY18" s="21">
        <f t="shared" si="52"/>
        <v>0</v>
      </c>
      <c r="FZ18" s="21">
        <f t="shared" ref="FZ18:GJ18" si="53">FZ17*42</f>
        <v>0</v>
      </c>
      <c r="GA18" s="21">
        <f t="shared" si="53"/>
        <v>0</v>
      </c>
      <c r="GB18" s="21">
        <f t="shared" si="53"/>
        <v>0</v>
      </c>
      <c r="GC18" s="21">
        <f t="shared" si="53"/>
        <v>0</v>
      </c>
      <c r="GD18" s="21">
        <f t="shared" si="53"/>
        <v>0</v>
      </c>
      <c r="GE18" s="21">
        <f t="shared" si="53"/>
        <v>0</v>
      </c>
      <c r="GF18" s="21">
        <f t="shared" si="53"/>
        <v>0</v>
      </c>
      <c r="GG18" s="21">
        <f t="shared" si="53"/>
        <v>0</v>
      </c>
      <c r="GH18" s="21">
        <f t="shared" si="53"/>
        <v>0</v>
      </c>
      <c r="GI18" s="21">
        <f t="shared" si="53"/>
        <v>0</v>
      </c>
      <c r="GJ18" s="21">
        <f t="shared" si="53"/>
        <v>0</v>
      </c>
      <c r="GK18" s="21">
        <f t="shared" ref="GK18:GT18" si="54">GK17*42</f>
        <v>0</v>
      </c>
      <c r="GL18" s="21">
        <f t="shared" si="54"/>
        <v>0</v>
      </c>
      <c r="GM18" s="21">
        <f t="shared" si="54"/>
        <v>0</v>
      </c>
      <c r="GN18" s="21">
        <f t="shared" si="54"/>
        <v>0</v>
      </c>
      <c r="GO18" s="21">
        <f t="shared" si="54"/>
        <v>0</v>
      </c>
      <c r="GP18" s="21">
        <f t="shared" si="54"/>
        <v>0</v>
      </c>
      <c r="GQ18" s="21">
        <f t="shared" si="54"/>
        <v>0</v>
      </c>
      <c r="GR18" s="21">
        <f t="shared" si="54"/>
        <v>0</v>
      </c>
      <c r="GS18" s="21">
        <f t="shared" si="54"/>
        <v>0</v>
      </c>
      <c r="GT18" s="21">
        <f t="shared" si="54"/>
        <v>0</v>
      </c>
    </row>
    <row r="19" spans="1:202" s="10" customFormat="1" x14ac:dyDescent="0.35">
      <c r="A19" s="10" t="s">
        <v>68</v>
      </c>
      <c r="B19" s="10">
        <f t="shared" ref="B19:X19" si="55">B13*42</f>
        <v>252</v>
      </c>
      <c r="C19" s="10">
        <f t="shared" si="55"/>
        <v>210</v>
      </c>
      <c r="D19" s="10">
        <f t="shared" si="55"/>
        <v>0</v>
      </c>
      <c r="E19" s="10">
        <f t="shared" si="55"/>
        <v>0</v>
      </c>
      <c r="F19" s="10">
        <f t="shared" si="55"/>
        <v>0</v>
      </c>
      <c r="G19" s="10">
        <f t="shared" si="55"/>
        <v>336</v>
      </c>
      <c r="H19" s="10">
        <f t="shared" si="55"/>
        <v>210</v>
      </c>
      <c r="I19" s="10">
        <f t="shared" si="55"/>
        <v>252</v>
      </c>
      <c r="J19" s="10">
        <f t="shared" si="55"/>
        <v>168</v>
      </c>
      <c r="K19" s="10">
        <f t="shared" si="55"/>
        <v>168</v>
      </c>
      <c r="L19" s="10">
        <f t="shared" si="55"/>
        <v>168</v>
      </c>
      <c r="M19" s="10">
        <f t="shared" si="55"/>
        <v>168</v>
      </c>
      <c r="N19" s="10">
        <f t="shared" si="55"/>
        <v>168</v>
      </c>
      <c r="O19" s="10">
        <f t="shared" si="55"/>
        <v>168</v>
      </c>
      <c r="P19" s="10">
        <f t="shared" si="55"/>
        <v>168</v>
      </c>
      <c r="Q19" s="10">
        <f t="shared" si="55"/>
        <v>168</v>
      </c>
      <c r="R19" s="10">
        <f t="shared" si="55"/>
        <v>42</v>
      </c>
      <c r="S19" s="10">
        <f t="shared" si="55"/>
        <v>42</v>
      </c>
      <c r="T19" s="10">
        <f t="shared" si="55"/>
        <v>42</v>
      </c>
      <c r="U19" s="10">
        <f t="shared" si="55"/>
        <v>42</v>
      </c>
      <c r="V19" s="10">
        <f t="shared" si="55"/>
        <v>42</v>
      </c>
      <c r="W19" s="10">
        <f t="shared" si="55"/>
        <v>42</v>
      </c>
      <c r="X19" s="10">
        <f t="shared" si="55"/>
        <v>42</v>
      </c>
      <c r="Y19" s="10">
        <f t="shared" ref="Y19:AE19" si="56">Y13*42+Y15*42</f>
        <v>126</v>
      </c>
      <c r="Z19" s="10">
        <f t="shared" si="56"/>
        <v>168</v>
      </c>
      <c r="AA19" s="10">
        <f t="shared" si="56"/>
        <v>168</v>
      </c>
      <c r="AB19" s="10">
        <f t="shared" si="56"/>
        <v>126</v>
      </c>
      <c r="AC19" s="10">
        <f t="shared" si="56"/>
        <v>126</v>
      </c>
      <c r="AD19" s="10">
        <f t="shared" si="56"/>
        <v>168</v>
      </c>
      <c r="AE19" s="10">
        <f t="shared" si="56"/>
        <v>168</v>
      </c>
      <c r="AF19" s="24"/>
      <c r="AG19" s="10">
        <f t="shared" ref="AG19:BR19" si="57">AG13*42+AG15*42</f>
        <v>84</v>
      </c>
      <c r="AH19" s="10">
        <f t="shared" si="57"/>
        <v>84</v>
      </c>
      <c r="AI19" s="10">
        <f t="shared" si="57"/>
        <v>84</v>
      </c>
      <c r="AJ19" s="10">
        <f t="shared" si="57"/>
        <v>168</v>
      </c>
      <c r="AK19" s="10">
        <f t="shared" si="57"/>
        <v>168</v>
      </c>
      <c r="AL19" s="10">
        <f t="shared" si="57"/>
        <v>168</v>
      </c>
      <c r="AM19" s="10">
        <f t="shared" si="57"/>
        <v>84</v>
      </c>
      <c r="AN19" s="10">
        <f t="shared" si="57"/>
        <v>84</v>
      </c>
      <c r="AO19" s="10">
        <f t="shared" si="57"/>
        <v>84</v>
      </c>
      <c r="AP19" s="10">
        <f t="shared" si="57"/>
        <v>0</v>
      </c>
      <c r="AQ19" s="10">
        <f t="shared" si="57"/>
        <v>84</v>
      </c>
      <c r="AR19" s="10">
        <f t="shared" si="57"/>
        <v>42</v>
      </c>
      <c r="AS19" s="10">
        <f t="shared" si="57"/>
        <v>0</v>
      </c>
      <c r="AT19" s="10">
        <f t="shared" si="57"/>
        <v>0</v>
      </c>
      <c r="AU19" s="10">
        <f t="shared" si="57"/>
        <v>0</v>
      </c>
      <c r="AV19" s="10">
        <f t="shared" si="57"/>
        <v>0</v>
      </c>
      <c r="AW19" s="10">
        <f t="shared" si="57"/>
        <v>168</v>
      </c>
      <c r="AX19" s="10">
        <f t="shared" si="57"/>
        <v>168</v>
      </c>
      <c r="AY19" s="10">
        <f t="shared" si="57"/>
        <v>168</v>
      </c>
      <c r="AZ19" s="10">
        <f t="shared" si="57"/>
        <v>168</v>
      </c>
      <c r="BA19" s="10">
        <f t="shared" si="57"/>
        <v>168</v>
      </c>
      <c r="BB19" s="10">
        <f t="shared" si="57"/>
        <v>252</v>
      </c>
      <c r="BC19" s="10">
        <f t="shared" si="57"/>
        <v>252</v>
      </c>
      <c r="BD19" s="10">
        <f t="shared" si="57"/>
        <v>252</v>
      </c>
      <c r="BE19" s="10">
        <f t="shared" si="57"/>
        <v>252</v>
      </c>
      <c r="BF19" s="10">
        <f t="shared" si="57"/>
        <v>252</v>
      </c>
      <c r="BG19" s="10">
        <f t="shared" si="57"/>
        <v>168</v>
      </c>
      <c r="BH19" s="10">
        <f t="shared" si="57"/>
        <v>168</v>
      </c>
      <c r="BI19" s="10">
        <f t="shared" si="57"/>
        <v>84</v>
      </c>
      <c r="BJ19" s="10">
        <f t="shared" si="57"/>
        <v>84</v>
      </c>
      <c r="BK19" s="10">
        <f t="shared" si="57"/>
        <v>84</v>
      </c>
      <c r="BL19" s="10">
        <f t="shared" si="57"/>
        <v>84</v>
      </c>
      <c r="BM19" s="10">
        <f t="shared" si="57"/>
        <v>84</v>
      </c>
      <c r="BN19" s="10">
        <f t="shared" si="57"/>
        <v>84</v>
      </c>
      <c r="BO19" s="10">
        <f t="shared" si="57"/>
        <v>168</v>
      </c>
      <c r="BP19" s="10">
        <f t="shared" si="57"/>
        <v>84</v>
      </c>
      <c r="BQ19" s="10">
        <f t="shared" si="57"/>
        <v>84</v>
      </c>
      <c r="BR19" s="10">
        <f t="shared" si="57"/>
        <v>84</v>
      </c>
      <c r="BS19" s="22">
        <f t="shared" ref="BS19:CX19" si="58">SUM(BS14,BS16)</f>
        <v>84</v>
      </c>
      <c r="BT19" s="22">
        <f t="shared" si="58"/>
        <v>84</v>
      </c>
      <c r="BU19" s="22">
        <f t="shared" si="58"/>
        <v>84</v>
      </c>
      <c r="BV19" s="22">
        <f t="shared" si="58"/>
        <v>84</v>
      </c>
      <c r="BW19" s="22">
        <f t="shared" si="58"/>
        <v>84</v>
      </c>
      <c r="BX19" s="22">
        <f t="shared" si="58"/>
        <v>84</v>
      </c>
      <c r="BY19" s="22">
        <f t="shared" si="58"/>
        <v>42</v>
      </c>
      <c r="BZ19" s="22">
        <f t="shared" si="58"/>
        <v>0</v>
      </c>
      <c r="CA19" s="22">
        <f t="shared" si="58"/>
        <v>0</v>
      </c>
      <c r="CB19" s="22">
        <f t="shared" si="58"/>
        <v>42</v>
      </c>
      <c r="CC19" s="22">
        <f t="shared" si="58"/>
        <v>0</v>
      </c>
      <c r="CD19" s="22">
        <f t="shared" si="58"/>
        <v>84</v>
      </c>
      <c r="CE19" s="22">
        <f t="shared" si="58"/>
        <v>84</v>
      </c>
      <c r="CF19" s="22">
        <f t="shared" si="58"/>
        <v>84</v>
      </c>
      <c r="CG19" s="22">
        <f t="shared" si="58"/>
        <v>168</v>
      </c>
      <c r="CH19" s="22">
        <f t="shared" si="58"/>
        <v>168</v>
      </c>
      <c r="CI19" s="22">
        <f t="shared" si="58"/>
        <v>168</v>
      </c>
      <c r="CJ19" s="22">
        <f t="shared" si="58"/>
        <v>168</v>
      </c>
      <c r="CK19" s="22">
        <f t="shared" si="58"/>
        <v>168</v>
      </c>
      <c r="CL19" s="22">
        <f t="shared" si="58"/>
        <v>168</v>
      </c>
      <c r="CM19" s="22">
        <f t="shared" si="58"/>
        <v>168</v>
      </c>
      <c r="CN19" s="22">
        <f t="shared" si="58"/>
        <v>84</v>
      </c>
      <c r="CO19" s="22">
        <f t="shared" si="58"/>
        <v>84</v>
      </c>
      <c r="CP19" s="22">
        <f t="shared" si="58"/>
        <v>84</v>
      </c>
      <c r="CQ19" s="22">
        <f t="shared" si="58"/>
        <v>84</v>
      </c>
      <c r="CR19" s="22">
        <f t="shared" si="58"/>
        <v>168</v>
      </c>
      <c r="CS19" s="22">
        <f t="shared" si="58"/>
        <v>168</v>
      </c>
      <c r="CT19" s="22">
        <f t="shared" si="58"/>
        <v>168</v>
      </c>
      <c r="CU19" s="22">
        <f t="shared" si="58"/>
        <v>168</v>
      </c>
      <c r="CV19" s="22">
        <f t="shared" si="58"/>
        <v>168</v>
      </c>
      <c r="CW19" s="22">
        <f t="shared" si="58"/>
        <v>168</v>
      </c>
      <c r="CX19" s="22">
        <f t="shared" si="58"/>
        <v>84</v>
      </c>
      <c r="CY19" s="22">
        <f t="shared" ref="CY19:ED19" si="59">SUM(CY14,CY16)</f>
        <v>0</v>
      </c>
      <c r="CZ19" s="22">
        <f t="shared" si="59"/>
        <v>84</v>
      </c>
      <c r="DA19" s="22">
        <f t="shared" si="59"/>
        <v>84</v>
      </c>
      <c r="DB19" s="22">
        <f t="shared" si="59"/>
        <v>84</v>
      </c>
      <c r="DC19" s="22">
        <f t="shared" si="59"/>
        <v>84</v>
      </c>
      <c r="DD19" s="22">
        <f t="shared" si="59"/>
        <v>0</v>
      </c>
      <c r="DE19" s="22">
        <f t="shared" si="59"/>
        <v>84</v>
      </c>
      <c r="DF19" s="22">
        <f t="shared" si="59"/>
        <v>84</v>
      </c>
      <c r="DG19" s="22">
        <f t="shared" si="59"/>
        <v>84</v>
      </c>
      <c r="DH19" s="22">
        <f t="shared" si="59"/>
        <v>84</v>
      </c>
      <c r="DI19" s="22">
        <f t="shared" si="59"/>
        <v>0</v>
      </c>
      <c r="DJ19" s="22">
        <f t="shared" si="59"/>
        <v>0</v>
      </c>
      <c r="DK19" s="22">
        <f t="shared" si="59"/>
        <v>84</v>
      </c>
      <c r="DL19" s="22">
        <f t="shared" si="59"/>
        <v>84</v>
      </c>
      <c r="DM19" s="22">
        <f t="shared" si="59"/>
        <v>0</v>
      </c>
      <c r="DN19" s="22">
        <f t="shared" si="59"/>
        <v>0</v>
      </c>
      <c r="DO19" s="22">
        <f t="shared" si="59"/>
        <v>0</v>
      </c>
      <c r="DP19" s="22">
        <f t="shared" si="59"/>
        <v>0</v>
      </c>
      <c r="DQ19" s="22">
        <f t="shared" si="59"/>
        <v>0</v>
      </c>
      <c r="DR19" s="22">
        <f t="shared" si="59"/>
        <v>0</v>
      </c>
      <c r="DS19" s="22">
        <f t="shared" si="59"/>
        <v>0</v>
      </c>
      <c r="DT19" s="22">
        <f t="shared" si="59"/>
        <v>0</v>
      </c>
      <c r="DU19" s="22">
        <f t="shared" si="59"/>
        <v>0</v>
      </c>
      <c r="DV19" s="22">
        <f t="shared" si="59"/>
        <v>0</v>
      </c>
      <c r="DW19" s="22">
        <f t="shared" si="59"/>
        <v>0</v>
      </c>
      <c r="DX19" s="22">
        <f t="shared" si="59"/>
        <v>0</v>
      </c>
      <c r="DY19" s="22">
        <f t="shared" si="59"/>
        <v>0</v>
      </c>
      <c r="DZ19" s="22">
        <f t="shared" si="59"/>
        <v>0</v>
      </c>
      <c r="EA19" s="22">
        <f t="shared" si="59"/>
        <v>0</v>
      </c>
      <c r="EB19" s="22">
        <f t="shared" si="59"/>
        <v>0</v>
      </c>
      <c r="EC19" s="22">
        <f t="shared" si="59"/>
        <v>0</v>
      </c>
      <c r="ED19" s="22">
        <f t="shared" si="59"/>
        <v>0</v>
      </c>
      <c r="EE19" s="22">
        <f t="shared" ref="EE19:EL19" si="60">SUM(EE14,EE16)</f>
        <v>0</v>
      </c>
      <c r="EF19" s="22">
        <f t="shared" si="60"/>
        <v>0</v>
      </c>
      <c r="EG19" s="22">
        <f t="shared" si="60"/>
        <v>0</v>
      </c>
      <c r="EH19" s="22">
        <f t="shared" si="60"/>
        <v>0</v>
      </c>
      <c r="EI19" s="22">
        <f t="shared" si="60"/>
        <v>0</v>
      </c>
      <c r="EJ19" s="22">
        <f t="shared" si="60"/>
        <v>0</v>
      </c>
      <c r="EK19" s="22">
        <f t="shared" si="60"/>
        <v>0</v>
      </c>
      <c r="EL19" s="22">
        <f t="shared" si="60"/>
        <v>0</v>
      </c>
      <c r="EM19" s="22">
        <f>SUM(EM14,EM16,EM18)</f>
        <v>84</v>
      </c>
      <c r="EN19" s="22">
        <f t="shared" ref="EN19:EU19" si="61">SUM(EN14,EN16,EN18)</f>
        <v>84</v>
      </c>
      <c r="EO19" s="22">
        <f t="shared" si="61"/>
        <v>84</v>
      </c>
      <c r="EP19" s="22">
        <f t="shared" si="61"/>
        <v>84</v>
      </c>
      <c r="EQ19" s="22">
        <f t="shared" si="61"/>
        <v>0</v>
      </c>
      <c r="ER19" s="22">
        <f t="shared" si="61"/>
        <v>42</v>
      </c>
      <c r="ES19" s="22">
        <f t="shared" si="61"/>
        <v>0</v>
      </c>
      <c r="ET19" s="22">
        <f t="shared" si="61"/>
        <v>0</v>
      </c>
      <c r="EU19" s="22">
        <f t="shared" si="61"/>
        <v>0</v>
      </c>
      <c r="EV19" s="22">
        <f t="shared" ref="EV19:FF19" si="62">SUM(EV14,EV16,EV18)</f>
        <v>0</v>
      </c>
      <c r="EW19" s="22">
        <f t="shared" si="62"/>
        <v>0</v>
      </c>
      <c r="EX19" s="22">
        <f t="shared" si="62"/>
        <v>0</v>
      </c>
      <c r="EY19" s="22">
        <f t="shared" si="62"/>
        <v>0</v>
      </c>
      <c r="EZ19" s="22">
        <f t="shared" si="62"/>
        <v>0</v>
      </c>
      <c r="FA19" s="22">
        <f t="shared" si="62"/>
        <v>0</v>
      </c>
      <c r="FB19" s="22">
        <f t="shared" si="62"/>
        <v>0</v>
      </c>
      <c r="FC19" s="22">
        <f t="shared" si="62"/>
        <v>0</v>
      </c>
      <c r="FD19" s="22">
        <f t="shared" si="62"/>
        <v>0</v>
      </c>
      <c r="FE19" s="22">
        <f t="shared" si="62"/>
        <v>0</v>
      </c>
      <c r="FF19" s="22">
        <f t="shared" si="62"/>
        <v>0</v>
      </c>
      <c r="FG19" s="22">
        <f t="shared" ref="FG19:FP19" si="63">SUM(FG14,FG16,FG18)</f>
        <v>0</v>
      </c>
      <c r="FH19" s="22">
        <f t="shared" si="63"/>
        <v>0</v>
      </c>
      <c r="FI19" s="22">
        <f t="shared" si="63"/>
        <v>0</v>
      </c>
      <c r="FJ19" s="22">
        <f t="shared" si="63"/>
        <v>0</v>
      </c>
      <c r="FK19" s="22">
        <f t="shared" si="63"/>
        <v>0</v>
      </c>
      <c r="FL19" s="22">
        <f t="shared" si="63"/>
        <v>0</v>
      </c>
      <c r="FM19" s="22">
        <f t="shared" si="63"/>
        <v>0</v>
      </c>
      <c r="FN19" s="22">
        <f t="shared" si="63"/>
        <v>0</v>
      </c>
      <c r="FO19" s="22">
        <f t="shared" si="63"/>
        <v>0</v>
      </c>
      <c r="FP19" s="22">
        <f t="shared" si="63"/>
        <v>0</v>
      </c>
      <c r="FQ19" s="22">
        <f t="shared" ref="FQ19:FY19" si="64">SUM(FQ14,FQ16,FQ18)</f>
        <v>0</v>
      </c>
      <c r="FR19" s="22">
        <f t="shared" si="64"/>
        <v>0</v>
      </c>
      <c r="FS19" s="22">
        <f t="shared" si="64"/>
        <v>0</v>
      </c>
      <c r="FT19" s="22">
        <f t="shared" si="64"/>
        <v>0</v>
      </c>
      <c r="FU19" s="22">
        <f t="shared" si="64"/>
        <v>0</v>
      </c>
      <c r="FV19" s="22">
        <f t="shared" si="64"/>
        <v>0</v>
      </c>
      <c r="FW19" s="22">
        <f t="shared" si="64"/>
        <v>0</v>
      </c>
      <c r="FX19" s="22">
        <f t="shared" si="64"/>
        <v>0</v>
      </c>
      <c r="FY19" s="22">
        <f t="shared" si="64"/>
        <v>0</v>
      </c>
      <c r="FZ19" s="22">
        <f t="shared" ref="FZ19:GJ19" si="65">SUM(FZ14,FZ16,FZ18)</f>
        <v>0</v>
      </c>
      <c r="GA19" s="22">
        <f t="shared" si="65"/>
        <v>0</v>
      </c>
      <c r="GB19" s="22">
        <f t="shared" si="65"/>
        <v>0</v>
      </c>
      <c r="GC19" s="22">
        <f t="shared" si="65"/>
        <v>0</v>
      </c>
      <c r="GD19" s="22">
        <f t="shared" si="65"/>
        <v>0</v>
      </c>
      <c r="GE19" s="22">
        <f t="shared" si="65"/>
        <v>0</v>
      </c>
      <c r="GF19" s="22">
        <f t="shared" si="65"/>
        <v>0</v>
      </c>
      <c r="GG19" s="22">
        <f t="shared" si="65"/>
        <v>0</v>
      </c>
      <c r="GH19" s="22">
        <f t="shared" si="65"/>
        <v>0</v>
      </c>
      <c r="GI19" s="22">
        <f t="shared" si="65"/>
        <v>0</v>
      </c>
      <c r="GJ19" s="22">
        <f t="shared" si="65"/>
        <v>0</v>
      </c>
      <c r="GK19" s="22">
        <f t="shared" ref="GK19:GT19" si="66">SUM(GK14,GK16,GK18)</f>
        <v>0</v>
      </c>
      <c r="GL19" s="22">
        <f t="shared" si="66"/>
        <v>0</v>
      </c>
      <c r="GM19" s="22">
        <f t="shared" si="66"/>
        <v>0</v>
      </c>
      <c r="GN19" s="22">
        <f t="shared" si="66"/>
        <v>0</v>
      </c>
      <c r="GO19" s="22">
        <f t="shared" si="66"/>
        <v>0</v>
      </c>
      <c r="GP19" s="22">
        <f t="shared" si="66"/>
        <v>0</v>
      </c>
      <c r="GQ19" s="22">
        <f t="shared" si="66"/>
        <v>0</v>
      </c>
      <c r="GR19" s="22">
        <f t="shared" si="66"/>
        <v>0</v>
      </c>
      <c r="GS19" s="22">
        <f t="shared" si="66"/>
        <v>0</v>
      </c>
      <c r="GT19" s="22">
        <f t="shared" si="66"/>
        <v>0</v>
      </c>
    </row>
    <row r="20" spans="1:202" s="1" customFormat="1" x14ac:dyDescent="0.35">
      <c r="A20" s="1" t="s">
        <v>79</v>
      </c>
      <c r="D20" s="1">
        <v>4</v>
      </c>
      <c r="E20" s="1">
        <v>4</v>
      </c>
      <c r="F20" s="1">
        <v>4</v>
      </c>
      <c r="H20" s="1">
        <v>1</v>
      </c>
      <c r="J20" s="1">
        <v>2</v>
      </c>
      <c r="K20" s="1">
        <v>2</v>
      </c>
      <c r="L20" s="1">
        <v>2</v>
      </c>
      <c r="M20" s="1">
        <v>2</v>
      </c>
      <c r="N20" s="1">
        <v>4</v>
      </c>
      <c r="O20" s="1">
        <v>4</v>
      </c>
      <c r="P20" s="1">
        <v>4</v>
      </c>
      <c r="Q20" s="1">
        <v>4</v>
      </c>
      <c r="R20" s="1">
        <v>4</v>
      </c>
      <c r="S20" s="1">
        <v>4</v>
      </c>
      <c r="T20" s="1">
        <v>4</v>
      </c>
      <c r="U20" s="1">
        <v>4</v>
      </c>
      <c r="V20" s="1">
        <v>2</v>
      </c>
      <c r="W20" s="1">
        <v>4</v>
      </c>
      <c r="X20" s="1">
        <v>4</v>
      </c>
      <c r="AF20" s="24"/>
      <c r="AL20" s="1">
        <v>2</v>
      </c>
      <c r="AM20" s="1">
        <v>4</v>
      </c>
      <c r="AN20" s="1">
        <v>2</v>
      </c>
      <c r="AO20" s="1">
        <v>2</v>
      </c>
      <c r="AP20" s="1">
        <v>4</v>
      </c>
      <c r="AQ20" s="1">
        <v>2</v>
      </c>
      <c r="AR20" s="1">
        <v>3</v>
      </c>
      <c r="AS20" s="1">
        <v>4</v>
      </c>
      <c r="AT20" s="1">
        <v>4</v>
      </c>
      <c r="AU20" s="1">
        <v>4</v>
      </c>
      <c r="AV20" s="1">
        <v>4</v>
      </c>
      <c r="BI20" s="1">
        <v>2</v>
      </c>
      <c r="BJ20" s="1">
        <v>2</v>
      </c>
      <c r="BK20" s="1">
        <v>2</v>
      </c>
      <c r="BL20" s="1">
        <v>2</v>
      </c>
      <c r="BM20" s="1">
        <v>2</v>
      </c>
      <c r="BN20" s="1">
        <v>2</v>
      </c>
      <c r="BS20" s="14"/>
      <c r="BT20" s="14"/>
      <c r="BU20" s="14"/>
      <c r="BV20" s="14"/>
      <c r="BW20" s="14">
        <v>2</v>
      </c>
      <c r="BX20" s="14"/>
      <c r="BY20" s="14">
        <v>3</v>
      </c>
      <c r="BZ20" s="14">
        <v>4</v>
      </c>
      <c r="CA20" s="14">
        <v>4</v>
      </c>
      <c r="CB20" s="14">
        <v>3</v>
      </c>
      <c r="CC20" s="14">
        <v>4</v>
      </c>
      <c r="CD20" s="12">
        <v>2</v>
      </c>
      <c r="CE20" s="12">
        <v>2</v>
      </c>
      <c r="CF20" s="14"/>
      <c r="CG20" s="14"/>
      <c r="CH20" s="14"/>
      <c r="CI20" s="14"/>
      <c r="CJ20" s="14"/>
      <c r="CK20" s="14"/>
      <c r="CL20" s="14"/>
      <c r="CM20" s="14"/>
      <c r="CN20" s="14">
        <v>1</v>
      </c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>
        <v>2</v>
      </c>
      <c r="CZ20" s="14"/>
      <c r="DA20" s="14"/>
      <c r="DB20" s="14"/>
      <c r="DC20" s="14"/>
      <c r="DD20" s="14">
        <v>2</v>
      </c>
      <c r="DE20" s="14"/>
      <c r="DF20" s="14"/>
      <c r="DG20" s="14"/>
      <c r="DH20" s="14"/>
      <c r="DI20" s="14">
        <v>2</v>
      </c>
      <c r="DJ20" s="14">
        <v>2</v>
      </c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>
        <v>2</v>
      </c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</row>
    <row r="21" spans="1:202" s="20" customFormat="1" x14ac:dyDescent="0.35">
      <c r="A21" s="20" t="s">
        <v>41</v>
      </c>
      <c r="AF21" s="24"/>
      <c r="BS21" s="21">
        <f>BS20*42</f>
        <v>0</v>
      </c>
      <c r="BT21" s="21">
        <f t="shared" ref="BT21:CC21" si="67">BT20*42</f>
        <v>0</v>
      </c>
      <c r="BU21" s="21">
        <f t="shared" si="67"/>
        <v>0</v>
      </c>
      <c r="BV21" s="21">
        <f t="shared" si="67"/>
        <v>0</v>
      </c>
      <c r="BW21" s="21">
        <f t="shared" si="67"/>
        <v>84</v>
      </c>
      <c r="BX21" s="21">
        <f t="shared" si="67"/>
        <v>0</v>
      </c>
      <c r="BY21" s="21">
        <f t="shared" si="67"/>
        <v>126</v>
      </c>
      <c r="BZ21" s="21">
        <f t="shared" si="67"/>
        <v>168</v>
      </c>
      <c r="CA21" s="21">
        <f t="shared" si="67"/>
        <v>168</v>
      </c>
      <c r="CB21" s="21">
        <f t="shared" si="67"/>
        <v>126</v>
      </c>
      <c r="CC21" s="21">
        <f t="shared" si="67"/>
        <v>168</v>
      </c>
      <c r="CD21" s="21">
        <f t="shared" ref="CD21" si="68">CD20*42</f>
        <v>84</v>
      </c>
      <c r="CE21" s="21">
        <f t="shared" ref="CE21" si="69">CE20*42</f>
        <v>84</v>
      </c>
      <c r="CF21" s="21">
        <f t="shared" ref="CF21" si="70">CF20*42</f>
        <v>0</v>
      </c>
      <c r="CG21" s="21">
        <f t="shared" ref="CG21" si="71">CG20*42</f>
        <v>0</v>
      </c>
      <c r="CH21" s="21">
        <f t="shared" ref="CH21" si="72">CH20*42</f>
        <v>0</v>
      </c>
      <c r="CI21" s="21">
        <f t="shared" ref="CI21" si="73">CI20*42</f>
        <v>0</v>
      </c>
      <c r="CJ21" s="21">
        <f t="shared" ref="CJ21" si="74">CJ20*42</f>
        <v>0</v>
      </c>
      <c r="CK21" s="21">
        <f t="shared" ref="CK21:CQ21" si="75">CK20*42</f>
        <v>0</v>
      </c>
      <c r="CL21" s="21">
        <f t="shared" si="75"/>
        <v>0</v>
      </c>
      <c r="CM21" s="21">
        <f t="shared" si="75"/>
        <v>0</v>
      </c>
      <c r="CN21" s="21">
        <f t="shared" si="75"/>
        <v>42</v>
      </c>
      <c r="CO21" s="21">
        <f t="shared" si="75"/>
        <v>0</v>
      </c>
      <c r="CP21" s="21">
        <f t="shared" si="75"/>
        <v>0</v>
      </c>
      <c r="CQ21" s="21">
        <f t="shared" si="75"/>
        <v>0</v>
      </c>
      <c r="CR21" s="21">
        <f t="shared" ref="CR21:CZ23" si="76">CR20*42</f>
        <v>0</v>
      </c>
      <c r="CS21" s="21">
        <f t="shared" si="76"/>
        <v>0</v>
      </c>
      <c r="CT21" s="21">
        <f t="shared" si="76"/>
        <v>0</v>
      </c>
      <c r="CU21" s="21">
        <f t="shared" si="76"/>
        <v>0</v>
      </c>
      <c r="CV21" s="21">
        <f t="shared" si="76"/>
        <v>0</v>
      </c>
      <c r="CW21" s="21">
        <f t="shared" si="76"/>
        <v>0</v>
      </c>
      <c r="CX21" s="21">
        <f t="shared" si="76"/>
        <v>0</v>
      </c>
      <c r="CY21" s="21">
        <f t="shared" si="76"/>
        <v>84</v>
      </c>
      <c r="CZ21" s="21">
        <f t="shared" si="76"/>
        <v>0</v>
      </c>
      <c r="DA21" s="21">
        <f t="shared" ref="DA21:DE21" si="77">DA20*42</f>
        <v>0</v>
      </c>
      <c r="DB21" s="21">
        <f t="shared" si="77"/>
        <v>0</v>
      </c>
      <c r="DC21" s="21">
        <f t="shared" si="77"/>
        <v>0</v>
      </c>
      <c r="DD21" s="21">
        <f t="shared" si="77"/>
        <v>84</v>
      </c>
      <c r="DE21" s="21">
        <f t="shared" si="77"/>
        <v>0</v>
      </c>
      <c r="DF21" s="21">
        <f t="shared" ref="DF21:DJ21" si="78">DF20*42</f>
        <v>0</v>
      </c>
      <c r="DG21" s="21">
        <f t="shared" si="78"/>
        <v>0</v>
      </c>
      <c r="DH21" s="21">
        <f t="shared" si="78"/>
        <v>0</v>
      </c>
      <c r="DI21" s="21">
        <f t="shared" si="78"/>
        <v>84</v>
      </c>
      <c r="DJ21" s="21">
        <f t="shared" si="78"/>
        <v>84</v>
      </c>
      <c r="DK21" s="21">
        <f t="shared" ref="DK21:DN21" si="79">DK20*42</f>
        <v>0</v>
      </c>
      <c r="DL21" s="21">
        <f t="shared" si="79"/>
        <v>0</v>
      </c>
      <c r="DM21" s="21">
        <f t="shared" si="79"/>
        <v>0</v>
      </c>
      <c r="DN21" s="21">
        <f t="shared" si="79"/>
        <v>0</v>
      </c>
      <c r="DO21" s="21">
        <f t="shared" ref="DO21:DT21" si="80">DO20*42</f>
        <v>0</v>
      </c>
      <c r="DP21" s="21">
        <f t="shared" si="80"/>
        <v>0</v>
      </c>
      <c r="DQ21" s="21">
        <f t="shared" si="80"/>
        <v>0</v>
      </c>
      <c r="DR21" s="21">
        <f t="shared" si="80"/>
        <v>0</v>
      </c>
      <c r="DS21" s="21">
        <f t="shared" si="80"/>
        <v>0</v>
      </c>
      <c r="DT21" s="21">
        <f t="shared" si="80"/>
        <v>0</v>
      </c>
      <c r="DU21" s="21">
        <f t="shared" ref="DU21:ED21" si="81">DU20*42</f>
        <v>0</v>
      </c>
      <c r="DV21" s="21">
        <f t="shared" si="81"/>
        <v>0</v>
      </c>
      <c r="DW21" s="21">
        <f t="shared" si="81"/>
        <v>0</v>
      </c>
      <c r="DX21" s="21">
        <f t="shared" si="81"/>
        <v>0</v>
      </c>
      <c r="DY21" s="21">
        <f t="shared" si="81"/>
        <v>0</v>
      </c>
      <c r="DZ21" s="21">
        <f t="shared" si="81"/>
        <v>0</v>
      </c>
      <c r="EA21" s="21">
        <f t="shared" si="81"/>
        <v>0</v>
      </c>
      <c r="EB21" s="21">
        <f t="shared" si="81"/>
        <v>0</v>
      </c>
      <c r="EC21" s="21">
        <f t="shared" si="81"/>
        <v>0</v>
      </c>
      <c r="ED21" s="21">
        <f t="shared" si="81"/>
        <v>0</v>
      </c>
      <c r="EE21" s="21">
        <f t="shared" ref="EE21:EG21" si="82">EE20*42</f>
        <v>0</v>
      </c>
      <c r="EF21" s="21">
        <f t="shared" si="82"/>
        <v>0</v>
      </c>
      <c r="EG21" s="21">
        <f t="shared" si="82"/>
        <v>0</v>
      </c>
      <c r="EH21" s="21">
        <f t="shared" ref="EH21:EO21" si="83">EH20*42</f>
        <v>0</v>
      </c>
      <c r="EI21" s="21">
        <f t="shared" si="83"/>
        <v>0</v>
      </c>
      <c r="EJ21" s="21">
        <f t="shared" si="83"/>
        <v>0</v>
      </c>
      <c r="EK21" s="21">
        <f t="shared" si="83"/>
        <v>0</v>
      </c>
      <c r="EL21" s="21">
        <f t="shared" si="83"/>
        <v>0</v>
      </c>
      <c r="EM21" s="21">
        <f t="shared" si="83"/>
        <v>0</v>
      </c>
      <c r="EN21" s="21">
        <f t="shared" si="83"/>
        <v>0</v>
      </c>
      <c r="EO21" s="21">
        <f t="shared" si="83"/>
        <v>0</v>
      </c>
      <c r="EP21" s="21">
        <f t="shared" ref="EP21:EU21" si="84">EP20*42</f>
        <v>0</v>
      </c>
      <c r="EQ21" s="21">
        <f t="shared" si="84"/>
        <v>0</v>
      </c>
      <c r="ER21" s="21">
        <f t="shared" si="84"/>
        <v>0</v>
      </c>
      <c r="ES21" s="21">
        <f t="shared" si="84"/>
        <v>0</v>
      </c>
      <c r="ET21" s="21">
        <f t="shared" si="84"/>
        <v>0</v>
      </c>
      <c r="EU21" s="21">
        <f t="shared" si="84"/>
        <v>84</v>
      </c>
      <c r="EV21" s="21">
        <f t="shared" ref="EV21:FF21" si="85">EV20*42</f>
        <v>0</v>
      </c>
      <c r="EW21" s="21">
        <f t="shared" si="85"/>
        <v>0</v>
      </c>
      <c r="EX21" s="21">
        <f t="shared" si="85"/>
        <v>0</v>
      </c>
      <c r="EY21" s="21">
        <f t="shared" si="85"/>
        <v>0</v>
      </c>
      <c r="EZ21" s="21">
        <f t="shared" si="85"/>
        <v>0</v>
      </c>
      <c r="FA21" s="21">
        <f t="shared" si="85"/>
        <v>0</v>
      </c>
      <c r="FB21" s="21">
        <f t="shared" si="85"/>
        <v>0</v>
      </c>
      <c r="FC21" s="21">
        <f t="shared" si="85"/>
        <v>0</v>
      </c>
      <c r="FD21" s="21">
        <f t="shared" si="85"/>
        <v>0</v>
      </c>
      <c r="FE21" s="21">
        <f t="shared" si="85"/>
        <v>0</v>
      </c>
      <c r="FF21" s="21">
        <f t="shared" si="85"/>
        <v>0</v>
      </c>
      <c r="FG21" s="21">
        <f t="shared" ref="FG21:FP21" si="86">FG20*42</f>
        <v>0</v>
      </c>
      <c r="FH21" s="21">
        <f t="shared" si="86"/>
        <v>0</v>
      </c>
      <c r="FI21" s="21">
        <f t="shared" si="86"/>
        <v>0</v>
      </c>
      <c r="FJ21" s="21">
        <f t="shared" si="86"/>
        <v>0</v>
      </c>
      <c r="FK21" s="21">
        <f t="shared" si="86"/>
        <v>0</v>
      </c>
      <c r="FL21" s="21">
        <f t="shared" si="86"/>
        <v>0</v>
      </c>
      <c r="FM21" s="21">
        <f t="shared" si="86"/>
        <v>0</v>
      </c>
      <c r="FN21" s="21">
        <f t="shared" si="86"/>
        <v>0</v>
      </c>
      <c r="FO21" s="21">
        <f t="shared" si="86"/>
        <v>0</v>
      </c>
      <c r="FP21" s="21">
        <f t="shared" si="86"/>
        <v>0</v>
      </c>
      <c r="FQ21" s="21">
        <f t="shared" ref="FQ21:FY21" si="87">FQ20*42</f>
        <v>0</v>
      </c>
      <c r="FR21" s="21">
        <f t="shared" si="87"/>
        <v>0</v>
      </c>
      <c r="FS21" s="21">
        <f t="shared" si="87"/>
        <v>0</v>
      </c>
      <c r="FT21" s="21">
        <f t="shared" si="87"/>
        <v>0</v>
      </c>
      <c r="FU21" s="21">
        <f t="shared" si="87"/>
        <v>0</v>
      </c>
      <c r="FV21" s="21">
        <f t="shared" si="87"/>
        <v>0</v>
      </c>
      <c r="FW21" s="21">
        <f t="shared" si="87"/>
        <v>0</v>
      </c>
      <c r="FX21" s="21">
        <f t="shared" si="87"/>
        <v>0</v>
      </c>
      <c r="FY21" s="21">
        <f t="shared" si="87"/>
        <v>0</v>
      </c>
      <c r="FZ21" s="21">
        <f t="shared" ref="FZ21:GJ21" si="88">FZ20*42</f>
        <v>0</v>
      </c>
      <c r="GA21" s="21">
        <f t="shared" si="88"/>
        <v>0</v>
      </c>
      <c r="GB21" s="21">
        <f t="shared" si="88"/>
        <v>0</v>
      </c>
      <c r="GC21" s="21">
        <f t="shared" si="88"/>
        <v>0</v>
      </c>
      <c r="GD21" s="21">
        <f t="shared" si="88"/>
        <v>0</v>
      </c>
      <c r="GE21" s="21">
        <f t="shared" si="88"/>
        <v>0</v>
      </c>
      <c r="GF21" s="21">
        <f t="shared" si="88"/>
        <v>0</v>
      </c>
      <c r="GG21" s="21">
        <f t="shared" si="88"/>
        <v>0</v>
      </c>
      <c r="GH21" s="21">
        <f t="shared" si="88"/>
        <v>0</v>
      </c>
      <c r="GI21" s="21">
        <f t="shared" si="88"/>
        <v>0</v>
      </c>
      <c r="GJ21" s="21">
        <f t="shared" si="88"/>
        <v>0</v>
      </c>
      <c r="GK21" s="21">
        <f t="shared" ref="GK21:GT21" si="89">GK20*42</f>
        <v>0</v>
      </c>
      <c r="GL21" s="21">
        <f t="shared" si="89"/>
        <v>0</v>
      </c>
      <c r="GM21" s="21">
        <f t="shared" si="89"/>
        <v>0</v>
      </c>
      <c r="GN21" s="21">
        <f t="shared" si="89"/>
        <v>0</v>
      </c>
      <c r="GO21" s="21">
        <f t="shared" si="89"/>
        <v>0</v>
      </c>
      <c r="GP21" s="21">
        <f t="shared" si="89"/>
        <v>0</v>
      </c>
      <c r="GQ21" s="21">
        <f t="shared" si="89"/>
        <v>0</v>
      </c>
      <c r="GR21" s="21">
        <f t="shared" si="89"/>
        <v>0</v>
      </c>
      <c r="GS21" s="21">
        <f t="shared" si="89"/>
        <v>0</v>
      </c>
      <c r="GT21" s="21">
        <f t="shared" si="89"/>
        <v>0</v>
      </c>
    </row>
    <row r="22" spans="1:202" s="1" customFormat="1" x14ac:dyDescent="0.35">
      <c r="A22" s="1" t="s">
        <v>80</v>
      </c>
      <c r="AF22" s="2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2"/>
      <c r="CE22" s="12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</row>
    <row r="23" spans="1:202" s="20" customFormat="1" x14ac:dyDescent="0.35">
      <c r="A23" s="20" t="s">
        <v>41</v>
      </c>
      <c r="AF23" s="24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>
        <f t="shared" si="76"/>
        <v>0</v>
      </c>
      <c r="CS23" s="21">
        <f t="shared" si="76"/>
        <v>0</v>
      </c>
      <c r="CT23" s="21">
        <f t="shared" si="76"/>
        <v>0</v>
      </c>
      <c r="CU23" s="21">
        <f t="shared" si="76"/>
        <v>0</v>
      </c>
      <c r="CV23" s="21">
        <f t="shared" si="76"/>
        <v>0</v>
      </c>
      <c r="CW23" s="21">
        <f t="shared" si="76"/>
        <v>0</v>
      </c>
      <c r="CX23" s="21">
        <f t="shared" si="76"/>
        <v>0</v>
      </c>
      <c r="CY23" s="21">
        <f t="shared" si="76"/>
        <v>0</v>
      </c>
      <c r="CZ23" s="21">
        <f t="shared" si="76"/>
        <v>0</v>
      </c>
      <c r="DA23" s="21">
        <f t="shared" ref="DA23:DE23" si="90">DA22*42</f>
        <v>0</v>
      </c>
      <c r="DB23" s="21">
        <f t="shared" si="90"/>
        <v>0</v>
      </c>
      <c r="DC23" s="21">
        <f t="shared" si="90"/>
        <v>0</v>
      </c>
      <c r="DD23" s="21">
        <f t="shared" si="90"/>
        <v>0</v>
      </c>
      <c r="DE23" s="21">
        <f t="shared" si="90"/>
        <v>0</v>
      </c>
      <c r="DF23" s="21">
        <f t="shared" ref="DF23:DJ23" si="91">DF22*42</f>
        <v>0</v>
      </c>
      <c r="DG23" s="21">
        <f t="shared" si="91"/>
        <v>0</v>
      </c>
      <c r="DH23" s="21">
        <f t="shared" si="91"/>
        <v>0</v>
      </c>
      <c r="DI23" s="21">
        <f t="shared" si="91"/>
        <v>0</v>
      </c>
      <c r="DJ23" s="21">
        <f t="shared" si="91"/>
        <v>0</v>
      </c>
      <c r="DK23" s="21">
        <f t="shared" ref="DK23:DN23" si="92">DK22*42</f>
        <v>0</v>
      </c>
      <c r="DL23" s="21">
        <f t="shared" si="92"/>
        <v>0</v>
      </c>
      <c r="DM23" s="21">
        <f t="shared" si="92"/>
        <v>0</v>
      </c>
      <c r="DN23" s="21">
        <f t="shared" si="92"/>
        <v>0</v>
      </c>
      <c r="DO23" s="21">
        <f t="shared" ref="DO23:DT23" si="93">DO22*42</f>
        <v>0</v>
      </c>
      <c r="DP23" s="21">
        <f t="shared" si="93"/>
        <v>0</v>
      </c>
      <c r="DQ23" s="21">
        <f t="shared" si="93"/>
        <v>0</v>
      </c>
      <c r="DR23" s="21">
        <f t="shared" si="93"/>
        <v>0</v>
      </c>
      <c r="DS23" s="21">
        <f t="shared" si="93"/>
        <v>0</v>
      </c>
      <c r="DT23" s="21">
        <f t="shared" si="93"/>
        <v>0</v>
      </c>
      <c r="DU23" s="21">
        <f t="shared" ref="DU23:ED23" si="94">DU22*42</f>
        <v>0</v>
      </c>
      <c r="DV23" s="21">
        <f t="shared" si="94"/>
        <v>0</v>
      </c>
      <c r="DW23" s="21">
        <f t="shared" si="94"/>
        <v>0</v>
      </c>
      <c r="DX23" s="21">
        <f t="shared" si="94"/>
        <v>0</v>
      </c>
      <c r="DY23" s="21">
        <f t="shared" si="94"/>
        <v>0</v>
      </c>
      <c r="DZ23" s="21">
        <f t="shared" si="94"/>
        <v>0</v>
      </c>
      <c r="EA23" s="21">
        <f t="shared" si="94"/>
        <v>0</v>
      </c>
      <c r="EB23" s="21">
        <f t="shared" si="94"/>
        <v>0</v>
      </c>
      <c r="EC23" s="21">
        <f t="shared" si="94"/>
        <v>0</v>
      </c>
      <c r="ED23" s="21">
        <f t="shared" si="94"/>
        <v>0</v>
      </c>
      <c r="EE23" s="21">
        <f t="shared" ref="EE23:EG23" si="95">EE22*42</f>
        <v>0</v>
      </c>
      <c r="EF23" s="21">
        <f t="shared" si="95"/>
        <v>0</v>
      </c>
      <c r="EG23" s="21">
        <f t="shared" si="95"/>
        <v>0</v>
      </c>
      <c r="EH23" s="21">
        <f t="shared" ref="EH23:EO23" si="96">EH22*42</f>
        <v>0</v>
      </c>
      <c r="EI23" s="21">
        <f t="shared" si="96"/>
        <v>0</v>
      </c>
      <c r="EJ23" s="21">
        <f t="shared" si="96"/>
        <v>0</v>
      </c>
      <c r="EK23" s="21">
        <f t="shared" si="96"/>
        <v>0</v>
      </c>
      <c r="EL23" s="21">
        <f t="shared" si="96"/>
        <v>0</v>
      </c>
      <c r="EM23" s="21">
        <f t="shared" si="96"/>
        <v>0</v>
      </c>
      <c r="EN23" s="21">
        <f t="shared" si="96"/>
        <v>0</v>
      </c>
      <c r="EO23" s="21">
        <f t="shared" si="96"/>
        <v>0</v>
      </c>
      <c r="EP23" s="21">
        <f t="shared" ref="EP23:EU23" si="97">EP22*42</f>
        <v>0</v>
      </c>
      <c r="EQ23" s="21">
        <f t="shared" si="97"/>
        <v>0</v>
      </c>
      <c r="ER23" s="21">
        <f t="shared" si="97"/>
        <v>0</v>
      </c>
      <c r="ES23" s="21">
        <f t="shared" si="97"/>
        <v>0</v>
      </c>
      <c r="ET23" s="21">
        <f t="shared" si="97"/>
        <v>0</v>
      </c>
      <c r="EU23" s="21">
        <f t="shared" si="97"/>
        <v>0</v>
      </c>
      <c r="EV23" s="21">
        <f t="shared" ref="EV23:FF23" si="98">EV22*42</f>
        <v>0</v>
      </c>
      <c r="EW23" s="21">
        <f t="shared" si="98"/>
        <v>0</v>
      </c>
      <c r="EX23" s="21">
        <f t="shared" si="98"/>
        <v>0</v>
      </c>
      <c r="EY23" s="21">
        <f t="shared" si="98"/>
        <v>0</v>
      </c>
      <c r="EZ23" s="21">
        <f t="shared" si="98"/>
        <v>0</v>
      </c>
      <c r="FA23" s="21">
        <f t="shared" si="98"/>
        <v>0</v>
      </c>
      <c r="FB23" s="21">
        <f t="shared" si="98"/>
        <v>0</v>
      </c>
      <c r="FC23" s="21">
        <f t="shared" si="98"/>
        <v>0</v>
      </c>
      <c r="FD23" s="21">
        <f t="shared" si="98"/>
        <v>0</v>
      </c>
      <c r="FE23" s="21">
        <f t="shared" si="98"/>
        <v>0</v>
      </c>
      <c r="FF23" s="21">
        <f t="shared" si="98"/>
        <v>0</v>
      </c>
      <c r="FG23" s="21">
        <f t="shared" ref="FG23:FP23" si="99">FG22*42</f>
        <v>0</v>
      </c>
      <c r="FH23" s="21">
        <f t="shared" si="99"/>
        <v>0</v>
      </c>
      <c r="FI23" s="21">
        <f t="shared" si="99"/>
        <v>0</v>
      </c>
      <c r="FJ23" s="21">
        <f t="shared" si="99"/>
        <v>0</v>
      </c>
      <c r="FK23" s="21">
        <f t="shared" si="99"/>
        <v>0</v>
      </c>
      <c r="FL23" s="21">
        <f t="shared" si="99"/>
        <v>0</v>
      </c>
      <c r="FM23" s="21">
        <f t="shared" si="99"/>
        <v>0</v>
      </c>
      <c r="FN23" s="21">
        <f t="shared" si="99"/>
        <v>0</v>
      </c>
      <c r="FO23" s="21">
        <f t="shared" si="99"/>
        <v>0</v>
      </c>
      <c r="FP23" s="21">
        <f t="shared" si="99"/>
        <v>0</v>
      </c>
      <c r="FQ23" s="21">
        <f t="shared" ref="FQ23:FY23" si="100">FQ22*42</f>
        <v>0</v>
      </c>
      <c r="FR23" s="21">
        <f t="shared" si="100"/>
        <v>0</v>
      </c>
      <c r="FS23" s="21">
        <f t="shared" si="100"/>
        <v>0</v>
      </c>
      <c r="FT23" s="21">
        <f t="shared" si="100"/>
        <v>0</v>
      </c>
      <c r="FU23" s="21">
        <f t="shared" si="100"/>
        <v>0</v>
      </c>
      <c r="FV23" s="21">
        <f t="shared" si="100"/>
        <v>0</v>
      </c>
      <c r="FW23" s="21">
        <f t="shared" si="100"/>
        <v>0</v>
      </c>
      <c r="FX23" s="21">
        <f t="shared" si="100"/>
        <v>0</v>
      </c>
      <c r="FY23" s="21">
        <f t="shared" si="100"/>
        <v>0</v>
      </c>
      <c r="FZ23" s="21">
        <f t="shared" ref="FZ23:GJ23" si="101">FZ22*42</f>
        <v>0</v>
      </c>
      <c r="GA23" s="21">
        <f t="shared" si="101"/>
        <v>0</v>
      </c>
      <c r="GB23" s="21">
        <f t="shared" si="101"/>
        <v>0</v>
      </c>
      <c r="GC23" s="21">
        <f t="shared" si="101"/>
        <v>0</v>
      </c>
      <c r="GD23" s="21">
        <f t="shared" si="101"/>
        <v>0</v>
      </c>
      <c r="GE23" s="21">
        <f t="shared" si="101"/>
        <v>0</v>
      </c>
      <c r="GF23" s="21">
        <f t="shared" si="101"/>
        <v>0</v>
      </c>
      <c r="GG23" s="21">
        <f t="shared" si="101"/>
        <v>0</v>
      </c>
      <c r="GH23" s="21">
        <f t="shared" si="101"/>
        <v>0</v>
      </c>
      <c r="GI23" s="21">
        <f t="shared" si="101"/>
        <v>0</v>
      </c>
      <c r="GJ23" s="21">
        <f t="shared" si="101"/>
        <v>0</v>
      </c>
      <c r="GK23" s="21">
        <f t="shared" ref="GK23:GT23" si="102">GK22*42</f>
        <v>0</v>
      </c>
      <c r="GL23" s="21">
        <f t="shared" si="102"/>
        <v>0</v>
      </c>
      <c r="GM23" s="21">
        <f t="shared" si="102"/>
        <v>0</v>
      </c>
      <c r="GN23" s="21">
        <f t="shared" si="102"/>
        <v>0</v>
      </c>
      <c r="GO23" s="21">
        <f t="shared" si="102"/>
        <v>0</v>
      </c>
      <c r="GP23" s="21">
        <f t="shared" si="102"/>
        <v>0</v>
      </c>
      <c r="GQ23" s="21">
        <f t="shared" si="102"/>
        <v>0</v>
      </c>
      <c r="GR23" s="21">
        <f t="shared" si="102"/>
        <v>0</v>
      </c>
      <c r="GS23" s="21">
        <f t="shared" si="102"/>
        <v>0</v>
      </c>
      <c r="GT23" s="21">
        <f t="shared" si="102"/>
        <v>0</v>
      </c>
    </row>
    <row r="24" spans="1:202" s="1" customFormat="1" x14ac:dyDescent="0.35">
      <c r="A24" s="1" t="s">
        <v>37</v>
      </c>
      <c r="R24" s="1">
        <v>0</v>
      </c>
      <c r="S24" s="1" t="s">
        <v>38</v>
      </c>
      <c r="V24" s="1">
        <v>2</v>
      </c>
      <c r="W24" s="1" t="s">
        <v>39</v>
      </c>
      <c r="AF24" s="24"/>
      <c r="BS24" s="14"/>
      <c r="BT24" s="14"/>
      <c r="BU24" s="14"/>
      <c r="BV24" s="14"/>
      <c r="BW24" s="14"/>
      <c r="BX24" s="14">
        <v>2</v>
      </c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>
        <v>2</v>
      </c>
      <c r="CP24" s="14">
        <v>2</v>
      </c>
      <c r="CQ24" s="14">
        <v>2</v>
      </c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>
        <v>2</v>
      </c>
      <c r="ER24" s="14"/>
      <c r="ES24" s="14">
        <v>2</v>
      </c>
      <c r="ET24" s="14">
        <v>2</v>
      </c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</row>
    <row r="25" spans="1:202" s="20" customFormat="1" x14ac:dyDescent="0.35">
      <c r="A25" s="20" t="s">
        <v>41</v>
      </c>
      <c r="D25" s="20">
        <f t="shared" ref="D25:AE25" si="103">SUM(D20:D24)</f>
        <v>4</v>
      </c>
      <c r="E25" s="20">
        <f t="shared" si="103"/>
        <v>4</v>
      </c>
      <c r="F25" s="20">
        <f t="shared" si="103"/>
        <v>4</v>
      </c>
      <c r="G25" s="20">
        <f t="shared" si="103"/>
        <v>0</v>
      </c>
      <c r="H25" s="20">
        <f t="shared" si="103"/>
        <v>1</v>
      </c>
      <c r="I25" s="20">
        <f t="shared" si="103"/>
        <v>0</v>
      </c>
      <c r="J25" s="20">
        <f t="shared" si="103"/>
        <v>2</v>
      </c>
      <c r="K25" s="20">
        <f t="shared" si="103"/>
        <v>2</v>
      </c>
      <c r="L25" s="20">
        <f t="shared" si="103"/>
        <v>2</v>
      </c>
      <c r="M25" s="20">
        <f t="shared" si="103"/>
        <v>2</v>
      </c>
      <c r="N25" s="20">
        <f t="shared" si="103"/>
        <v>4</v>
      </c>
      <c r="O25" s="20">
        <f t="shared" si="103"/>
        <v>4</v>
      </c>
      <c r="P25" s="20">
        <f t="shared" si="103"/>
        <v>4</v>
      </c>
      <c r="Q25" s="20">
        <f t="shared" si="103"/>
        <v>4</v>
      </c>
      <c r="R25" s="20">
        <f t="shared" si="103"/>
        <v>4</v>
      </c>
      <c r="S25" s="20">
        <f t="shared" si="103"/>
        <v>4</v>
      </c>
      <c r="T25" s="20">
        <f t="shared" si="103"/>
        <v>4</v>
      </c>
      <c r="U25" s="20">
        <f t="shared" si="103"/>
        <v>4</v>
      </c>
      <c r="V25" s="20">
        <f t="shared" si="103"/>
        <v>4</v>
      </c>
      <c r="W25" s="20">
        <f t="shared" si="103"/>
        <v>4</v>
      </c>
      <c r="X25" s="20">
        <f t="shared" si="103"/>
        <v>4</v>
      </c>
      <c r="Y25" s="20">
        <f t="shared" si="103"/>
        <v>0</v>
      </c>
      <c r="Z25" s="20">
        <f t="shared" si="103"/>
        <v>0</v>
      </c>
      <c r="AA25" s="20">
        <f t="shared" si="103"/>
        <v>0</v>
      </c>
      <c r="AB25" s="20">
        <f t="shared" si="103"/>
        <v>0</v>
      </c>
      <c r="AC25" s="20">
        <f t="shared" si="103"/>
        <v>0</v>
      </c>
      <c r="AD25" s="20">
        <f t="shared" si="103"/>
        <v>0</v>
      </c>
      <c r="AE25" s="20">
        <f t="shared" si="103"/>
        <v>0</v>
      </c>
      <c r="AF25" s="24"/>
      <c r="BG25" s="20">
        <v>2</v>
      </c>
      <c r="BH25" s="20">
        <v>2</v>
      </c>
      <c r="BS25" s="21">
        <f>BS24*42</f>
        <v>0</v>
      </c>
      <c r="BT25" s="21">
        <f t="shared" ref="BT25:CC25" si="104">BT24*42</f>
        <v>0</v>
      </c>
      <c r="BU25" s="21">
        <f t="shared" si="104"/>
        <v>0</v>
      </c>
      <c r="BV25" s="21">
        <f t="shared" si="104"/>
        <v>0</v>
      </c>
      <c r="BW25" s="21">
        <f t="shared" si="104"/>
        <v>0</v>
      </c>
      <c r="BX25" s="21">
        <f t="shared" si="104"/>
        <v>84</v>
      </c>
      <c r="BY25" s="21">
        <f t="shared" si="104"/>
        <v>0</v>
      </c>
      <c r="BZ25" s="21">
        <f t="shared" si="104"/>
        <v>0</v>
      </c>
      <c r="CA25" s="21">
        <f t="shared" si="104"/>
        <v>0</v>
      </c>
      <c r="CB25" s="21">
        <f t="shared" si="104"/>
        <v>0</v>
      </c>
      <c r="CC25" s="21">
        <f t="shared" si="104"/>
        <v>0</v>
      </c>
      <c r="CD25" s="21">
        <f t="shared" ref="CD25" si="105">CD24*42</f>
        <v>0</v>
      </c>
      <c r="CE25" s="21">
        <f t="shared" ref="CE25" si="106">CE24*42</f>
        <v>0</v>
      </c>
      <c r="CF25" s="21">
        <f t="shared" ref="CF25" si="107">CF24*42</f>
        <v>0</v>
      </c>
      <c r="CG25" s="21">
        <f t="shared" ref="CG25" si="108">CG24*42</f>
        <v>0</v>
      </c>
      <c r="CH25" s="21">
        <f t="shared" ref="CH25" si="109">CH24*42</f>
        <v>0</v>
      </c>
      <c r="CI25" s="21">
        <f t="shared" ref="CI25" si="110">CI24*42</f>
        <v>0</v>
      </c>
      <c r="CJ25" s="21">
        <f t="shared" ref="CJ25" si="111">CJ24*42</f>
        <v>0</v>
      </c>
      <c r="CK25" s="21">
        <f t="shared" ref="CK25:CQ25" si="112">CK24*42</f>
        <v>0</v>
      </c>
      <c r="CL25" s="21">
        <f t="shared" si="112"/>
        <v>0</v>
      </c>
      <c r="CM25" s="21">
        <f t="shared" si="112"/>
        <v>0</v>
      </c>
      <c r="CN25" s="21">
        <f t="shared" si="112"/>
        <v>0</v>
      </c>
      <c r="CO25" s="21">
        <f t="shared" si="112"/>
        <v>84</v>
      </c>
      <c r="CP25" s="21">
        <f t="shared" si="112"/>
        <v>84</v>
      </c>
      <c r="CQ25" s="21">
        <f t="shared" si="112"/>
        <v>84</v>
      </c>
      <c r="CR25" s="21">
        <f t="shared" ref="CR25:CZ25" si="113">CR24*42</f>
        <v>0</v>
      </c>
      <c r="CS25" s="21">
        <f t="shared" si="113"/>
        <v>0</v>
      </c>
      <c r="CT25" s="21">
        <f t="shared" si="113"/>
        <v>0</v>
      </c>
      <c r="CU25" s="21">
        <f t="shared" si="113"/>
        <v>0</v>
      </c>
      <c r="CV25" s="21">
        <f t="shared" si="113"/>
        <v>0</v>
      </c>
      <c r="CW25" s="21">
        <f t="shared" si="113"/>
        <v>0</v>
      </c>
      <c r="CX25" s="21">
        <f t="shared" si="113"/>
        <v>0</v>
      </c>
      <c r="CY25" s="21">
        <f t="shared" si="113"/>
        <v>0</v>
      </c>
      <c r="CZ25" s="21">
        <f t="shared" si="113"/>
        <v>0</v>
      </c>
      <c r="DA25" s="21">
        <f t="shared" ref="DA25:DE25" si="114">DA24*42</f>
        <v>0</v>
      </c>
      <c r="DB25" s="21">
        <f t="shared" si="114"/>
        <v>0</v>
      </c>
      <c r="DC25" s="21">
        <f t="shared" si="114"/>
        <v>0</v>
      </c>
      <c r="DD25" s="21">
        <f t="shared" si="114"/>
        <v>0</v>
      </c>
      <c r="DE25" s="21">
        <f t="shared" si="114"/>
        <v>0</v>
      </c>
      <c r="DF25" s="21">
        <f t="shared" ref="DF25:DJ25" si="115">DF24*42</f>
        <v>0</v>
      </c>
      <c r="DG25" s="21">
        <f t="shared" si="115"/>
        <v>0</v>
      </c>
      <c r="DH25" s="21">
        <f t="shared" si="115"/>
        <v>0</v>
      </c>
      <c r="DI25" s="21">
        <f t="shared" si="115"/>
        <v>0</v>
      </c>
      <c r="DJ25" s="21">
        <f t="shared" si="115"/>
        <v>0</v>
      </c>
      <c r="DK25" s="21">
        <f t="shared" ref="DK25:DN25" si="116">DK24*42</f>
        <v>0</v>
      </c>
      <c r="DL25" s="21">
        <f t="shared" si="116"/>
        <v>0</v>
      </c>
      <c r="DM25" s="21">
        <f t="shared" si="116"/>
        <v>0</v>
      </c>
      <c r="DN25" s="21">
        <f t="shared" si="116"/>
        <v>0</v>
      </c>
      <c r="DO25" s="21">
        <f t="shared" ref="DO25:DT25" si="117">DO24*42</f>
        <v>0</v>
      </c>
      <c r="DP25" s="21">
        <f t="shared" si="117"/>
        <v>0</v>
      </c>
      <c r="DQ25" s="21">
        <f t="shared" si="117"/>
        <v>0</v>
      </c>
      <c r="DR25" s="21">
        <f t="shared" si="117"/>
        <v>0</v>
      </c>
      <c r="DS25" s="21">
        <f t="shared" si="117"/>
        <v>0</v>
      </c>
      <c r="DT25" s="21">
        <f t="shared" si="117"/>
        <v>0</v>
      </c>
      <c r="DU25" s="21">
        <f t="shared" ref="DU25:ED25" si="118">DU24*42</f>
        <v>0</v>
      </c>
      <c r="DV25" s="21">
        <f t="shared" si="118"/>
        <v>0</v>
      </c>
      <c r="DW25" s="21">
        <f t="shared" si="118"/>
        <v>0</v>
      </c>
      <c r="DX25" s="21">
        <f t="shared" si="118"/>
        <v>0</v>
      </c>
      <c r="DY25" s="21">
        <f t="shared" si="118"/>
        <v>0</v>
      </c>
      <c r="DZ25" s="21">
        <f t="shared" si="118"/>
        <v>0</v>
      </c>
      <c r="EA25" s="21">
        <f t="shared" si="118"/>
        <v>0</v>
      </c>
      <c r="EB25" s="21">
        <f t="shared" si="118"/>
        <v>0</v>
      </c>
      <c r="EC25" s="21">
        <f t="shared" si="118"/>
        <v>0</v>
      </c>
      <c r="ED25" s="21">
        <f t="shared" si="118"/>
        <v>0</v>
      </c>
      <c r="EE25" s="21">
        <f t="shared" ref="EE25:EG25" si="119">EE24*42</f>
        <v>0</v>
      </c>
      <c r="EF25" s="21">
        <f t="shared" si="119"/>
        <v>0</v>
      </c>
      <c r="EG25" s="21">
        <f t="shared" si="119"/>
        <v>0</v>
      </c>
      <c r="EH25" s="21">
        <f t="shared" ref="EH25:EO25" si="120">EH24*42</f>
        <v>0</v>
      </c>
      <c r="EI25" s="21">
        <f t="shared" si="120"/>
        <v>0</v>
      </c>
      <c r="EJ25" s="21">
        <f t="shared" si="120"/>
        <v>0</v>
      </c>
      <c r="EK25" s="21">
        <f t="shared" si="120"/>
        <v>0</v>
      </c>
      <c r="EL25" s="21">
        <f t="shared" si="120"/>
        <v>0</v>
      </c>
      <c r="EM25" s="21">
        <f t="shared" si="120"/>
        <v>0</v>
      </c>
      <c r="EN25" s="21">
        <f t="shared" si="120"/>
        <v>0</v>
      </c>
      <c r="EO25" s="21">
        <f t="shared" si="120"/>
        <v>0</v>
      </c>
      <c r="EP25" s="21">
        <f t="shared" ref="EP25:EU25" si="121">EP24*42</f>
        <v>0</v>
      </c>
      <c r="EQ25" s="21">
        <f t="shared" si="121"/>
        <v>84</v>
      </c>
      <c r="ER25" s="21">
        <f t="shared" si="121"/>
        <v>0</v>
      </c>
      <c r="ES25" s="21">
        <f t="shared" si="121"/>
        <v>84</v>
      </c>
      <c r="ET25" s="21">
        <f t="shared" si="121"/>
        <v>84</v>
      </c>
      <c r="EU25" s="21">
        <f t="shared" si="121"/>
        <v>0</v>
      </c>
      <c r="EV25" s="21">
        <f t="shared" ref="EV25:FF25" si="122">EV24*42</f>
        <v>0</v>
      </c>
      <c r="EW25" s="21">
        <f t="shared" si="122"/>
        <v>0</v>
      </c>
      <c r="EX25" s="21">
        <f t="shared" si="122"/>
        <v>0</v>
      </c>
      <c r="EY25" s="21">
        <f t="shared" si="122"/>
        <v>0</v>
      </c>
      <c r="EZ25" s="21">
        <f t="shared" si="122"/>
        <v>0</v>
      </c>
      <c r="FA25" s="21">
        <f t="shared" si="122"/>
        <v>0</v>
      </c>
      <c r="FB25" s="21">
        <f t="shared" si="122"/>
        <v>0</v>
      </c>
      <c r="FC25" s="21">
        <f t="shared" si="122"/>
        <v>0</v>
      </c>
      <c r="FD25" s="21">
        <f t="shared" si="122"/>
        <v>0</v>
      </c>
      <c r="FE25" s="21">
        <f t="shared" si="122"/>
        <v>0</v>
      </c>
      <c r="FF25" s="21">
        <f t="shared" si="122"/>
        <v>0</v>
      </c>
      <c r="FG25" s="21">
        <f t="shared" ref="FG25:FP25" si="123">FG24*42</f>
        <v>0</v>
      </c>
      <c r="FH25" s="21">
        <f t="shared" si="123"/>
        <v>0</v>
      </c>
      <c r="FI25" s="21">
        <f t="shared" si="123"/>
        <v>0</v>
      </c>
      <c r="FJ25" s="21">
        <f t="shared" si="123"/>
        <v>0</v>
      </c>
      <c r="FK25" s="21">
        <f t="shared" si="123"/>
        <v>0</v>
      </c>
      <c r="FL25" s="21">
        <f t="shared" si="123"/>
        <v>0</v>
      </c>
      <c r="FM25" s="21">
        <f t="shared" si="123"/>
        <v>0</v>
      </c>
      <c r="FN25" s="21">
        <f t="shared" si="123"/>
        <v>0</v>
      </c>
      <c r="FO25" s="21">
        <f t="shared" si="123"/>
        <v>0</v>
      </c>
      <c r="FP25" s="21">
        <f t="shared" si="123"/>
        <v>0</v>
      </c>
      <c r="FQ25" s="21">
        <f t="shared" ref="FQ25:FY25" si="124">FQ24*42</f>
        <v>0</v>
      </c>
      <c r="FR25" s="21">
        <f t="shared" si="124"/>
        <v>0</v>
      </c>
      <c r="FS25" s="21">
        <f t="shared" si="124"/>
        <v>0</v>
      </c>
      <c r="FT25" s="21">
        <f t="shared" si="124"/>
        <v>0</v>
      </c>
      <c r="FU25" s="21">
        <f t="shared" si="124"/>
        <v>0</v>
      </c>
      <c r="FV25" s="21">
        <f t="shared" si="124"/>
        <v>0</v>
      </c>
      <c r="FW25" s="21">
        <f t="shared" si="124"/>
        <v>0</v>
      </c>
      <c r="FX25" s="21">
        <f t="shared" si="124"/>
        <v>0</v>
      </c>
      <c r="FY25" s="21">
        <f t="shared" si="124"/>
        <v>0</v>
      </c>
      <c r="FZ25" s="21">
        <f t="shared" ref="FZ25:GJ25" si="125">FZ24*42</f>
        <v>0</v>
      </c>
      <c r="GA25" s="21">
        <f t="shared" si="125"/>
        <v>0</v>
      </c>
      <c r="GB25" s="21">
        <f t="shared" si="125"/>
        <v>0</v>
      </c>
      <c r="GC25" s="21">
        <f t="shared" si="125"/>
        <v>0</v>
      </c>
      <c r="GD25" s="21">
        <f t="shared" si="125"/>
        <v>0</v>
      </c>
      <c r="GE25" s="21">
        <f t="shared" si="125"/>
        <v>0</v>
      </c>
      <c r="GF25" s="21">
        <f t="shared" si="125"/>
        <v>0</v>
      </c>
      <c r="GG25" s="21">
        <f t="shared" si="125"/>
        <v>0</v>
      </c>
      <c r="GH25" s="21">
        <f t="shared" si="125"/>
        <v>0</v>
      </c>
      <c r="GI25" s="21">
        <f t="shared" si="125"/>
        <v>0</v>
      </c>
      <c r="GJ25" s="21">
        <f t="shared" si="125"/>
        <v>0</v>
      </c>
      <c r="GK25" s="21">
        <f t="shared" ref="GK25:GT25" si="126">GK24*42</f>
        <v>0</v>
      </c>
      <c r="GL25" s="21">
        <f t="shared" si="126"/>
        <v>0</v>
      </c>
      <c r="GM25" s="21">
        <f t="shared" si="126"/>
        <v>0</v>
      </c>
      <c r="GN25" s="21">
        <f t="shared" si="126"/>
        <v>0</v>
      </c>
      <c r="GO25" s="21">
        <f t="shared" si="126"/>
        <v>0</v>
      </c>
      <c r="GP25" s="21">
        <f t="shared" si="126"/>
        <v>0</v>
      </c>
      <c r="GQ25" s="21">
        <f t="shared" si="126"/>
        <v>0</v>
      </c>
      <c r="GR25" s="21">
        <f t="shared" si="126"/>
        <v>0</v>
      </c>
      <c r="GS25" s="21">
        <f t="shared" si="126"/>
        <v>0</v>
      </c>
      <c r="GT25" s="21">
        <f t="shared" si="126"/>
        <v>0</v>
      </c>
    </row>
    <row r="26" spans="1:202" s="10" customFormat="1" x14ac:dyDescent="0.35">
      <c r="A26" s="10" t="s">
        <v>30</v>
      </c>
      <c r="D26" s="10">
        <f t="shared" ref="D26:AE26" si="127">D25*42</f>
        <v>168</v>
      </c>
      <c r="E26" s="10">
        <f t="shared" si="127"/>
        <v>168</v>
      </c>
      <c r="F26" s="10">
        <f t="shared" si="127"/>
        <v>168</v>
      </c>
      <c r="G26" s="10">
        <f t="shared" si="127"/>
        <v>0</v>
      </c>
      <c r="H26" s="10">
        <f t="shared" si="127"/>
        <v>42</v>
      </c>
      <c r="I26" s="10">
        <f t="shared" si="127"/>
        <v>0</v>
      </c>
      <c r="J26" s="10">
        <f t="shared" si="127"/>
        <v>84</v>
      </c>
      <c r="K26" s="10">
        <f t="shared" si="127"/>
        <v>84</v>
      </c>
      <c r="L26" s="10">
        <f t="shared" si="127"/>
        <v>84</v>
      </c>
      <c r="M26" s="10">
        <f t="shared" si="127"/>
        <v>84</v>
      </c>
      <c r="N26" s="10">
        <f t="shared" si="127"/>
        <v>168</v>
      </c>
      <c r="O26" s="10">
        <f t="shared" si="127"/>
        <v>168</v>
      </c>
      <c r="P26" s="10">
        <f t="shared" si="127"/>
        <v>168</v>
      </c>
      <c r="Q26" s="10">
        <f t="shared" si="127"/>
        <v>168</v>
      </c>
      <c r="R26" s="10">
        <f t="shared" si="127"/>
        <v>168</v>
      </c>
      <c r="S26" s="10">
        <f t="shared" si="127"/>
        <v>168</v>
      </c>
      <c r="T26" s="10">
        <f t="shared" si="127"/>
        <v>168</v>
      </c>
      <c r="U26" s="10">
        <f t="shared" si="127"/>
        <v>168</v>
      </c>
      <c r="V26" s="10">
        <f t="shared" si="127"/>
        <v>168</v>
      </c>
      <c r="W26" s="10">
        <f t="shared" si="127"/>
        <v>168</v>
      </c>
      <c r="X26" s="10">
        <f t="shared" si="127"/>
        <v>168</v>
      </c>
      <c r="Y26" s="10">
        <f t="shared" si="127"/>
        <v>0</v>
      </c>
      <c r="Z26" s="10">
        <f t="shared" si="127"/>
        <v>0</v>
      </c>
      <c r="AA26" s="10">
        <f t="shared" si="127"/>
        <v>0</v>
      </c>
      <c r="AB26" s="10">
        <f t="shared" si="127"/>
        <v>0</v>
      </c>
      <c r="AC26" s="10">
        <f t="shared" si="127"/>
        <v>0</v>
      </c>
      <c r="AD26" s="10">
        <f t="shared" si="127"/>
        <v>0</v>
      </c>
      <c r="AE26" s="10">
        <f t="shared" si="127"/>
        <v>0</v>
      </c>
      <c r="AF26" s="24"/>
      <c r="AG26" s="10">
        <f>AG25*42</f>
        <v>0</v>
      </c>
      <c r="AH26" s="10">
        <f>AH25*42</f>
        <v>0</v>
      </c>
      <c r="AI26" s="10">
        <f>AI25*42</f>
        <v>0</v>
      </c>
      <c r="AJ26" s="10">
        <f>AJ25*42</f>
        <v>0</v>
      </c>
      <c r="AK26" s="10">
        <f>AK25*42</f>
        <v>0</v>
      </c>
      <c r="AL26" s="10" cm="1">
        <f t="array" ref="AL26">SUM(AL20:AL25*42)</f>
        <v>84</v>
      </c>
      <c r="AM26" s="10" cm="1">
        <f t="array" ref="AM26">SUM(AM20:AM25*42)</f>
        <v>168</v>
      </c>
      <c r="AN26" s="10" cm="1">
        <f t="array" ref="AN26">SUM(AN20:AN25*42)</f>
        <v>84</v>
      </c>
      <c r="AO26" s="10" cm="1">
        <f t="array" ref="AO26">SUM(AO20:AO25*42)</f>
        <v>84</v>
      </c>
      <c r="AP26" s="10" cm="1">
        <f t="array" ref="AP26">SUM(AP20:AP25*42)</f>
        <v>168</v>
      </c>
      <c r="AQ26" s="10" cm="1">
        <f t="array" ref="AQ26">SUM(AQ20:AQ25*42)</f>
        <v>84</v>
      </c>
      <c r="AR26" s="10" cm="1">
        <f t="array" ref="AR26">SUM(AR20:AR25*42)</f>
        <v>126</v>
      </c>
      <c r="AS26" s="10" cm="1">
        <f t="array" ref="AS26">SUM(AS20:AS25*42)</f>
        <v>168</v>
      </c>
      <c r="AT26" s="10" cm="1">
        <f t="array" ref="AT26">SUM(AT20:AT25*42)</f>
        <v>168</v>
      </c>
      <c r="AU26" s="10" cm="1">
        <f t="array" ref="AU26">SUM(AU20:AU25*42)</f>
        <v>168</v>
      </c>
      <c r="AV26" s="10" cm="1">
        <f t="array" ref="AV26">SUM(AV20:AV25*42)</f>
        <v>168</v>
      </c>
      <c r="AW26" s="10" cm="1">
        <f t="array" ref="AW26">SUM(AW20:AW25*42)</f>
        <v>0</v>
      </c>
      <c r="AX26" s="10" cm="1">
        <f t="array" ref="AX26">SUM(AX20:AX25*42)</f>
        <v>0</v>
      </c>
      <c r="AY26" s="10" cm="1">
        <f t="array" ref="AY26">SUM(AY20:AY25*42)</f>
        <v>0</v>
      </c>
      <c r="AZ26" s="10" cm="1">
        <f t="array" ref="AZ26">SUM(AZ20:AZ25*42)</f>
        <v>0</v>
      </c>
      <c r="BA26" s="10" cm="1">
        <f t="array" ref="BA26">SUM(BA20:BA25*42)</f>
        <v>0</v>
      </c>
      <c r="BB26" s="10" cm="1">
        <f t="array" ref="BB26">SUM(BB20:BB25*42)</f>
        <v>0</v>
      </c>
      <c r="BC26" s="10" cm="1">
        <f t="array" ref="BC26">SUM(BC20:BC25*42)</f>
        <v>0</v>
      </c>
      <c r="BD26" s="10" cm="1">
        <f t="array" ref="BD26">SUM(BD20:BD25*42)</f>
        <v>0</v>
      </c>
      <c r="BE26" s="10" cm="1">
        <f t="array" ref="BE26">SUM(BE20:BE25*42)</f>
        <v>0</v>
      </c>
      <c r="BF26" s="10" cm="1">
        <f t="array" ref="BF26">SUM(BF20:BF25*42)</f>
        <v>0</v>
      </c>
      <c r="BG26" s="10" cm="1">
        <f t="array" ref="BG26">SUM(BG20:BG25*42)</f>
        <v>84</v>
      </c>
      <c r="BH26" s="10" cm="1">
        <f t="array" ref="BH26">SUM(BH20:BH25*42)</f>
        <v>84</v>
      </c>
      <c r="BI26" s="10" cm="1">
        <f t="array" ref="BI26">SUM(BI20:BI25*42)</f>
        <v>84</v>
      </c>
      <c r="BJ26" s="10" cm="1">
        <f t="array" ref="BJ26">SUM(BJ20:BJ25*42)</f>
        <v>84</v>
      </c>
      <c r="BK26" s="10" cm="1">
        <f t="array" ref="BK26">SUM(BK20:BK25*42)</f>
        <v>84</v>
      </c>
      <c r="BL26" s="10" cm="1">
        <f t="array" ref="BL26">SUM(BL20:BL25*42)</f>
        <v>84</v>
      </c>
      <c r="BM26" s="10" cm="1">
        <f t="array" ref="BM26">SUM(BM20:BM25*42)</f>
        <v>84</v>
      </c>
      <c r="BN26" s="10" cm="1">
        <f t="array" ref="BN26">SUM(BN20:BN25*42)</f>
        <v>84</v>
      </c>
      <c r="BO26" s="10" cm="1">
        <f t="array" ref="BO26">SUM(BO20:BO25*42)</f>
        <v>0</v>
      </c>
      <c r="BP26" s="10" cm="1">
        <f t="array" ref="BP26">SUM(BP20:BP25*42)</f>
        <v>0</v>
      </c>
      <c r="BQ26" s="10" cm="1">
        <f t="array" ref="BQ26">SUM(BQ20:BQ25*42)</f>
        <v>0</v>
      </c>
      <c r="BR26" s="10" cm="1">
        <f t="array" ref="BR26">SUM(BR20:BR25*42)</f>
        <v>0</v>
      </c>
      <c r="BS26" s="22">
        <f>SUM(BS21,BS25)</f>
        <v>0</v>
      </c>
      <c r="BT26" s="22">
        <f t="shared" ref="BT26:CC26" si="128">SUM(BT21,BT25)</f>
        <v>0</v>
      </c>
      <c r="BU26" s="22">
        <f t="shared" si="128"/>
        <v>0</v>
      </c>
      <c r="BV26" s="22">
        <f t="shared" si="128"/>
        <v>0</v>
      </c>
      <c r="BW26" s="22">
        <f t="shared" si="128"/>
        <v>84</v>
      </c>
      <c r="BX26" s="22">
        <f t="shared" si="128"/>
        <v>84</v>
      </c>
      <c r="BY26" s="22">
        <f t="shared" si="128"/>
        <v>126</v>
      </c>
      <c r="BZ26" s="22">
        <f t="shared" si="128"/>
        <v>168</v>
      </c>
      <c r="CA26" s="22">
        <f t="shared" si="128"/>
        <v>168</v>
      </c>
      <c r="CB26" s="22">
        <f t="shared" si="128"/>
        <v>126</v>
      </c>
      <c r="CC26" s="22">
        <f t="shared" si="128"/>
        <v>168</v>
      </c>
      <c r="CD26" s="22">
        <f t="shared" ref="CD26" si="129">SUM(CD21,CD25)</f>
        <v>84</v>
      </c>
      <c r="CE26" s="22">
        <f t="shared" ref="CE26" si="130">SUM(CE21,CE25)</f>
        <v>84</v>
      </c>
      <c r="CF26" s="22">
        <f t="shared" ref="CF26" si="131">SUM(CF21,CF25)</f>
        <v>0</v>
      </c>
      <c r="CG26" s="22">
        <f t="shared" ref="CG26" si="132">SUM(CG21,CG25)</f>
        <v>0</v>
      </c>
      <c r="CH26" s="22">
        <f t="shared" ref="CH26" si="133">SUM(CH21,CH25)</f>
        <v>0</v>
      </c>
      <c r="CI26" s="22">
        <f t="shared" ref="CI26" si="134">SUM(CI21,CI25)</f>
        <v>0</v>
      </c>
      <c r="CJ26" s="22">
        <f t="shared" ref="CJ26" si="135">SUM(CJ21,CJ25)</f>
        <v>0</v>
      </c>
      <c r="CK26" s="22">
        <f t="shared" ref="CK26:CQ26" si="136">SUM(CK21,CK25)</f>
        <v>0</v>
      </c>
      <c r="CL26" s="22">
        <f t="shared" si="136"/>
        <v>0</v>
      </c>
      <c r="CM26" s="22">
        <f t="shared" si="136"/>
        <v>0</v>
      </c>
      <c r="CN26" s="22">
        <f t="shared" si="136"/>
        <v>42</v>
      </c>
      <c r="CO26" s="22">
        <f t="shared" si="136"/>
        <v>84</v>
      </c>
      <c r="CP26" s="22">
        <f t="shared" si="136"/>
        <v>84</v>
      </c>
      <c r="CQ26" s="22">
        <f t="shared" si="136"/>
        <v>84</v>
      </c>
      <c r="CR26" s="22">
        <f t="shared" ref="CR26:CZ26" si="137">SUM(CR21,CR25)</f>
        <v>0</v>
      </c>
      <c r="CS26" s="22">
        <f t="shared" si="137"/>
        <v>0</v>
      </c>
      <c r="CT26" s="22">
        <f t="shared" si="137"/>
        <v>0</v>
      </c>
      <c r="CU26" s="22">
        <f t="shared" si="137"/>
        <v>0</v>
      </c>
      <c r="CV26" s="22">
        <f t="shared" si="137"/>
        <v>0</v>
      </c>
      <c r="CW26" s="22">
        <f t="shared" si="137"/>
        <v>0</v>
      </c>
      <c r="CX26" s="22">
        <f t="shared" si="137"/>
        <v>0</v>
      </c>
      <c r="CY26" s="22">
        <f t="shared" si="137"/>
        <v>84</v>
      </c>
      <c r="CZ26" s="22">
        <f t="shared" si="137"/>
        <v>0</v>
      </c>
      <c r="DA26" s="22">
        <f t="shared" ref="DA26:DE26" si="138">SUM(DA21,DA25)</f>
        <v>0</v>
      </c>
      <c r="DB26" s="22">
        <f t="shared" si="138"/>
        <v>0</v>
      </c>
      <c r="DC26" s="22">
        <f t="shared" si="138"/>
        <v>0</v>
      </c>
      <c r="DD26" s="22">
        <f t="shared" si="138"/>
        <v>84</v>
      </c>
      <c r="DE26" s="22">
        <f t="shared" si="138"/>
        <v>0</v>
      </c>
      <c r="DF26" s="22">
        <f t="shared" ref="DF26:DJ26" si="139">SUM(DF21,DF25)</f>
        <v>0</v>
      </c>
      <c r="DG26" s="22">
        <f t="shared" si="139"/>
        <v>0</v>
      </c>
      <c r="DH26" s="22">
        <f t="shared" si="139"/>
        <v>0</v>
      </c>
      <c r="DI26" s="22">
        <f t="shared" si="139"/>
        <v>84</v>
      </c>
      <c r="DJ26" s="22">
        <f t="shared" si="139"/>
        <v>84</v>
      </c>
      <c r="DK26" s="22">
        <f t="shared" ref="DK26:DN26" si="140">SUM(DK21,DK25)</f>
        <v>0</v>
      </c>
      <c r="DL26" s="22">
        <f t="shared" si="140"/>
        <v>0</v>
      </c>
      <c r="DM26" s="22">
        <f t="shared" si="140"/>
        <v>0</v>
      </c>
      <c r="DN26" s="22">
        <f t="shared" si="140"/>
        <v>0</v>
      </c>
      <c r="DO26" s="22">
        <f t="shared" ref="DO26:DT26" si="141">SUM(DO21,DO25)</f>
        <v>0</v>
      </c>
      <c r="DP26" s="22">
        <f t="shared" si="141"/>
        <v>0</v>
      </c>
      <c r="DQ26" s="22">
        <f t="shared" si="141"/>
        <v>0</v>
      </c>
      <c r="DR26" s="22">
        <f t="shared" si="141"/>
        <v>0</v>
      </c>
      <c r="DS26" s="22">
        <f t="shared" si="141"/>
        <v>0</v>
      </c>
      <c r="DT26" s="22">
        <f t="shared" si="141"/>
        <v>0</v>
      </c>
      <c r="DU26" s="22">
        <f t="shared" ref="DU26:ED26" si="142">SUM(DU21,DU25)</f>
        <v>0</v>
      </c>
      <c r="DV26" s="22">
        <f t="shared" si="142"/>
        <v>0</v>
      </c>
      <c r="DW26" s="22">
        <f t="shared" si="142"/>
        <v>0</v>
      </c>
      <c r="DX26" s="22">
        <f t="shared" si="142"/>
        <v>0</v>
      </c>
      <c r="DY26" s="22">
        <f t="shared" si="142"/>
        <v>0</v>
      </c>
      <c r="DZ26" s="22">
        <f t="shared" si="142"/>
        <v>0</v>
      </c>
      <c r="EA26" s="22">
        <f t="shared" si="142"/>
        <v>0</v>
      </c>
      <c r="EB26" s="22">
        <f t="shared" si="142"/>
        <v>0</v>
      </c>
      <c r="EC26" s="22">
        <f t="shared" si="142"/>
        <v>0</v>
      </c>
      <c r="ED26" s="22">
        <f t="shared" si="142"/>
        <v>0</v>
      </c>
      <c r="EE26" s="22">
        <f t="shared" ref="EE26:EG26" si="143">SUM(EE21,EE25)</f>
        <v>0</v>
      </c>
      <c r="EF26" s="22">
        <f t="shared" si="143"/>
        <v>0</v>
      </c>
      <c r="EG26" s="22">
        <f t="shared" si="143"/>
        <v>0</v>
      </c>
      <c r="EH26" s="22">
        <f t="shared" ref="EH26:EO26" si="144">SUM(EH21,EH25)</f>
        <v>0</v>
      </c>
      <c r="EI26" s="22">
        <f t="shared" si="144"/>
        <v>0</v>
      </c>
      <c r="EJ26" s="22">
        <f t="shared" si="144"/>
        <v>0</v>
      </c>
      <c r="EK26" s="22">
        <f t="shared" si="144"/>
        <v>0</v>
      </c>
      <c r="EL26" s="22">
        <f t="shared" si="144"/>
        <v>0</v>
      </c>
      <c r="EM26" s="22">
        <f t="shared" si="144"/>
        <v>0</v>
      </c>
      <c r="EN26" s="22">
        <f t="shared" si="144"/>
        <v>0</v>
      </c>
      <c r="EO26" s="22">
        <f t="shared" si="144"/>
        <v>0</v>
      </c>
      <c r="EP26" s="22">
        <f t="shared" ref="EP26:EU26" si="145">SUM(EP21,EP25)</f>
        <v>0</v>
      </c>
      <c r="EQ26" s="22">
        <f t="shared" si="145"/>
        <v>84</v>
      </c>
      <c r="ER26" s="22">
        <f t="shared" si="145"/>
        <v>0</v>
      </c>
      <c r="ES26" s="22">
        <f t="shared" si="145"/>
        <v>84</v>
      </c>
      <c r="ET26" s="22">
        <f t="shared" si="145"/>
        <v>84</v>
      </c>
      <c r="EU26" s="22">
        <f t="shared" si="145"/>
        <v>84</v>
      </c>
      <c r="EV26" s="22">
        <f t="shared" ref="EV26:FF26" si="146">SUM(EV21,EV25)</f>
        <v>0</v>
      </c>
      <c r="EW26" s="22">
        <f t="shared" si="146"/>
        <v>0</v>
      </c>
      <c r="EX26" s="22">
        <f t="shared" si="146"/>
        <v>0</v>
      </c>
      <c r="EY26" s="22">
        <f t="shared" si="146"/>
        <v>0</v>
      </c>
      <c r="EZ26" s="22">
        <f t="shared" si="146"/>
        <v>0</v>
      </c>
      <c r="FA26" s="22">
        <f t="shared" si="146"/>
        <v>0</v>
      </c>
      <c r="FB26" s="22">
        <f t="shared" si="146"/>
        <v>0</v>
      </c>
      <c r="FC26" s="22">
        <f t="shared" si="146"/>
        <v>0</v>
      </c>
      <c r="FD26" s="22">
        <f t="shared" si="146"/>
        <v>0</v>
      </c>
      <c r="FE26" s="22">
        <f t="shared" si="146"/>
        <v>0</v>
      </c>
      <c r="FF26" s="22">
        <f t="shared" si="146"/>
        <v>0</v>
      </c>
      <c r="FG26" s="22">
        <f t="shared" ref="FG26:FP26" si="147">SUM(FG21,FG25)</f>
        <v>0</v>
      </c>
      <c r="FH26" s="22">
        <f t="shared" si="147"/>
        <v>0</v>
      </c>
      <c r="FI26" s="22">
        <f t="shared" si="147"/>
        <v>0</v>
      </c>
      <c r="FJ26" s="22">
        <f t="shared" si="147"/>
        <v>0</v>
      </c>
      <c r="FK26" s="22">
        <f t="shared" si="147"/>
        <v>0</v>
      </c>
      <c r="FL26" s="22">
        <f t="shared" si="147"/>
        <v>0</v>
      </c>
      <c r="FM26" s="22">
        <f t="shared" si="147"/>
        <v>0</v>
      </c>
      <c r="FN26" s="22">
        <f t="shared" si="147"/>
        <v>0</v>
      </c>
      <c r="FO26" s="22">
        <f t="shared" si="147"/>
        <v>0</v>
      </c>
      <c r="FP26" s="22">
        <f t="shared" si="147"/>
        <v>0</v>
      </c>
      <c r="FQ26" s="22">
        <f t="shared" ref="FQ26:FY26" si="148">SUM(FQ21,FQ25)</f>
        <v>0</v>
      </c>
      <c r="FR26" s="22">
        <f t="shared" si="148"/>
        <v>0</v>
      </c>
      <c r="FS26" s="22">
        <f t="shared" si="148"/>
        <v>0</v>
      </c>
      <c r="FT26" s="22">
        <f t="shared" si="148"/>
        <v>0</v>
      </c>
      <c r="FU26" s="22">
        <f t="shared" si="148"/>
        <v>0</v>
      </c>
      <c r="FV26" s="22">
        <f t="shared" si="148"/>
        <v>0</v>
      </c>
      <c r="FW26" s="22">
        <f t="shared" si="148"/>
        <v>0</v>
      </c>
      <c r="FX26" s="22">
        <f t="shared" si="148"/>
        <v>0</v>
      </c>
      <c r="FY26" s="22">
        <f t="shared" si="148"/>
        <v>0</v>
      </c>
      <c r="FZ26" s="22">
        <f t="shared" ref="FZ26:GJ26" si="149">SUM(FZ21,FZ25)</f>
        <v>0</v>
      </c>
      <c r="GA26" s="22">
        <f t="shared" si="149"/>
        <v>0</v>
      </c>
      <c r="GB26" s="22">
        <f t="shared" si="149"/>
        <v>0</v>
      </c>
      <c r="GC26" s="22">
        <f t="shared" si="149"/>
        <v>0</v>
      </c>
      <c r="GD26" s="22">
        <f t="shared" si="149"/>
        <v>0</v>
      </c>
      <c r="GE26" s="22">
        <f t="shared" si="149"/>
        <v>0</v>
      </c>
      <c r="GF26" s="22">
        <f t="shared" si="149"/>
        <v>0</v>
      </c>
      <c r="GG26" s="22">
        <f t="shared" si="149"/>
        <v>0</v>
      </c>
      <c r="GH26" s="22">
        <f t="shared" si="149"/>
        <v>0</v>
      </c>
      <c r="GI26" s="22">
        <f t="shared" si="149"/>
        <v>0</v>
      </c>
      <c r="GJ26" s="22">
        <f t="shared" si="149"/>
        <v>0</v>
      </c>
      <c r="GK26" s="22">
        <f t="shared" ref="GK26:GT26" si="150">SUM(GK21,GK25)</f>
        <v>0</v>
      </c>
      <c r="GL26" s="22">
        <f t="shared" si="150"/>
        <v>0</v>
      </c>
      <c r="GM26" s="22">
        <f t="shared" si="150"/>
        <v>0</v>
      </c>
      <c r="GN26" s="22">
        <f t="shared" si="150"/>
        <v>0</v>
      </c>
      <c r="GO26" s="22">
        <f t="shared" si="150"/>
        <v>0</v>
      </c>
      <c r="GP26" s="22">
        <f t="shared" si="150"/>
        <v>0</v>
      </c>
      <c r="GQ26" s="22">
        <f t="shared" si="150"/>
        <v>0</v>
      </c>
      <c r="GR26" s="22">
        <f t="shared" si="150"/>
        <v>0</v>
      </c>
      <c r="GS26" s="22">
        <f t="shared" si="150"/>
        <v>0</v>
      </c>
      <c r="GT26" s="22">
        <f t="shared" si="150"/>
        <v>0</v>
      </c>
    </row>
    <row r="27" spans="1:202" s="11" customFormat="1" x14ac:dyDescent="0.35">
      <c r="A27" s="11" t="s">
        <v>31</v>
      </c>
      <c r="D27" s="11">
        <f t="shared" ref="D27:AE27" si="151">SUM(D19:D26)</f>
        <v>176</v>
      </c>
      <c r="E27" s="11">
        <f t="shared" si="151"/>
        <v>176</v>
      </c>
      <c r="F27" s="11">
        <f t="shared" si="151"/>
        <v>176</v>
      </c>
      <c r="G27" s="11">
        <f t="shared" si="151"/>
        <v>336</v>
      </c>
      <c r="H27" s="11">
        <f t="shared" si="151"/>
        <v>254</v>
      </c>
      <c r="I27" s="11">
        <f t="shared" si="151"/>
        <v>252</v>
      </c>
      <c r="J27" s="11">
        <f t="shared" si="151"/>
        <v>256</v>
      </c>
      <c r="K27" s="11">
        <f t="shared" si="151"/>
        <v>256</v>
      </c>
      <c r="L27" s="11">
        <f t="shared" si="151"/>
        <v>256</v>
      </c>
      <c r="M27" s="11">
        <f t="shared" si="151"/>
        <v>256</v>
      </c>
      <c r="N27" s="11">
        <f t="shared" si="151"/>
        <v>344</v>
      </c>
      <c r="O27" s="11">
        <f t="shared" si="151"/>
        <v>344</v>
      </c>
      <c r="P27" s="11">
        <f t="shared" si="151"/>
        <v>344</v>
      </c>
      <c r="Q27" s="11">
        <f t="shared" si="151"/>
        <v>344</v>
      </c>
      <c r="R27" s="11">
        <f t="shared" si="151"/>
        <v>218</v>
      </c>
      <c r="S27" s="11">
        <f t="shared" si="151"/>
        <v>218</v>
      </c>
      <c r="T27" s="11">
        <f t="shared" si="151"/>
        <v>218</v>
      </c>
      <c r="U27" s="11">
        <f t="shared" si="151"/>
        <v>218</v>
      </c>
      <c r="V27" s="11">
        <f t="shared" si="151"/>
        <v>218</v>
      </c>
      <c r="W27" s="11">
        <f t="shared" si="151"/>
        <v>218</v>
      </c>
      <c r="X27" s="11">
        <f t="shared" si="151"/>
        <v>218</v>
      </c>
      <c r="Y27" s="11">
        <f t="shared" si="151"/>
        <v>126</v>
      </c>
      <c r="Z27" s="11">
        <f t="shared" si="151"/>
        <v>168</v>
      </c>
      <c r="AA27" s="11">
        <f t="shared" si="151"/>
        <v>168</v>
      </c>
      <c r="AB27" s="11">
        <f t="shared" si="151"/>
        <v>126</v>
      </c>
      <c r="AC27" s="11">
        <f t="shared" si="151"/>
        <v>126</v>
      </c>
      <c r="AD27" s="11">
        <f t="shared" si="151"/>
        <v>168</v>
      </c>
      <c r="AE27" s="11">
        <f t="shared" si="151"/>
        <v>168</v>
      </c>
      <c r="AF27" s="24"/>
      <c r="AG27" s="11">
        <f t="shared" ref="AG27:BR27" si="152">SUM(AG19:AG26)</f>
        <v>84</v>
      </c>
      <c r="AH27" s="11">
        <f t="shared" si="152"/>
        <v>84</v>
      </c>
      <c r="AI27" s="11">
        <f t="shared" si="152"/>
        <v>84</v>
      </c>
      <c r="AJ27" s="11">
        <f t="shared" si="152"/>
        <v>168</v>
      </c>
      <c r="AK27" s="11">
        <f t="shared" si="152"/>
        <v>168</v>
      </c>
      <c r="AL27" s="11">
        <f t="shared" si="152"/>
        <v>254</v>
      </c>
      <c r="AM27" s="11">
        <f t="shared" si="152"/>
        <v>256</v>
      </c>
      <c r="AN27" s="11">
        <f t="shared" si="152"/>
        <v>170</v>
      </c>
      <c r="AO27" s="11">
        <f t="shared" si="152"/>
        <v>170</v>
      </c>
      <c r="AP27" s="11">
        <f t="shared" si="152"/>
        <v>172</v>
      </c>
      <c r="AQ27" s="11">
        <f t="shared" si="152"/>
        <v>170</v>
      </c>
      <c r="AR27" s="11">
        <f t="shared" si="152"/>
        <v>171</v>
      </c>
      <c r="AS27" s="11">
        <f t="shared" si="152"/>
        <v>172</v>
      </c>
      <c r="AT27" s="11">
        <f t="shared" si="152"/>
        <v>172</v>
      </c>
      <c r="AU27" s="11">
        <f t="shared" si="152"/>
        <v>172</v>
      </c>
      <c r="AV27" s="11">
        <f t="shared" si="152"/>
        <v>172</v>
      </c>
      <c r="AW27" s="11">
        <f t="shared" si="152"/>
        <v>168</v>
      </c>
      <c r="AX27" s="11">
        <f t="shared" si="152"/>
        <v>168</v>
      </c>
      <c r="AY27" s="11">
        <f t="shared" si="152"/>
        <v>168</v>
      </c>
      <c r="AZ27" s="11">
        <f t="shared" si="152"/>
        <v>168</v>
      </c>
      <c r="BA27" s="11">
        <f t="shared" si="152"/>
        <v>168</v>
      </c>
      <c r="BB27" s="11">
        <f t="shared" si="152"/>
        <v>252</v>
      </c>
      <c r="BC27" s="11">
        <f t="shared" si="152"/>
        <v>252</v>
      </c>
      <c r="BD27" s="11">
        <f t="shared" si="152"/>
        <v>252</v>
      </c>
      <c r="BE27" s="11">
        <f t="shared" si="152"/>
        <v>252</v>
      </c>
      <c r="BF27" s="11">
        <f t="shared" si="152"/>
        <v>252</v>
      </c>
      <c r="BG27" s="11">
        <f t="shared" si="152"/>
        <v>254</v>
      </c>
      <c r="BH27" s="11">
        <f t="shared" si="152"/>
        <v>254</v>
      </c>
      <c r="BI27" s="11">
        <f t="shared" si="152"/>
        <v>170</v>
      </c>
      <c r="BJ27" s="11">
        <f t="shared" si="152"/>
        <v>170</v>
      </c>
      <c r="BK27" s="11">
        <f t="shared" si="152"/>
        <v>170</v>
      </c>
      <c r="BL27" s="11">
        <f t="shared" si="152"/>
        <v>170</v>
      </c>
      <c r="BM27" s="11">
        <f t="shared" si="152"/>
        <v>170</v>
      </c>
      <c r="BN27" s="11">
        <f t="shared" si="152"/>
        <v>170</v>
      </c>
      <c r="BO27" s="11">
        <f t="shared" si="152"/>
        <v>168</v>
      </c>
      <c r="BP27" s="11">
        <f t="shared" si="152"/>
        <v>84</v>
      </c>
      <c r="BQ27" s="11">
        <f t="shared" si="152"/>
        <v>84</v>
      </c>
      <c r="BR27" s="11">
        <f t="shared" si="152"/>
        <v>84</v>
      </c>
      <c r="BS27" s="23">
        <f>SUM(BS19,BS26)</f>
        <v>84</v>
      </c>
      <c r="BT27" s="23">
        <f t="shared" ref="BT27:CC27" si="153">SUM(BT19,BT26)</f>
        <v>84</v>
      </c>
      <c r="BU27" s="23">
        <f t="shared" si="153"/>
        <v>84</v>
      </c>
      <c r="BV27" s="23">
        <f t="shared" si="153"/>
        <v>84</v>
      </c>
      <c r="BW27" s="23">
        <f t="shared" si="153"/>
        <v>168</v>
      </c>
      <c r="BX27" s="23">
        <f t="shared" si="153"/>
        <v>168</v>
      </c>
      <c r="BY27" s="23">
        <f t="shared" si="153"/>
        <v>168</v>
      </c>
      <c r="BZ27" s="23">
        <f t="shared" si="153"/>
        <v>168</v>
      </c>
      <c r="CA27" s="23">
        <f t="shared" si="153"/>
        <v>168</v>
      </c>
      <c r="CB27" s="23">
        <f t="shared" si="153"/>
        <v>168</v>
      </c>
      <c r="CC27" s="23">
        <f t="shared" si="153"/>
        <v>168</v>
      </c>
      <c r="CD27" s="23">
        <f t="shared" ref="CD27" si="154">SUM(CD19,CD26)</f>
        <v>168</v>
      </c>
      <c r="CE27" s="23">
        <f t="shared" ref="CE27" si="155">SUM(CE19,CE26)</f>
        <v>168</v>
      </c>
      <c r="CF27" s="23">
        <f t="shared" ref="CF27" si="156">SUM(CF19,CF26)</f>
        <v>84</v>
      </c>
      <c r="CG27" s="23">
        <f t="shared" ref="CG27" si="157">SUM(CG19,CG26)</f>
        <v>168</v>
      </c>
      <c r="CH27" s="23">
        <f t="shared" ref="CH27" si="158">SUM(CH19,CH26)</f>
        <v>168</v>
      </c>
      <c r="CI27" s="23">
        <f t="shared" ref="CI27" si="159">SUM(CI19,CI26)</f>
        <v>168</v>
      </c>
      <c r="CJ27" s="23">
        <f t="shared" ref="CJ27" si="160">SUM(CJ19,CJ26)</f>
        <v>168</v>
      </c>
      <c r="CK27" s="23">
        <f t="shared" ref="CK27:CQ27" si="161">SUM(CK19,CK26)</f>
        <v>168</v>
      </c>
      <c r="CL27" s="23">
        <f t="shared" si="161"/>
        <v>168</v>
      </c>
      <c r="CM27" s="23">
        <f t="shared" si="161"/>
        <v>168</v>
      </c>
      <c r="CN27" s="23">
        <f t="shared" si="161"/>
        <v>126</v>
      </c>
      <c r="CO27" s="23">
        <f t="shared" si="161"/>
        <v>168</v>
      </c>
      <c r="CP27" s="23">
        <f t="shared" si="161"/>
        <v>168</v>
      </c>
      <c r="CQ27" s="23">
        <f t="shared" si="161"/>
        <v>168</v>
      </c>
      <c r="CR27" s="23">
        <f t="shared" ref="CR27:CZ27" si="162">SUM(CR19,CR26)</f>
        <v>168</v>
      </c>
      <c r="CS27" s="23">
        <f t="shared" si="162"/>
        <v>168</v>
      </c>
      <c r="CT27" s="23">
        <f t="shared" si="162"/>
        <v>168</v>
      </c>
      <c r="CU27" s="23">
        <f t="shared" si="162"/>
        <v>168</v>
      </c>
      <c r="CV27" s="23">
        <f t="shared" si="162"/>
        <v>168</v>
      </c>
      <c r="CW27" s="23">
        <f t="shared" si="162"/>
        <v>168</v>
      </c>
      <c r="CX27" s="23">
        <f t="shared" si="162"/>
        <v>84</v>
      </c>
      <c r="CY27" s="23">
        <f t="shared" si="162"/>
        <v>84</v>
      </c>
      <c r="CZ27" s="23">
        <f t="shared" si="162"/>
        <v>84</v>
      </c>
      <c r="DA27" s="23">
        <f t="shared" ref="DA27:DE27" si="163">SUM(DA19,DA26)</f>
        <v>84</v>
      </c>
      <c r="DB27" s="23">
        <f t="shared" si="163"/>
        <v>84</v>
      </c>
      <c r="DC27" s="23">
        <f t="shared" si="163"/>
        <v>84</v>
      </c>
      <c r="DD27" s="23">
        <f t="shared" si="163"/>
        <v>84</v>
      </c>
      <c r="DE27" s="23">
        <f t="shared" si="163"/>
        <v>84</v>
      </c>
      <c r="DF27" s="23">
        <f t="shared" ref="DF27:DJ27" si="164">SUM(DF19,DF26)</f>
        <v>84</v>
      </c>
      <c r="DG27" s="23">
        <f t="shared" si="164"/>
        <v>84</v>
      </c>
      <c r="DH27" s="23">
        <f t="shared" si="164"/>
        <v>84</v>
      </c>
      <c r="DI27" s="23">
        <f t="shared" si="164"/>
        <v>84</v>
      </c>
      <c r="DJ27" s="23">
        <f t="shared" si="164"/>
        <v>84</v>
      </c>
      <c r="DK27" s="23">
        <f t="shared" ref="DK27:DN27" si="165">SUM(DK19,DK26)</f>
        <v>84</v>
      </c>
      <c r="DL27" s="23">
        <f t="shared" si="165"/>
        <v>84</v>
      </c>
      <c r="DM27" s="23">
        <f t="shared" si="165"/>
        <v>0</v>
      </c>
      <c r="DN27" s="23">
        <f t="shared" si="165"/>
        <v>0</v>
      </c>
      <c r="DO27" s="23">
        <f t="shared" ref="DO27:DT27" si="166">SUM(DO19,DO26)</f>
        <v>0</v>
      </c>
      <c r="DP27" s="23">
        <f t="shared" si="166"/>
        <v>0</v>
      </c>
      <c r="DQ27" s="23">
        <f t="shared" si="166"/>
        <v>0</v>
      </c>
      <c r="DR27" s="23">
        <f t="shared" si="166"/>
        <v>0</v>
      </c>
      <c r="DS27" s="23">
        <f t="shared" si="166"/>
        <v>0</v>
      </c>
      <c r="DT27" s="23">
        <f t="shared" si="166"/>
        <v>0</v>
      </c>
      <c r="DU27" s="23">
        <f t="shared" ref="DU27:ED27" si="167">SUM(DU19,DU26)</f>
        <v>0</v>
      </c>
      <c r="DV27" s="23">
        <f t="shared" si="167"/>
        <v>0</v>
      </c>
      <c r="DW27" s="23">
        <f t="shared" si="167"/>
        <v>0</v>
      </c>
      <c r="DX27" s="23">
        <f t="shared" si="167"/>
        <v>0</v>
      </c>
      <c r="DY27" s="23">
        <f t="shared" si="167"/>
        <v>0</v>
      </c>
      <c r="DZ27" s="23">
        <f t="shared" si="167"/>
        <v>0</v>
      </c>
      <c r="EA27" s="23">
        <f t="shared" si="167"/>
        <v>0</v>
      </c>
      <c r="EB27" s="23">
        <f t="shared" si="167"/>
        <v>0</v>
      </c>
      <c r="EC27" s="23">
        <f t="shared" si="167"/>
        <v>0</v>
      </c>
      <c r="ED27" s="23">
        <f t="shared" si="167"/>
        <v>0</v>
      </c>
      <c r="EE27" s="23">
        <f t="shared" ref="EE27:EG27" si="168">SUM(EE19,EE26)</f>
        <v>0</v>
      </c>
      <c r="EF27" s="23">
        <f t="shared" si="168"/>
        <v>0</v>
      </c>
      <c r="EG27" s="23">
        <f t="shared" si="168"/>
        <v>0</v>
      </c>
      <c r="EH27" s="23">
        <f t="shared" ref="EH27:EO27" si="169">SUM(EH19,EH26)</f>
        <v>0</v>
      </c>
      <c r="EI27" s="23">
        <f t="shared" si="169"/>
        <v>0</v>
      </c>
      <c r="EJ27" s="23">
        <f t="shared" si="169"/>
        <v>0</v>
      </c>
      <c r="EK27" s="23">
        <f t="shared" si="169"/>
        <v>0</v>
      </c>
      <c r="EL27" s="23">
        <f t="shared" si="169"/>
        <v>0</v>
      </c>
      <c r="EM27" s="23">
        <f t="shared" si="169"/>
        <v>84</v>
      </c>
      <c r="EN27" s="23">
        <f t="shared" si="169"/>
        <v>84</v>
      </c>
      <c r="EO27" s="23">
        <f t="shared" si="169"/>
        <v>84</v>
      </c>
      <c r="EP27" s="23">
        <f t="shared" ref="EP27:EU27" si="170">SUM(EP19,EP26)</f>
        <v>84</v>
      </c>
      <c r="EQ27" s="23">
        <f t="shared" si="170"/>
        <v>84</v>
      </c>
      <c r="ER27" s="23">
        <f t="shared" si="170"/>
        <v>42</v>
      </c>
      <c r="ES27" s="23">
        <f t="shared" si="170"/>
        <v>84</v>
      </c>
      <c r="ET27" s="23">
        <f t="shared" si="170"/>
        <v>84</v>
      </c>
      <c r="EU27" s="23">
        <f t="shared" si="170"/>
        <v>84</v>
      </c>
      <c r="EV27" s="23">
        <f t="shared" ref="EV27:FF27" si="171">SUM(EV19,EV26)</f>
        <v>0</v>
      </c>
      <c r="EW27" s="23">
        <f t="shared" si="171"/>
        <v>0</v>
      </c>
      <c r="EX27" s="23">
        <f t="shared" si="171"/>
        <v>0</v>
      </c>
      <c r="EY27" s="23">
        <f t="shared" si="171"/>
        <v>0</v>
      </c>
      <c r="EZ27" s="23">
        <f t="shared" si="171"/>
        <v>0</v>
      </c>
      <c r="FA27" s="23">
        <f t="shared" si="171"/>
        <v>0</v>
      </c>
      <c r="FB27" s="23">
        <f t="shared" si="171"/>
        <v>0</v>
      </c>
      <c r="FC27" s="23">
        <f t="shared" si="171"/>
        <v>0</v>
      </c>
      <c r="FD27" s="23">
        <f t="shared" si="171"/>
        <v>0</v>
      </c>
      <c r="FE27" s="23">
        <f t="shared" si="171"/>
        <v>0</v>
      </c>
      <c r="FF27" s="23">
        <f t="shared" si="171"/>
        <v>0</v>
      </c>
      <c r="FG27" s="23">
        <f t="shared" ref="FG27:FP27" si="172">SUM(FG19,FG26)</f>
        <v>0</v>
      </c>
      <c r="FH27" s="23">
        <f t="shared" si="172"/>
        <v>0</v>
      </c>
      <c r="FI27" s="23">
        <f t="shared" si="172"/>
        <v>0</v>
      </c>
      <c r="FJ27" s="23">
        <f t="shared" si="172"/>
        <v>0</v>
      </c>
      <c r="FK27" s="23">
        <f t="shared" si="172"/>
        <v>0</v>
      </c>
      <c r="FL27" s="23">
        <f t="shared" si="172"/>
        <v>0</v>
      </c>
      <c r="FM27" s="23">
        <f t="shared" si="172"/>
        <v>0</v>
      </c>
      <c r="FN27" s="23">
        <f t="shared" si="172"/>
        <v>0</v>
      </c>
      <c r="FO27" s="23">
        <f t="shared" si="172"/>
        <v>0</v>
      </c>
      <c r="FP27" s="23">
        <f t="shared" si="172"/>
        <v>0</v>
      </c>
      <c r="FQ27" s="23">
        <f t="shared" ref="FQ27:FY27" si="173">SUM(FQ19,FQ26)</f>
        <v>0</v>
      </c>
      <c r="FR27" s="23">
        <f t="shared" si="173"/>
        <v>0</v>
      </c>
      <c r="FS27" s="23">
        <f t="shared" si="173"/>
        <v>0</v>
      </c>
      <c r="FT27" s="23">
        <f t="shared" si="173"/>
        <v>0</v>
      </c>
      <c r="FU27" s="23">
        <f t="shared" si="173"/>
        <v>0</v>
      </c>
      <c r="FV27" s="23">
        <f t="shared" si="173"/>
        <v>0</v>
      </c>
      <c r="FW27" s="23">
        <f t="shared" si="173"/>
        <v>0</v>
      </c>
      <c r="FX27" s="23">
        <f t="shared" si="173"/>
        <v>0</v>
      </c>
      <c r="FY27" s="23">
        <f t="shared" si="173"/>
        <v>0</v>
      </c>
      <c r="FZ27" s="23">
        <f t="shared" ref="FZ27:GJ27" si="174">SUM(FZ19,FZ26)</f>
        <v>0</v>
      </c>
      <c r="GA27" s="23">
        <f t="shared" si="174"/>
        <v>0</v>
      </c>
      <c r="GB27" s="23">
        <f t="shared" si="174"/>
        <v>0</v>
      </c>
      <c r="GC27" s="23">
        <f t="shared" si="174"/>
        <v>0</v>
      </c>
      <c r="GD27" s="23">
        <f t="shared" si="174"/>
        <v>0</v>
      </c>
      <c r="GE27" s="23">
        <f t="shared" si="174"/>
        <v>0</v>
      </c>
      <c r="GF27" s="23">
        <f t="shared" si="174"/>
        <v>0</v>
      </c>
      <c r="GG27" s="23">
        <f t="shared" si="174"/>
        <v>0</v>
      </c>
      <c r="GH27" s="23">
        <f t="shared" si="174"/>
        <v>0</v>
      </c>
      <c r="GI27" s="23">
        <f t="shared" si="174"/>
        <v>0</v>
      </c>
      <c r="GJ27" s="23">
        <f t="shared" si="174"/>
        <v>0</v>
      </c>
      <c r="GK27" s="23">
        <f t="shared" ref="GK27:GT27" si="175">SUM(GK19,GK26)</f>
        <v>0</v>
      </c>
      <c r="GL27" s="23">
        <f t="shared" si="175"/>
        <v>0</v>
      </c>
      <c r="GM27" s="23">
        <f t="shared" si="175"/>
        <v>0</v>
      </c>
      <c r="GN27" s="23">
        <f t="shared" si="175"/>
        <v>0</v>
      </c>
      <c r="GO27" s="23">
        <f t="shared" si="175"/>
        <v>0</v>
      </c>
      <c r="GP27" s="23">
        <f t="shared" si="175"/>
        <v>0</v>
      </c>
      <c r="GQ27" s="23">
        <f t="shared" si="175"/>
        <v>0</v>
      </c>
      <c r="GR27" s="23">
        <f t="shared" si="175"/>
        <v>0</v>
      </c>
      <c r="GS27" s="23">
        <f t="shared" si="175"/>
        <v>0</v>
      </c>
      <c r="GT27" s="23">
        <f t="shared" si="175"/>
        <v>0</v>
      </c>
    </row>
    <row r="29" spans="1:202" x14ac:dyDescent="0.35">
      <c r="AZ29">
        <f t="shared" ref="AZ29:BR29" si="176">AZ13*42</f>
        <v>84</v>
      </c>
      <c r="BA29">
        <f t="shared" si="176"/>
        <v>84</v>
      </c>
      <c r="BB29">
        <f t="shared" si="176"/>
        <v>168</v>
      </c>
      <c r="BC29">
        <f t="shared" si="176"/>
        <v>168</v>
      </c>
      <c r="BD29">
        <f t="shared" si="176"/>
        <v>168</v>
      </c>
      <c r="BE29">
        <f t="shared" si="176"/>
        <v>168</v>
      </c>
      <c r="BF29">
        <f t="shared" si="176"/>
        <v>126</v>
      </c>
      <c r="BG29">
        <f t="shared" si="176"/>
        <v>84</v>
      </c>
      <c r="BH29">
        <f t="shared" si="176"/>
        <v>84</v>
      </c>
      <c r="BI29">
        <f t="shared" si="176"/>
        <v>84</v>
      </c>
      <c r="BJ29">
        <f t="shared" si="176"/>
        <v>84</v>
      </c>
      <c r="BK29">
        <f t="shared" si="176"/>
        <v>84</v>
      </c>
      <c r="BL29">
        <f t="shared" si="176"/>
        <v>84</v>
      </c>
      <c r="BM29">
        <f t="shared" si="176"/>
        <v>84</v>
      </c>
      <c r="BN29">
        <f t="shared" si="176"/>
        <v>0</v>
      </c>
      <c r="BO29">
        <f t="shared" si="176"/>
        <v>84</v>
      </c>
      <c r="BP29">
        <f t="shared" si="176"/>
        <v>84</v>
      </c>
      <c r="BQ29">
        <f t="shared" si="176"/>
        <v>84</v>
      </c>
      <c r="BR29">
        <f t="shared" si="176"/>
        <v>84</v>
      </c>
    </row>
    <row r="30" spans="1:202" x14ac:dyDescent="0.35">
      <c r="AZ30">
        <f t="shared" ref="AZ30:BR30" si="177">AZ15*42</f>
        <v>84</v>
      </c>
      <c r="BA30">
        <f t="shared" si="177"/>
        <v>84</v>
      </c>
      <c r="BB30">
        <f t="shared" si="177"/>
        <v>84</v>
      </c>
      <c r="BC30">
        <f t="shared" si="177"/>
        <v>84</v>
      </c>
      <c r="BD30">
        <f t="shared" si="177"/>
        <v>84</v>
      </c>
      <c r="BE30">
        <f t="shared" si="177"/>
        <v>84</v>
      </c>
      <c r="BF30">
        <f t="shared" si="177"/>
        <v>126</v>
      </c>
      <c r="BG30">
        <f t="shared" si="177"/>
        <v>84</v>
      </c>
      <c r="BH30">
        <f t="shared" si="177"/>
        <v>84</v>
      </c>
      <c r="BI30">
        <f t="shared" si="177"/>
        <v>0</v>
      </c>
      <c r="BJ30">
        <f t="shared" si="177"/>
        <v>0</v>
      </c>
      <c r="BK30">
        <f t="shared" si="177"/>
        <v>0</v>
      </c>
      <c r="BL30">
        <f t="shared" si="177"/>
        <v>0</v>
      </c>
      <c r="BM30">
        <f t="shared" si="177"/>
        <v>0</v>
      </c>
      <c r="BN30">
        <f t="shared" si="177"/>
        <v>84</v>
      </c>
      <c r="BO30">
        <f t="shared" si="177"/>
        <v>84</v>
      </c>
      <c r="BP30">
        <f t="shared" si="177"/>
        <v>0</v>
      </c>
      <c r="BQ30">
        <f t="shared" si="177"/>
        <v>0</v>
      </c>
      <c r="BR30">
        <f t="shared" si="177"/>
        <v>0</v>
      </c>
    </row>
    <row r="31" spans="1:202" x14ac:dyDescent="0.35">
      <c r="AZ31">
        <f t="shared" ref="AZ31:BR31" si="178">AZ20*42</f>
        <v>0</v>
      </c>
      <c r="BA31">
        <f t="shared" si="178"/>
        <v>0</v>
      </c>
      <c r="BB31">
        <f t="shared" si="178"/>
        <v>0</v>
      </c>
      <c r="BC31">
        <f t="shared" si="178"/>
        <v>0</v>
      </c>
      <c r="BD31">
        <f t="shared" si="178"/>
        <v>0</v>
      </c>
      <c r="BE31">
        <f t="shared" si="178"/>
        <v>0</v>
      </c>
      <c r="BF31">
        <f t="shared" si="178"/>
        <v>0</v>
      </c>
      <c r="BG31">
        <f t="shared" si="178"/>
        <v>0</v>
      </c>
      <c r="BH31">
        <f t="shared" si="178"/>
        <v>0</v>
      </c>
      <c r="BI31">
        <f t="shared" si="178"/>
        <v>84</v>
      </c>
      <c r="BJ31">
        <f t="shared" si="178"/>
        <v>84</v>
      </c>
      <c r="BK31">
        <f t="shared" si="178"/>
        <v>84</v>
      </c>
      <c r="BL31">
        <f t="shared" si="178"/>
        <v>84</v>
      </c>
      <c r="BM31">
        <f t="shared" si="178"/>
        <v>84</v>
      </c>
      <c r="BN31">
        <f t="shared" si="178"/>
        <v>84</v>
      </c>
      <c r="BO31">
        <f t="shared" si="178"/>
        <v>0</v>
      </c>
      <c r="BP31">
        <f t="shared" si="178"/>
        <v>0</v>
      </c>
      <c r="BQ31">
        <f t="shared" si="178"/>
        <v>0</v>
      </c>
      <c r="BR31">
        <f t="shared" si="178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C1710-54FE-4512-9239-8127E891A868}">
  <dimension ref="A1:IC69"/>
  <sheetViews>
    <sheetView workbookViewId="0">
      <pane ySplit="3" topLeftCell="A4" activePane="bottomLeft" state="frozen"/>
      <selection pane="bottomLeft" activeCell="A19" sqref="A19"/>
    </sheetView>
  </sheetViews>
  <sheetFormatPr defaultRowHeight="15.5" x14ac:dyDescent="0.35"/>
  <cols>
    <col min="1" max="1" width="24.25" bestFit="1" customWidth="1"/>
    <col min="2" max="19" width="0" hidden="1" customWidth="1"/>
    <col min="20" max="20" width="8.1640625" hidden="1" customWidth="1"/>
    <col min="21" max="31" width="0" hidden="1" customWidth="1"/>
    <col min="32" max="32" width="11.5" customWidth="1"/>
    <col min="33" max="37" width="13.83203125" hidden="1" customWidth="1"/>
    <col min="38" max="39" width="10.4140625" hidden="1" customWidth="1"/>
    <col min="40" max="46" width="0" hidden="1" customWidth="1"/>
    <col min="47" max="57" width="9.25" hidden="1" customWidth="1"/>
    <col min="58" max="58" width="9.33203125" hidden="1" customWidth="1"/>
    <col min="59" max="68" width="9.25" hidden="1" customWidth="1"/>
    <col min="69" max="69" width="0" hidden="1" customWidth="1"/>
    <col min="70" max="70" width="10.08203125" hidden="1" customWidth="1"/>
    <col min="71" max="74" width="9.9140625" style="18" hidden="1" customWidth="1"/>
    <col min="75" max="75" width="10.6640625" hidden="1" customWidth="1"/>
    <col min="76" max="76" width="10.5" hidden="1" customWidth="1"/>
    <col min="77" max="77" width="10.25" hidden="1" customWidth="1"/>
    <col min="78" max="81" width="9.83203125" hidden="1" customWidth="1"/>
    <col min="82" max="95" width="10.4140625" hidden="1" customWidth="1"/>
    <col min="96" max="96" width="9.33203125" hidden="1" customWidth="1"/>
    <col min="97" max="100" width="8.33203125" hidden="1" customWidth="1"/>
    <col min="101" max="109" width="11.08203125" hidden="1" customWidth="1"/>
    <col min="110" max="110" width="9.6640625" hidden="1" customWidth="1"/>
    <col min="111" max="125" width="9.25" hidden="1" customWidth="1"/>
    <col min="126" max="127" width="10" hidden="1" customWidth="1"/>
    <col min="128" max="136" width="0" hidden="1" customWidth="1"/>
    <col min="137" max="137" width="12.5" hidden="1" customWidth="1"/>
    <col min="138" max="144" width="11.75" style="8" hidden="1" customWidth="1"/>
    <col min="145" max="150" width="9.33203125" style="8" hidden="1" customWidth="1"/>
    <col min="151" max="151" width="10.1640625" style="8" hidden="1" customWidth="1"/>
    <col min="152" max="153" width="9.33203125" style="8" hidden="1" customWidth="1"/>
    <col min="154" max="154" width="9.25" style="8" hidden="1" customWidth="1"/>
    <col min="155" max="157" width="9.25" hidden="1" customWidth="1"/>
    <col min="158" max="158" width="8.25" hidden="1" customWidth="1"/>
    <col min="159" max="165" width="0" hidden="1" customWidth="1"/>
    <col min="166" max="166" width="12.08203125" hidden="1" customWidth="1"/>
    <col min="167" max="167" width="13.75" hidden="1" customWidth="1"/>
    <col min="168" max="168" width="14" hidden="1" customWidth="1"/>
    <col min="169" max="170" width="13.75" hidden="1" customWidth="1"/>
    <col min="171" max="171" width="14.75" hidden="1" customWidth="1"/>
    <col min="172" max="172" width="13" hidden="1" customWidth="1"/>
    <col min="173" max="180" width="13.75" hidden="1" customWidth="1"/>
    <col min="181" max="181" width="11.25" hidden="1" customWidth="1"/>
    <col min="182" max="188" width="9.33203125" hidden="1" customWidth="1"/>
    <col min="189" max="195" width="0" hidden="1" customWidth="1"/>
    <col min="196" max="196" width="11.4140625" hidden="1" customWidth="1"/>
    <col min="197" max="197" width="10.08203125" hidden="1" customWidth="1"/>
    <col min="198" max="200" width="12.08203125" hidden="1" customWidth="1"/>
    <col min="201" max="214" width="10.9140625" hidden="1" customWidth="1"/>
    <col min="215" max="218" width="9.33203125" hidden="1" customWidth="1"/>
    <col min="219" max="219" width="0" hidden="1" customWidth="1"/>
    <col min="228" max="228" width="9.6640625" customWidth="1"/>
    <col min="229" max="235" width="9.33203125" bestFit="1" customWidth="1"/>
  </cols>
  <sheetData>
    <row r="1" spans="1:237" x14ac:dyDescent="0.35">
      <c r="A1" t="s">
        <v>13</v>
      </c>
      <c r="B1" s="4">
        <v>45983</v>
      </c>
      <c r="C1" s="4">
        <v>45984</v>
      </c>
      <c r="D1" s="4">
        <v>45985</v>
      </c>
      <c r="E1" s="4">
        <v>45986</v>
      </c>
      <c r="F1" s="4">
        <v>45987</v>
      </c>
      <c r="G1" s="4">
        <v>45988</v>
      </c>
      <c r="H1" s="4">
        <v>45989</v>
      </c>
      <c r="I1" s="5">
        <v>45990</v>
      </c>
      <c r="J1" s="5">
        <v>45991</v>
      </c>
      <c r="K1" s="4">
        <v>45992</v>
      </c>
      <c r="L1" s="4">
        <v>45993</v>
      </c>
      <c r="M1" s="4">
        <v>45994</v>
      </c>
      <c r="N1" s="4">
        <v>45995</v>
      </c>
      <c r="O1" s="4">
        <v>45996</v>
      </c>
      <c r="P1" s="5">
        <v>45997</v>
      </c>
      <c r="Q1" s="5">
        <v>45998</v>
      </c>
      <c r="R1" s="4">
        <v>45999</v>
      </c>
      <c r="S1" s="4">
        <v>46000</v>
      </c>
      <c r="T1" s="4">
        <v>46001</v>
      </c>
      <c r="U1" s="4">
        <v>46002</v>
      </c>
      <c r="V1" s="4">
        <v>46003</v>
      </c>
      <c r="W1" s="5">
        <v>46004</v>
      </c>
      <c r="X1" s="5">
        <v>46005</v>
      </c>
      <c r="Y1" s="4">
        <v>46006</v>
      </c>
      <c r="Z1" s="4">
        <v>46007</v>
      </c>
      <c r="AA1" s="4">
        <v>46008</v>
      </c>
      <c r="AB1" s="4">
        <v>46009</v>
      </c>
      <c r="AC1" s="4">
        <v>46010</v>
      </c>
      <c r="AD1" s="5">
        <v>46011</v>
      </c>
      <c r="AE1" s="5">
        <v>46012</v>
      </c>
      <c r="AF1" s="5"/>
      <c r="AG1" s="9">
        <v>46018</v>
      </c>
      <c r="AH1" s="9">
        <v>46019</v>
      </c>
      <c r="AI1" s="8">
        <v>46020</v>
      </c>
      <c r="AJ1" s="8">
        <v>46021</v>
      </c>
      <c r="AK1" s="8">
        <v>46022</v>
      </c>
      <c r="AL1" s="8">
        <v>46023</v>
      </c>
      <c r="AM1" s="8">
        <v>46024</v>
      </c>
      <c r="AN1" s="9">
        <v>46025</v>
      </c>
      <c r="AO1" s="9">
        <v>46026</v>
      </c>
      <c r="AP1" s="8">
        <v>46027</v>
      </c>
      <c r="AQ1" s="8">
        <v>46028</v>
      </c>
      <c r="AR1" s="8">
        <v>46029</v>
      </c>
      <c r="AS1" s="8">
        <v>46030</v>
      </c>
      <c r="AT1" s="8">
        <v>46031</v>
      </c>
      <c r="AU1" s="9">
        <v>46032</v>
      </c>
      <c r="AV1" s="9">
        <v>46033</v>
      </c>
      <c r="AW1" s="8">
        <v>46034</v>
      </c>
      <c r="AX1" s="8">
        <v>46035</v>
      </c>
      <c r="AY1" s="8">
        <v>46036</v>
      </c>
      <c r="AZ1" s="8">
        <v>46037</v>
      </c>
      <c r="BA1" s="8">
        <v>46038</v>
      </c>
      <c r="BB1" s="9">
        <v>46039</v>
      </c>
      <c r="BC1" s="9">
        <v>46040</v>
      </c>
      <c r="BD1" s="8">
        <v>46041</v>
      </c>
      <c r="BE1" s="8">
        <v>46042</v>
      </c>
      <c r="BF1" s="8">
        <v>46043</v>
      </c>
      <c r="BG1" s="8">
        <v>46044</v>
      </c>
      <c r="BH1" s="8">
        <v>46045</v>
      </c>
      <c r="BI1" s="9">
        <v>46046</v>
      </c>
      <c r="BJ1" s="9">
        <v>46047</v>
      </c>
      <c r="BK1" s="8">
        <v>46048</v>
      </c>
      <c r="BL1" s="8">
        <v>46049</v>
      </c>
      <c r="BM1" s="8">
        <v>46050</v>
      </c>
      <c r="BN1" s="8">
        <v>46051</v>
      </c>
      <c r="BO1" s="8">
        <v>46052</v>
      </c>
      <c r="BP1" s="9">
        <v>46053</v>
      </c>
      <c r="BQ1" s="9">
        <v>46054</v>
      </c>
      <c r="BR1" s="8">
        <v>46055</v>
      </c>
      <c r="BS1" s="19">
        <v>46056</v>
      </c>
      <c r="BT1" s="19">
        <v>46057</v>
      </c>
      <c r="BU1" s="19">
        <v>46058</v>
      </c>
      <c r="BV1" s="19">
        <v>46059</v>
      </c>
      <c r="BW1" s="9">
        <v>46060</v>
      </c>
      <c r="BX1" s="9">
        <v>46061</v>
      </c>
      <c r="BY1" s="8">
        <v>46062</v>
      </c>
      <c r="BZ1" s="8">
        <v>46063</v>
      </c>
      <c r="CA1" s="8">
        <v>46064</v>
      </c>
      <c r="CB1" s="8">
        <v>46065</v>
      </c>
      <c r="CC1" s="8">
        <v>46066</v>
      </c>
      <c r="CD1" s="9">
        <v>46067</v>
      </c>
      <c r="CE1" s="9">
        <v>46068</v>
      </c>
      <c r="CF1" s="8">
        <v>46069</v>
      </c>
      <c r="CG1" s="8">
        <v>46070</v>
      </c>
      <c r="CH1" s="8">
        <v>46071</v>
      </c>
      <c r="CI1" s="8">
        <v>46072</v>
      </c>
      <c r="CJ1" s="8">
        <v>46073</v>
      </c>
      <c r="CK1" s="9">
        <v>46074</v>
      </c>
      <c r="CL1" s="9">
        <v>46075</v>
      </c>
      <c r="CM1" s="8">
        <v>46076</v>
      </c>
      <c r="CN1" s="8">
        <v>46077</v>
      </c>
      <c r="CO1" s="8">
        <v>46078</v>
      </c>
      <c r="CP1" s="8">
        <v>46079</v>
      </c>
      <c r="CQ1" s="8">
        <v>46080</v>
      </c>
      <c r="CR1" s="9">
        <v>46081</v>
      </c>
      <c r="CS1" s="9">
        <v>46082</v>
      </c>
      <c r="CT1" s="8">
        <v>46083</v>
      </c>
      <c r="CU1" s="8">
        <v>46084</v>
      </c>
      <c r="CV1" s="8">
        <v>46085</v>
      </c>
      <c r="CW1" s="8">
        <v>46086</v>
      </c>
      <c r="CX1" s="8">
        <v>46087</v>
      </c>
      <c r="CY1" s="9">
        <v>46088</v>
      </c>
      <c r="CZ1" s="9">
        <v>46089</v>
      </c>
      <c r="DA1" s="8">
        <v>46090</v>
      </c>
      <c r="DB1" s="8">
        <v>46091</v>
      </c>
      <c r="DC1" s="8">
        <v>46092</v>
      </c>
      <c r="DD1" s="8">
        <v>46093</v>
      </c>
      <c r="DE1" s="8">
        <v>46094</v>
      </c>
      <c r="DF1" s="9">
        <v>46095</v>
      </c>
      <c r="DG1" s="9">
        <v>46096</v>
      </c>
      <c r="DH1" s="8">
        <v>46097</v>
      </c>
      <c r="DI1" s="8">
        <v>46098</v>
      </c>
      <c r="DJ1" s="8">
        <v>46099</v>
      </c>
      <c r="DK1" s="8">
        <v>46100</v>
      </c>
      <c r="DL1" s="8">
        <v>46101</v>
      </c>
      <c r="DM1" s="9">
        <v>46102</v>
      </c>
      <c r="DN1" s="9">
        <v>46103</v>
      </c>
      <c r="DO1" s="8">
        <v>46104</v>
      </c>
      <c r="DP1" s="8">
        <v>46105</v>
      </c>
      <c r="DQ1" s="8">
        <v>46106</v>
      </c>
      <c r="DR1" s="8">
        <v>46107</v>
      </c>
      <c r="DS1" s="8">
        <v>46108</v>
      </c>
      <c r="DT1" s="9">
        <v>46109</v>
      </c>
      <c r="DU1" s="9">
        <v>46110</v>
      </c>
      <c r="DV1" s="8">
        <v>46111</v>
      </c>
      <c r="DW1" s="8">
        <v>46112</v>
      </c>
      <c r="DX1" s="8">
        <v>46113</v>
      </c>
      <c r="DY1" s="8">
        <v>46114</v>
      </c>
      <c r="DZ1" s="8">
        <v>46115</v>
      </c>
      <c r="EA1" s="9">
        <v>46116</v>
      </c>
      <c r="EB1" s="9">
        <v>46117</v>
      </c>
      <c r="EC1" s="8">
        <v>46118</v>
      </c>
      <c r="ED1" s="8">
        <v>46119</v>
      </c>
      <c r="EE1" s="8">
        <v>46120</v>
      </c>
      <c r="EF1" s="8">
        <v>46121</v>
      </c>
      <c r="EG1" s="8">
        <v>46122</v>
      </c>
      <c r="EH1" s="9">
        <v>46123</v>
      </c>
      <c r="EI1" s="9">
        <v>46124</v>
      </c>
      <c r="EJ1" s="8">
        <v>46125</v>
      </c>
      <c r="EK1" s="8">
        <v>46126</v>
      </c>
      <c r="EL1" s="8">
        <v>46127</v>
      </c>
      <c r="EM1" s="8">
        <v>46128</v>
      </c>
      <c r="EN1" s="8">
        <v>46129</v>
      </c>
      <c r="EO1" s="9">
        <v>46130</v>
      </c>
      <c r="EP1" s="9">
        <v>46131</v>
      </c>
      <c r="EQ1" s="8">
        <v>46132</v>
      </c>
      <c r="ER1" s="8">
        <v>46133</v>
      </c>
      <c r="ES1" s="8">
        <v>46134</v>
      </c>
      <c r="ET1" s="8">
        <v>46135</v>
      </c>
      <c r="EU1" s="8">
        <v>46136</v>
      </c>
      <c r="EV1" s="9">
        <v>46137</v>
      </c>
      <c r="EW1" s="9">
        <v>46138</v>
      </c>
      <c r="EX1" s="8">
        <v>46139</v>
      </c>
      <c r="EY1" s="8">
        <v>46140</v>
      </c>
      <c r="EZ1" s="8">
        <v>46141</v>
      </c>
      <c r="FA1" s="8">
        <v>46142</v>
      </c>
      <c r="FB1" s="8">
        <v>46143</v>
      </c>
      <c r="FC1" s="9">
        <v>46144</v>
      </c>
      <c r="FD1" s="9">
        <v>46145</v>
      </c>
      <c r="FE1" s="8">
        <v>46146</v>
      </c>
      <c r="FF1" s="8">
        <v>46147</v>
      </c>
      <c r="FG1" s="8">
        <v>46148</v>
      </c>
      <c r="FH1" s="8">
        <v>46149</v>
      </c>
      <c r="FI1" s="8">
        <v>46150</v>
      </c>
      <c r="FJ1" s="9">
        <v>46151</v>
      </c>
      <c r="FK1" s="9">
        <v>46152</v>
      </c>
      <c r="FL1" s="8">
        <v>46153</v>
      </c>
      <c r="FM1" s="8">
        <v>46154</v>
      </c>
      <c r="FN1" s="8">
        <v>46155</v>
      </c>
      <c r="FO1" s="8">
        <v>46156</v>
      </c>
      <c r="FP1" s="8">
        <v>46157</v>
      </c>
      <c r="FQ1" s="9">
        <v>46158</v>
      </c>
      <c r="FR1" s="9">
        <v>46159</v>
      </c>
      <c r="FS1" s="8">
        <v>46160</v>
      </c>
      <c r="FT1" s="8">
        <v>46161</v>
      </c>
      <c r="FU1" s="8">
        <v>46162</v>
      </c>
      <c r="FV1" s="8">
        <v>46163</v>
      </c>
      <c r="FW1" s="8">
        <v>46164</v>
      </c>
      <c r="FX1" s="9">
        <v>46165</v>
      </c>
      <c r="FY1" s="9">
        <v>46166</v>
      </c>
      <c r="FZ1" s="8">
        <v>46167</v>
      </c>
      <c r="GA1" s="8">
        <v>46168</v>
      </c>
      <c r="GB1" s="8">
        <v>46169</v>
      </c>
      <c r="GC1" s="8">
        <v>46170</v>
      </c>
      <c r="GD1" s="8">
        <v>46171</v>
      </c>
      <c r="GE1" s="9">
        <v>46172</v>
      </c>
      <c r="GF1" s="9">
        <v>46173</v>
      </c>
      <c r="GG1" s="8">
        <v>46174</v>
      </c>
      <c r="GH1" s="8">
        <v>46175</v>
      </c>
      <c r="GI1" s="8">
        <v>46176</v>
      </c>
      <c r="GJ1" s="8">
        <v>46177</v>
      </c>
      <c r="GK1" s="8">
        <v>46178</v>
      </c>
      <c r="GL1" s="9">
        <v>46179</v>
      </c>
      <c r="GM1" s="9">
        <v>46180</v>
      </c>
      <c r="GN1" s="8">
        <v>46181</v>
      </c>
      <c r="GO1" s="8">
        <v>46182</v>
      </c>
      <c r="GP1" s="8">
        <v>46183</v>
      </c>
      <c r="GQ1" s="8">
        <v>46184</v>
      </c>
      <c r="GR1" s="8">
        <v>46185</v>
      </c>
      <c r="GS1" s="9">
        <v>46186</v>
      </c>
      <c r="GT1" s="9">
        <v>46187</v>
      </c>
      <c r="GU1" s="8">
        <v>46188</v>
      </c>
      <c r="GV1" s="8">
        <v>46189</v>
      </c>
      <c r="GW1" s="8">
        <v>46190</v>
      </c>
      <c r="GX1" s="8">
        <v>46191</v>
      </c>
      <c r="GY1" s="8">
        <v>46192</v>
      </c>
      <c r="GZ1" s="9">
        <v>46193</v>
      </c>
      <c r="HA1" s="9">
        <v>46194</v>
      </c>
      <c r="HB1" s="8">
        <v>46195</v>
      </c>
      <c r="HC1" s="8">
        <v>46196</v>
      </c>
      <c r="HD1" s="8">
        <v>46197</v>
      </c>
      <c r="HE1" s="8">
        <v>46198</v>
      </c>
      <c r="HF1" s="8">
        <v>46199</v>
      </c>
      <c r="HG1" s="9">
        <v>46200</v>
      </c>
      <c r="HH1" s="9">
        <v>46201</v>
      </c>
      <c r="HI1" s="8">
        <v>46202</v>
      </c>
      <c r="HJ1" s="8">
        <v>46203</v>
      </c>
      <c r="HK1" s="8">
        <v>46204</v>
      </c>
      <c r="HL1" s="8">
        <v>46205</v>
      </c>
      <c r="HM1" s="8">
        <v>46206</v>
      </c>
      <c r="HN1" s="9">
        <v>46207</v>
      </c>
      <c r="HO1" s="9">
        <v>46208</v>
      </c>
      <c r="HP1" s="8">
        <v>46209</v>
      </c>
      <c r="HQ1" s="8">
        <v>46210</v>
      </c>
      <c r="HR1" s="8">
        <v>46211</v>
      </c>
      <c r="HS1" s="8">
        <v>46212</v>
      </c>
      <c r="HT1" s="8">
        <v>46213</v>
      </c>
      <c r="HU1" s="9">
        <v>46214</v>
      </c>
      <c r="HV1" s="9">
        <v>46215</v>
      </c>
      <c r="HW1" s="8">
        <v>46216</v>
      </c>
      <c r="HX1" s="8">
        <v>46217</v>
      </c>
      <c r="HY1" s="8">
        <v>46218</v>
      </c>
      <c r="HZ1" s="8">
        <v>46219</v>
      </c>
      <c r="IA1" s="8">
        <v>46220</v>
      </c>
      <c r="IB1" s="9">
        <v>46221</v>
      </c>
      <c r="IC1" s="9">
        <v>46222</v>
      </c>
    </row>
    <row r="2" spans="1:237" hidden="1" x14ac:dyDescent="0.35">
      <c r="A2" t="s">
        <v>11</v>
      </c>
      <c r="C2">
        <f>4*45</f>
        <v>180</v>
      </c>
      <c r="D2">
        <f>45*3</f>
        <v>135</v>
      </c>
    </row>
    <row r="3" spans="1:237" hidden="1" x14ac:dyDescent="0.35"/>
    <row r="4" spans="1:237" s="1" customFormat="1" x14ac:dyDescent="0.35">
      <c r="A4" s="1" t="s">
        <v>40</v>
      </c>
      <c r="B4" s="1">
        <v>5</v>
      </c>
      <c r="C4" s="1">
        <v>5</v>
      </c>
      <c r="D4" s="1">
        <v>5</v>
      </c>
      <c r="E4" s="1">
        <v>6</v>
      </c>
      <c r="F4" s="1">
        <v>6</v>
      </c>
      <c r="G4" s="1">
        <v>6</v>
      </c>
      <c r="H4" s="1">
        <v>6</v>
      </c>
      <c r="I4" s="1">
        <v>7</v>
      </c>
      <c r="J4" s="1">
        <v>7</v>
      </c>
      <c r="K4" s="1">
        <v>7</v>
      </c>
      <c r="L4" s="1">
        <v>7</v>
      </c>
      <c r="M4" s="1">
        <v>7</v>
      </c>
      <c r="N4" s="1">
        <v>7</v>
      </c>
      <c r="O4" s="1">
        <v>7</v>
      </c>
      <c r="P4" s="1">
        <v>9</v>
      </c>
      <c r="Q4" s="1">
        <v>9</v>
      </c>
      <c r="R4" s="1">
        <v>8</v>
      </c>
      <c r="S4" s="1">
        <v>8</v>
      </c>
      <c r="T4" s="1">
        <v>8</v>
      </c>
      <c r="U4" s="1">
        <v>5</v>
      </c>
      <c r="V4" s="1">
        <v>3</v>
      </c>
      <c r="W4" s="1">
        <v>15</v>
      </c>
      <c r="X4" s="1">
        <v>15</v>
      </c>
      <c r="Y4" s="1">
        <v>15</v>
      </c>
      <c r="Z4" s="1">
        <v>9</v>
      </c>
      <c r="AA4" s="1">
        <v>9</v>
      </c>
      <c r="AB4" s="1">
        <v>9</v>
      </c>
      <c r="AC4" s="1">
        <v>9</v>
      </c>
      <c r="AD4" s="1">
        <v>3</v>
      </c>
      <c r="AE4" s="1">
        <v>3</v>
      </c>
      <c r="AG4" s="1">
        <v>4</v>
      </c>
      <c r="AH4" s="1">
        <v>4</v>
      </c>
      <c r="AI4" s="1">
        <v>4</v>
      </c>
      <c r="AJ4" s="1">
        <v>4</v>
      </c>
      <c r="AK4" s="1">
        <v>4</v>
      </c>
      <c r="AL4" s="1">
        <v>2</v>
      </c>
      <c r="AM4" s="1">
        <v>2</v>
      </c>
      <c r="AN4" s="1">
        <v>2</v>
      </c>
      <c r="AO4" s="1">
        <v>2</v>
      </c>
      <c r="AP4" s="1">
        <v>2</v>
      </c>
      <c r="AQ4" s="1">
        <v>7</v>
      </c>
      <c r="AR4" s="1">
        <v>7</v>
      </c>
      <c r="AS4" s="1">
        <v>8</v>
      </c>
      <c r="AT4" s="1">
        <v>8</v>
      </c>
      <c r="AU4" s="1">
        <v>5</v>
      </c>
      <c r="AV4" s="1">
        <v>5</v>
      </c>
      <c r="AW4" s="1">
        <v>5</v>
      </c>
      <c r="AX4" s="1">
        <v>7</v>
      </c>
      <c r="AY4" s="1">
        <v>6</v>
      </c>
      <c r="AZ4" s="1">
        <v>6</v>
      </c>
      <c r="BA4" s="1">
        <v>6</v>
      </c>
      <c r="BB4" s="1">
        <v>7</v>
      </c>
      <c r="BC4" s="1">
        <v>7</v>
      </c>
      <c r="BD4" s="1">
        <v>7</v>
      </c>
      <c r="BE4" s="1">
        <v>7</v>
      </c>
      <c r="BF4" s="1">
        <v>7</v>
      </c>
      <c r="BG4" s="1">
        <v>7</v>
      </c>
      <c r="BH4" s="1">
        <v>7</v>
      </c>
      <c r="BI4" s="1">
        <v>5</v>
      </c>
      <c r="BJ4" s="1">
        <v>5</v>
      </c>
      <c r="BK4" s="1">
        <v>5</v>
      </c>
      <c r="BL4" s="1">
        <v>6</v>
      </c>
      <c r="BM4" s="1">
        <v>6</v>
      </c>
      <c r="BN4" s="1">
        <v>11</v>
      </c>
      <c r="BO4" s="1">
        <v>13</v>
      </c>
      <c r="BP4" s="1">
        <v>19</v>
      </c>
      <c r="BQ4" s="1">
        <v>19</v>
      </c>
      <c r="BR4" s="1">
        <v>19</v>
      </c>
      <c r="BS4" s="14">
        <v>10</v>
      </c>
      <c r="BT4" s="14">
        <v>8</v>
      </c>
      <c r="BU4" s="14">
        <v>7</v>
      </c>
      <c r="BV4" s="14">
        <v>7</v>
      </c>
      <c r="BW4" s="14">
        <v>4</v>
      </c>
      <c r="BX4" s="14">
        <v>4</v>
      </c>
      <c r="BY4" s="14"/>
      <c r="BZ4" s="14"/>
      <c r="CA4" s="14"/>
      <c r="CB4" s="14">
        <v>3</v>
      </c>
      <c r="CC4" s="14">
        <v>3</v>
      </c>
      <c r="CD4" s="14">
        <v>4</v>
      </c>
      <c r="CE4" s="14">
        <v>4</v>
      </c>
      <c r="CF4" s="14">
        <v>4</v>
      </c>
      <c r="CG4" s="14">
        <v>4</v>
      </c>
      <c r="CH4" s="14">
        <v>4</v>
      </c>
      <c r="CI4" s="14">
        <v>4</v>
      </c>
      <c r="CJ4" s="14">
        <v>4</v>
      </c>
      <c r="CK4" s="14">
        <v>4</v>
      </c>
      <c r="CL4" s="14">
        <v>4</v>
      </c>
      <c r="CM4" s="14">
        <v>4</v>
      </c>
      <c r="CN4" s="14">
        <v>4</v>
      </c>
      <c r="CO4" s="14">
        <v>4</v>
      </c>
      <c r="CP4" s="14">
        <v>4</v>
      </c>
      <c r="CQ4" s="14">
        <v>4</v>
      </c>
      <c r="CR4" s="14">
        <v>4</v>
      </c>
      <c r="CS4" s="14">
        <v>4</v>
      </c>
      <c r="CT4" s="14">
        <v>4</v>
      </c>
      <c r="CU4" s="14">
        <v>4</v>
      </c>
      <c r="CV4" s="14">
        <v>4</v>
      </c>
      <c r="CW4" s="14">
        <v>4</v>
      </c>
      <c r="CX4" s="14">
        <v>4</v>
      </c>
      <c r="CY4" s="14">
        <v>4</v>
      </c>
      <c r="CZ4" s="14">
        <v>4</v>
      </c>
      <c r="DA4" s="14">
        <v>4</v>
      </c>
      <c r="DB4" s="14">
        <v>4</v>
      </c>
      <c r="DC4" s="14">
        <v>4</v>
      </c>
      <c r="DD4" s="14">
        <v>4</v>
      </c>
      <c r="DE4" s="14">
        <v>4</v>
      </c>
      <c r="DF4" s="14">
        <v>3</v>
      </c>
      <c r="DG4" s="14">
        <v>3</v>
      </c>
      <c r="DH4" s="14">
        <v>3</v>
      </c>
      <c r="DI4" s="14">
        <v>3</v>
      </c>
      <c r="DJ4" s="14">
        <v>3</v>
      </c>
      <c r="DK4" s="14">
        <v>3</v>
      </c>
      <c r="DL4" s="14">
        <v>3</v>
      </c>
      <c r="DM4" s="14"/>
      <c r="DN4" s="14"/>
      <c r="DO4" s="14"/>
      <c r="DP4" s="14"/>
      <c r="DQ4" s="14"/>
      <c r="DR4" s="14"/>
      <c r="DS4" s="14"/>
      <c r="DT4" s="14">
        <v>2</v>
      </c>
      <c r="DU4" s="14">
        <v>2</v>
      </c>
      <c r="DV4" s="14">
        <v>2</v>
      </c>
      <c r="DW4" s="14">
        <v>2</v>
      </c>
      <c r="DX4" s="14">
        <v>2</v>
      </c>
      <c r="DY4" s="14">
        <v>4</v>
      </c>
      <c r="DZ4" s="14">
        <v>4</v>
      </c>
      <c r="EA4" s="14"/>
      <c r="EB4" s="14"/>
      <c r="EC4" s="14"/>
      <c r="ED4" s="14">
        <v>2</v>
      </c>
      <c r="EE4" s="14">
        <v>2</v>
      </c>
      <c r="EF4" s="14">
        <v>2</v>
      </c>
      <c r="EG4" s="14">
        <v>2</v>
      </c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>
        <v>2</v>
      </c>
      <c r="EW4" s="14">
        <v>2</v>
      </c>
      <c r="EX4" s="14">
        <v>2</v>
      </c>
      <c r="EY4" s="14">
        <v>2</v>
      </c>
      <c r="EZ4" s="14">
        <v>2</v>
      </c>
      <c r="FA4" s="14">
        <v>2</v>
      </c>
      <c r="FB4" s="14">
        <v>2</v>
      </c>
      <c r="FC4" s="14">
        <v>2</v>
      </c>
      <c r="FD4" s="14">
        <v>2</v>
      </c>
      <c r="FE4" s="14">
        <v>2</v>
      </c>
      <c r="FF4" s="14">
        <v>2</v>
      </c>
      <c r="FG4" s="14">
        <v>2</v>
      </c>
      <c r="FH4" s="14">
        <v>2</v>
      </c>
      <c r="FI4" s="14">
        <v>2</v>
      </c>
      <c r="FJ4" s="14">
        <v>4</v>
      </c>
      <c r="FK4" s="14">
        <v>4</v>
      </c>
      <c r="FL4" s="14">
        <v>4</v>
      </c>
      <c r="FM4" s="14">
        <v>4</v>
      </c>
      <c r="FN4" s="14">
        <v>4</v>
      </c>
      <c r="FO4" s="14">
        <v>4</v>
      </c>
      <c r="FP4" s="14">
        <v>4</v>
      </c>
      <c r="FQ4" s="14">
        <v>3</v>
      </c>
      <c r="FR4" s="14">
        <v>3</v>
      </c>
      <c r="FS4" s="14">
        <v>3</v>
      </c>
      <c r="FT4" s="14">
        <v>3</v>
      </c>
      <c r="FU4" s="14">
        <v>3</v>
      </c>
      <c r="FV4" s="14">
        <v>3</v>
      </c>
      <c r="FW4" s="14">
        <v>3</v>
      </c>
      <c r="FX4" s="14">
        <v>3</v>
      </c>
      <c r="FY4" s="14">
        <v>3</v>
      </c>
      <c r="FZ4" s="14">
        <v>3</v>
      </c>
      <c r="GA4" s="14">
        <v>3</v>
      </c>
      <c r="GB4" s="14">
        <v>3</v>
      </c>
      <c r="GC4" s="14">
        <v>3</v>
      </c>
      <c r="GD4" s="14">
        <v>3</v>
      </c>
      <c r="GE4" s="14">
        <v>2</v>
      </c>
      <c r="GF4" s="14">
        <v>2</v>
      </c>
      <c r="GG4" s="14">
        <v>2</v>
      </c>
      <c r="GH4" s="14">
        <v>2</v>
      </c>
      <c r="GI4" s="14">
        <v>2</v>
      </c>
      <c r="GJ4" s="14">
        <v>2</v>
      </c>
      <c r="GK4" s="14">
        <v>2</v>
      </c>
      <c r="GL4" s="14"/>
      <c r="GM4" s="14"/>
      <c r="GN4" s="14">
        <v>3</v>
      </c>
      <c r="GO4" s="14">
        <v>3</v>
      </c>
      <c r="GP4" s="14">
        <v>3</v>
      </c>
      <c r="GQ4" s="14">
        <v>3</v>
      </c>
      <c r="GR4" s="14">
        <v>3</v>
      </c>
      <c r="GS4" s="14">
        <v>2</v>
      </c>
      <c r="GT4" s="14">
        <v>2</v>
      </c>
      <c r="GU4" s="14">
        <v>2</v>
      </c>
      <c r="GV4" s="14">
        <v>2</v>
      </c>
      <c r="GW4" s="14">
        <v>2</v>
      </c>
      <c r="GX4" s="14">
        <v>3</v>
      </c>
      <c r="GY4" s="14">
        <v>3</v>
      </c>
      <c r="GZ4" s="14">
        <v>4</v>
      </c>
      <c r="HA4" s="14">
        <v>4</v>
      </c>
      <c r="HB4" s="14">
        <v>4</v>
      </c>
      <c r="HC4" s="14">
        <v>4</v>
      </c>
      <c r="HD4" s="14">
        <v>4</v>
      </c>
      <c r="HE4" s="14">
        <v>3</v>
      </c>
      <c r="HF4" s="14">
        <v>3</v>
      </c>
      <c r="HG4" s="14">
        <v>4</v>
      </c>
      <c r="HH4" s="14">
        <v>4</v>
      </c>
      <c r="HI4" s="14">
        <v>4</v>
      </c>
      <c r="HJ4" s="14">
        <v>4</v>
      </c>
      <c r="HK4" s="14">
        <v>4</v>
      </c>
      <c r="HL4" s="14">
        <v>4</v>
      </c>
      <c r="HM4" s="14">
        <v>4</v>
      </c>
      <c r="HN4" s="14">
        <v>4</v>
      </c>
      <c r="HO4" s="14">
        <v>4</v>
      </c>
      <c r="HP4" s="14">
        <v>4</v>
      </c>
      <c r="HQ4" s="14">
        <v>4</v>
      </c>
      <c r="HR4" s="14">
        <v>4</v>
      </c>
      <c r="HS4" s="14">
        <v>4</v>
      </c>
      <c r="HT4" s="14">
        <v>4</v>
      </c>
      <c r="HU4" s="14">
        <v>4</v>
      </c>
      <c r="HV4" s="14">
        <v>4</v>
      </c>
      <c r="HW4" s="14">
        <v>3</v>
      </c>
      <c r="HX4" s="14">
        <v>3</v>
      </c>
      <c r="HY4" s="14">
        <v>3</v>
      </c>
      <c r="HZ4" s="14">
        <v>3</v>
      </c>
      <c r="IA4" s="14">
        <v>3</v>
      </c>
      <c r="IB4" s="14">
        <v>3</v>
      </c>
      <c r="IC4" s="14">
        <v>3</v>
      </c>
    </row>
    <row r="5" spans="1:237" s="2" customFormat="1" x14ac:dyDescent="0.35">
      <c r="A5" s="2" t="s">
        <v>41</v>
      </c>
      <c r="B5" s="2">
        <f t="shared" ref="B5:H5" si="0">16380*B4/1000</f>
        <v>81.900000000000006</v>
      </c>
      <c r="C5" s="2">
        <f t="shared" si="0"/>
        <v>81.900000000000006</v>
      </c>
      <c r="D5" s="2">
        <f t="shared" si="0"/>
        <v>81.900000000000006</v>
      </c>
      <c r="E5" s="2">
        <f t="shared" si="0"/>
        <v>98.28</v>
      </c>
      <c r="F5" s="2">
        <f t="shared" si="0"/>
        <v>98.28</v>
      </c>
      <c r="G5" s="2">
        <f t="shared" si="0"/>
        <v>98.28</v>
      </c>
      <c r="H5" s="2">
        <f t="shared" si="0"/>
        <v>98.28</v>
      </c>
      <c r="I5" s="2">
        <v>114.66</v>
      </c>
      <c r="J5" s="2">
        <v>114.66</v>
      </c>
      <c r="K5" s="2">
        <v>114.66</v>
      </c>
      <c r="L5" s="2">
        <v>114.66</v>
      </c>
      <c r="M5" s="2">
        <v>114.66</v>
      </c>
      <c r="N5" s="2">
        <v>114.66</v>
      </c>
      <c r="O5" s="2">
        <v>114.66</v>
      </c>
      <c r="P5" s="2">
        <f t="shared" ref="P5:AE5" si="1">16380*P4/1000</f>
        <v>147.41999999999999</v>
      </c>
      <c r="Q5" s="2">
        <f t="shared" si="1"/>
        <v>147.41999999999999</v>
      </c>
      <c r="R5" s="2">
        <f t="shared" si="1"/>
        <v>131.04</v>
      </c>
      <c r="S5" s="2">
        <f t="shared" si="1"/>
        <v>131.04</v>
      </c>
      <c r="T5" s="2">
        <f t="shared" si="1"/>
        <v>131.04</v>
      </c>
      <c r="U5" s="2">
        <f t="shared" si="1"/>
        <v>81.900000000000006</v>
      </c>
      <c r="V5" s="2">
        <f t="shared" si="1"/>
        <v>49.14</v>
      </c>
      <c r="W5" s="2">
        <f t="shared" si="1"/>
        <v>245.7</v>
      </c>
      <c r="X5" s="2">
        <f t="shared" si="1"/>
        <v>245.7</v>
      </c>
      <c r="Y5" s="2">
        <f t="shared" si="1"/>
        <v>245.7</v>
      </c>
      <c r="Z5" s="2">
        <f t="shared" si="1"/>
        <v>147.41999999999999</v>
      </c>
      <c r="AA5" s="2">
        <f t="shared" si="1"/>
        <v>147.41999999999999</v>
      </c>
      <c r="AB5" s="2">
        <f t="shared" si="1"/>
        <v>147.41999999999999</v>
      </c>
      <c r="AC5" s="2">
        <f t="shared" si="1"/>
        <v>147.41999999999999</v>
      </c>
      <c r="AD5" s="2">
        <f t="shared" si="1"/>
        <v>49.14</v>
      </c>
      <c r="AE5" s="2">
        <f t="shared" si="1"/>
        <v>49.14</v>
      </c>
      <c r="AG5" s="2">
        <f t="shared" ref="AG5:BA5" si="2">16380*AG4/1000</f>
        <v>65.52</v>
      </c>
      <c r="AH5" s="2">
        <f t="shared" si="2"/>
        <v>65.52</v>
      </c>
      <c r="AI5" s="2">
        <f t="shared" si="2"/>
        <v>65.52</v>
      </c>
      <c r="AJ5" s="2">
        <f t="shared" si="2"/>
        <v>65.52</v>
      </c>
      <c r="AK5" s="2">
        <f t="shared" si="2"/>
        <v>65.52</v>
      </c>
      <c r="AL5" s="2">
        <f t="shared" si="2"/>
        <v>32.76</v>
      </c>
      <c r="AM5" s="2">
        <f t="shared" si="2"/>
        <v>32.76</v>
      </c>
      <c r="AN5" s="2">
        <f t="shared" si="2"/>
        <v>32.76</v>
      </c>
      <c r="AO5" s="2">
        <f t="shared" si="2"/>
        <v>32.76</v>
      </c>
      <c r="AP5" s="2">
        <f t="shared" si="2"/>
        <v>32.76</v>
      </c>
      <c r="AQ5" s="2">
        <f t="shared" si="2"/>
        <v>114.66</v>
      </c>
      <c r="AR5" s="2">
        <f t="shared" si="2"/>
        <v>114.66</v>
      </c>
      <c r="AS5" s="2">
        <f t="shared" si="2"/>
        <v>131.04</v>
      </c>
      <c r="AT5" s="2">
        <f t="shared" si="2"/>
        <v>131.04</v>
      </c>
      <c r="AU5" s="2">
        <f t="shared" si="2"/>
        <v>81.900000000000006</v>
      </c>
      <c r="AV5" s="2">
        <f t="shared" si="2"/>
        <v>81.900000000000006</v>
      </c>
      <c r="AW5" s="2">
        <f t="shared" si="2"/>
        <v>81.900000000000006</v>
      </c>
      <c r="AX5" s="2">
        <f t="shared" si="2"/>
        <v>114.66</v>
      </c>
      <c r="AY5" s="2">
        <f t="shared" si="2"/>
        <v>98.28</v>
      </c>
      <c r="AZ5" s="2">
        <f t="shared" si="2"/>
        <v>98.28</v>
      </c>
      <c r="BA5" s="2">
        <f t="shared" si="2"/>
        <v>98.28</v>
      </c>
      <c r="BB5" s="2">
        <f t="shared" ref="BB5:BH5" si="3">16380*BB4/1000</f>
        <v>114.66</v>
      </c>
      <c r="BC5" s="2">
        <f t="shared" si="3"/>
        <v>114.66</v>
      </c>
      <c r="BD5" s="2">
        <f t="shared" si="3"/>
        <v>114.66</v>
      </c>
      <c r="BE5" s="2">
        <f t="shared" si="3"/>
        <v>114.66</v>
      </c>
      <c r="BF5" s="2">
        <f t="shared" si="3"/>
        <v>114.66</v>
      </c>
      <c r="BG5" s="2">
        <f t="shared" si="3"/>
        <v>114.66</v>
      </c>
      <c r="BH5" s="2">
        <f t="shared" si="3"/>
        <v>114.66</v>
      </c>
      <c r="BI5" s="2">
        <f t="shared" ref="BI5:BV5" si="4">16380*BI4/1000</f>
        <v>81.900000000000006</v>
      </c>
      <c r="BJ5" s="2">
        <f t="shared" si="4"/>
        <v>81.900000000000006</v>
      </c>
      <c r="BK5" s="2">
        <f t="shared" si="4"/>
        <v>81.900000000000006</v>
      </c>
      <c r="BL5" s="2">
        <f t="shared" si="4"/>
        <v>98.28</v>
      </c>
      <c r="BM5" s="2">
        <f t="shared" si="4"/>
        <v>98.28</v>
      </c>
      <c r="BN5" s="2">
        <f t="shared" si="4"/>
        <v>180.18</v>
      </c>
      <c r="BO5" s="2">
        <f t="shared" si="4"/>
        <v>212.94</v>
      </c>
      <c r="BP5" s="2">
        <f t="shared" si="4"/>
        <v>311.22000000000003</v>
      </c>
      <c r="BQ5" s="2">
        <f t="shared" si="4"/>
        <v>311.22000000000003</v>
      </c>
      <c r="BR5" s="2">
        <f t="shared" si="4"/>
        <v>311.22000000000003</v>
      </c>
      <c r="BS5" s="17">
        <f t="shared" si="4"/>
        <v>163.80000000000001</v>
      </c>
      <c r="BT5" s="17">
        <f t="shared" si="4"/>
        <v>131.04</v>
      </c>
      <c r="BU5" s="17">
        <f t="shared" si="4"/>
        <v>114.66</v>
      </c>
      <c r="BV5" s="17">
        <f t="shared" si="4"/>
        <v>114.66</v>
      </c>
      <c r="BW5" s="17">
        <f t="shared" ref="BW5:CC5" si="5">16380*BW4/1000</f>
        <v>65.52</v>
      </c>
      <c r="BX5" s="17">
        <f t="shared" si="5"/>
        <v>65.52</v>
      </c>
      <c r="BY5" s="17">
        <f t="shared" si="5"/>
        <v>0</v>
      </c>
      <c r="BZ5" s="17">
        <f t="shared" si="5"/>
        <v>0</v>
      </c>
      <c r="CA5" s="17">
        <f t="shared" si="5"/>
        <v>0</v>
      </c>
      <c r="CB5" s="17">
        <f t="shared" si="5"/>
        <v>49.14</v>
      </c>
      <c r="CC5" s="17">
        <f t="shared" si="5"/>
        <v>49.14</v>
      </c>
      <c r="CD5" s="17">
        <f t="shared" ref="CD5:CJ5" si="6">16380*CD4/1000</f>
        <v>65.52</v>
      </c>
      <c r="CE5" s="17">
        <f t="shared" si="6"/>
        <v>65.52</v>
      </c>
      <c r="CF5" s="17">
        <f t="shared" si="6"/>
        <v>65.52</v>
      </c>
      <c r="CG5" s="17">
        <f t="shared" si="6"/>
        <v>65.52</v>
      </c>
      <c r="CH5" s="17">
        <f t="shared" si="6"/>
        <v>65.52</v>
      </c>
      <c r="CI5" s="17">
        <f t="shared" si="6"/>
        <v>65.52</v>
      </c>
      <c r="CJ5" s="17">
        <f t="shared" si="6"/>
        <v>65.52</v>
      </c>
      <c r="CK5" s="17">
        <f t="shared" ref="CK5:CQ5" si="7">16380*CK4/1000</f>
        <v>65.52</v>
      </c>
      <c r="CL5" s="17">
        <f t="shared" si="7"/>
        <v>65.52</v>
      </c>
      <c r="CM5" s="17">
        <f t="shared" si="7"/>
        <v>65.52</v>
      </c>
      <c r="CN5" s="17">
        <f t="shared" si="7"/>
        <v>65.52</v>
      </c>
      <c r="CO5" s="17">
        <f t="shared" si="7"/>
        <v>65.52</v>
      </c>
      <c r="CP5" s="17">
        <f t="shared" si="7"/>
        <v>65.52</v>
      </c>
      <c r="CQ5" s="17">
        <f t="shared" si="7"/>
        <v>65.52</v>
      </c>
      <c r="CR5" s="17">
        <f t="shared" ref="CR5:CX5" si="8">16380*CR4/1000</f>
        <v>65.52</v>
      </c>
      <c r="CS5" s="17">
        <f t="shared" si="8"/>
        <v>65.52</v>
      </c>
      <c r="CT5" s="17">
        <f t="shared" si="8"/>
        <v>65.52</v>
      </c>
      <c r="CU5" s="17">
        <f t="shared" si="8"/>
        <v>65.52</v>
      </c>
      <c r="CV5" s="17">
        <f t="shared" si="8"/>
        <v>65.52</v>
      </c>
      <c r="CW5" s="17">
        <f t="shared" si="8"/>
        <v>65.52</v>
      </c>
      <c r="CX5" s="17">
        <f t="shared" si="8"/>
        <v>65.52</v>
      </c>
      <c r="CY5" s="17">
        <f t="shared" ref="CY5:DE5" si="9">16380*CY4/1000</f>
        <v>65.52</v>
      </c>
      <c r="CZ5" s="17">
        <f t="shared" si="9"/>
        <v>65.52</v>
      </c>
      <c r="DA5" s="17">
        <f t="shared" si="9"/>
        <v>65.52</v>
      </c>
      <c r="DB5" s="17">
        <f t="shared" si="9"/>
        <v>65.52</v>
      </c>
      <c r="DC5" s="17">
        <f t="shared" si="9"/>
        <v>65.52</v>
      </c>
      <c r="DD5" s="17">
        <f t="shared" si="9"/>
        <v>65.52</v>
      </c>
      <c r="DE5" s="17">
        <f t="shared" si="9"/>
        <v>65.52</v>
      </c>
      <c r="DF5" s="17">
        <f t="shared" ref="DF5:DM5" si="10">16380*DF4/1000</f>
        <v>49.14</v>
      </c>
      <c r="DG5" s="17">
        <f t="shared" si="10"/>
        <v>49.14</v>
      </c>
      <c r="DH5" s="17">
        <f t="shared" si="10"/>
        <v>49.14</v>
      </c>
      <c r="DI5" s="17">
        <f t="shared" si="10"/>
        <v>49.14</v>
      </c>
      <c r="DJ5" s="17">
        <f t="shared" si="10"/>
        <v>49.14</v>
      </c>
      <c r="DK5" s="17">
        <f t="shared" si="10"/>
        <v>49.14</v>
      </c>
      <c r="DL5" s="17">
        <f t="shared" si="10"/>
        <v>49.14</v>
      </c>
      <c r="DM5" s="17">
        <f t="shared" si="10"/>
        <v>0</v>
      </c>
      <c r="DN5" s="17">
        <f t="shared" ref="DN5:DS5" si="11">16380*DN4/1000</f>
        <v>0</v>
      </c>
      <c r="DO5" s="17">
        <f t="shared" si="11"/>
        <v>0</v>
      </c>
      <c r="DP5" s="17">
        <f t="shared" si="11"/>
        <v>0</v>
      </c>
      <c r="DQ5" s="17">
        <f t="shared" si="11"/>
        <v>0</v>
      </c>
      <c r="DR5" s="17">
        <f t="shared" si="11"/>
        <v>0</v>
      </c>
      <c r="DS5" s="17">
        <f t="shared" si="11"/>
        <v>0</v>
      </c>
      <c r="DT5" s="17">
        <f t="shared" ref="DT5:DZ5" si="12">16380*DT4/1000</f>
        <v>32.76</v>
      </c>
      <c r="DU5" s="17">
        <f t="shared" si="12"/>
        <v>32.76</v>
      </c>
      <c r="DV5" s="17">
        <f t="shared" si="12"/>
        <v>32.76</v>
      </c>
      <c r="DW5" s="17">
        <f t="shared" si="12"/>
        <v>32.76</v>
      </c>
      <c r="DX5" s="17">
        <f t="shared" si="12"/>
        <v>32.76</v>
      </c>
      <c r="DY5" s="17">
        <f t="shared" si="12"/>
        <v>65.52</v>
      </c>
      <c r="DZ5" s="17">
        <f t="shared" si="12"/>
        <v>65.52</v>
      </c>
      <c r="EA5" s="17">
        <f t="shared" ref="EA5:EG5" si="13">16380*EA4/1000</f>
        <v>0</v>
      </c>
      <c r="EB5" s="17">
        <f t="shared" si="13"/>
        <v>0</v>
      </c>
      <c r="EC5" s="17">
        <f t="shared" si="13"/>
        <v>0</v>
      </c>
      <c r="ED5" s="17">
        <f t="shared" si="13"/>
        <v>32.76</v>
      </c>
      <c r="EE5" s="17">
        <f t="shared" si="13"/>
        <v>32.76</v>
      </c>
      <c r="EF5" s="17">
        <f t="shared" si="13"/>
        <v>32.76</v>
      </c>
      <c r="EG5" s="17">
        <f t="shared" si="13"/>
        <v>32.76</v>
      </c>
      <c r="EH5" s="17">
        <f t="shared" ref="EH5:EN5" si="14">16380*EH4/1000</f>
        <v>0</v>
      </c>
      <c r="EI5" s="17">
        <f t="shared" si="14"/>
        <v>0</v>
      </c>
      <c r="EJ5" s="17">
        <f t="shared" si="14"/>
        <v>0</v>
      </c>
      <c r="EK5" s="17">
        <f t="shared" si="14"/>
        <v>0</v>
      </c>
      <c r="EL5" s="17">
        <f t="shared" si="14"/>
        <v>0</v>
      </c>
      <c r="EM5" s="17">
        <f t="shared" si="14"/>
        <v>0</v>
      </c>
      <c r="EN5" s="17">
        <f t="shared" si="14"/>
        <v>0</v>
      </c>
      <c r="EO5" s="17">
        <f t="shared" ref="EO5:EU5" si="15">16380*EO4/1000</f>
        <v>0</v>
      </c>
      <c r="EP5" s="17">
        <f t="shared" si="15"/>
        <v>0</v>
      </c>
      <c r="EQ5" s="17">
        <f t="shared" si="15"/>
        <v>0</v>
      </c>
      <c r="ER5" s="17">
        <f t="shared" si="15"/>
        <v>0</v>
      </c>
      <c r="ES5" s="17">
        <f t="shared" si="15"/>
        <v>0</v>
      </c>
      <c r="ET5" s="17">
        <f t="shared" si="15"/>
        <v>0</v>
      </c>
      <c r="EU5" s="17">
        <f t="shared" si="15"/>
        <v>0</v>
      </c>
      <c r="EV5" s="17">
        <f t="shared" ref="EV5:FD5" si="16">16380*EV4/1000</f>
        <v>32.76</v>
      </c>
      <c r="EW5" s="17">
        <f t="shared" si="16"/>
        <v>32.76</v>
      </c>
      <c r="EX5" s="17">
        <f t="shared" si="16"/>
        <v>32.76</v>
      </c>
      <c r="EY5" s="17">
        <f t="shared" si="16"/>
        <v>32.76</v>
      </c>
      <c r="EZ5" s="17">
        <f t="shared" si="16"/>
        <v>32.76</v>
      </c>
      <c r="FA5" s="17">
        <f t="shared" si="16"/>
        <v>32.76</v>
      </c>
      <c r="FB5" s="17">
        <f t="shared" si="16"/>
        <v>32.76</v>
      </c>
      <c r="FC5" s="17">
        <f t="shared" si="16"/>
        <v>32.76</v>
      </c>
      <c r="FD5" s="17">
        <f t="shared" si="16"/>
        <v>32.76</v>
      </c>
      <c r="FE5" s="17">
        <f t="shared" ref="FE5:FR5" si="17">16380*FE4/1000</f>
        <v>32.76</v>
      </c>
      <c r="FF5" s="17">
        <f t="shared" si="17"/>
        <v>32.76</v>
      </c>
      <c r="FG5" s="17">
        <f t="shared" si="17"/>
        <v>32.76</v>
      </c>
      <c r="FH5" s="17">
        <f t="shared" si="17"/>
        <v>32.76</v>
      </c>
      <c r="FI5" s="17">
        <f t="shared" si="17"/>
        <v>32.76</v>
      </c>
      <c r="FJ5" s="17">
        <f t="shared" si="17"/>
        <v>65.52</v>
      </c>
      <c r="FK5" s="17">
        <f t="shared" si="17"/>
        <v>65.52</v>
      </c>
      <c r="FL5" s="17">
        <f t="shared" si="17"/>
        <v>65.52</v>
      </c>
      <c r="FM5" s="17">
        <f t="shared" si="17"/>
        <v>65.52</v>
      </c>
      <c r="FN5" s="17">
        <f t="shared" si="17"/>
        <v>65.52</v>
      </c>
      <c r="FO5" s="17">
        <f t="shared" si="17"/>
        <v>65.52</v>
      </c>
      <c r="FP5" s="17">
        <f t="shared" si="17"/>
        <v>65.52</v>
      </c>
      <c r="FQ5" s="17">
        <f t="shared" si="17"/>
        <v>49.14</v>
      </c>
      <c r="FR5" s="17">
        <f t="shared" si="17"/>
        <v>49.14</v>
      </c>
      <c r="FS5" s="17">
        <f t="shared" ref="FS5:FY5" si="18">16380*FS4/1000</f>
        <v>49.14</v>
      </c>
      <c r="FT5" s="17">
        <f t="shared" si="18"/>
        <v>49.14</v>
      </c>
      <c r="FU5" s="17">
        <f t="shared" si="18"/>
        <v>49.14</v>
      </c>
      <c r="FV5" s="17">
        <f t="shared" si="18"/>
        <v>49.14</v>
      </c>
      <c r="FW5" s="17">
        <f t="shared" si="18"/>
        <v>49.14</v>
      </c>
      <c r="FX5" s="17">
        <f t="shared" si="18"/>
        <v>49.14</v>
      </c>
      <c r="FY5" s="17">
        <f t="shared" si="18"/>
        <v>49.14</v>
      </c>
      <c r="FZ5" s="17">
        <f t="shared" ref="FZ5:GF5" si="19">16380*FZ4/1000</f>
        <v>49.14</v>
      </c>
      <c r="GA5" s="17">
        <f t="shared" si="19"/>
        <v>49.14</v>
      </c>
      <c r="GB5" s="17">
        <f t="shared" si="19"/>
        <v>49.14</v>
      </c>
      <c r="GC5" s="17">
        <f t="shared" si="19"/>
        <v>49.14</v>
      </c>
      <c r="GD5" s="17">
        <f t="shared" si="19"/>
        <v>49.14</v>
      </c>
      <c r="GE5" s="17">
        <f t="shared" si="19"/>
        <v>32.76</v>
      </c>
      <c r="GF5" s="17">
        <f t="shared" si="19"/>
        <v>32.76</v>
      </c>
      <c r="GG5" s="17">
        <f t="shared" ref="GG5:GK5" si="20">16380*GG4/1000</f>
        <v>32.76</v>
      </c>
      <c r="GH5" s="17">
        <f t="shared" si="20"/>
        <v>32.76</v>
      </c>
      <c r="GI5" s="17">
        <f t="shared" si="20"/>
        <v>32.76</v>
      </c>
      <c r="GJ5" s="17">
        <f t="shared" si="20"/>
        <v>32.76</v>
      </c>
      <c r="GK5" s="17">
        <f t="shared" si="20"/>
        <v>32.76</v>
      </c>
      <c r="GL5" s="17">
        <f t="shared" ref="GL5:GR5" si="21">16380*GL4/1000</f>
        <v>0</v>
      </c>
      <c r="GM5" s="17">
        <f t="shared" si="21"/>
        <v>0</v>
      </c>
      <c r="GN5" s="17">
        <f t="shared" si="21"/>
        <v>49.14</v>
      </c>
      <c r="GO5" s="17">
        <f t="shared" si="21"/>
        <v>49.14</v>
      </c>
      <c r="GP5" s="17">
        <f t="shared" si="21"/>
        <v>49.14</v>
      </c>
      <c r="GQ5" s="17">
        <f t="shared" si="21"/>
        <v>49.14</v>
      </c>
      <c r="GR5" s="17">
        <f t="shared" si="21"/>
        <v>49.14</v>
      </c>
      <c r="GS5" s="17">
        <f t="shared" ref="GS5:GT5" si="22">16380*GS4/1000</f>
        <v>32.76</v>
      </c>
      <c r="GT5" s="17">
        <f t="shared" si="22"/>
        <v>32.76</v>
      </c>
      <c r="GU5" s="17">
        <f t="shared" ref="GU5:GY5" si="23">16380*GU4/1000</f>
        <v>32.76</v>
      </c>
      <c r="GV5" s="17">
        <f t="shared" si="23"/>
        <v>32.76</v>
      </c>
      <c r="GW5" s="17">
        <f t="shared" si="23"/>
        <v>32.76</v>
      </c>
      <c r="GX5" s="17">
        <f t="shared" si="23"/>
        <v>49.14</v>
      </c>
      <c r="GY5" s="17">
        <f t="shared" si="23"/>
        <v>49.14</v>
      </c>
      <c r="GZ5" s="17">
        <f t="shared" ref="GZ5:HF5" si="24">16380*GZ4/1000</f>
        <v>65.52</v>
      </c>
      <c r="HA5" s="17">
        <f t="shared" si="24"/>
        <v>65.52</v>
      </c>
      <c r="HB5" s="17">
        <f t="shared" si="24"/>
        <v>65.52</v>
      </c>
      <c r="HC5" s="17">
        <f t="shared" si="24"/>
        <v>65.52</v>
      </c>
      <c r="HD5" s="17">
        <f t="shared" si="24"/>
        <v>65.52</v>
      </c>
      <c r="HE5" s="17">
        <f t="shared" si="24"/>
        <v>49.14</v>
      </c>
      <c r="HF5" s="17">
        <f t="shared" si="24"/>
        <v>49.14</v>
      </c>
      <c r="HG5" s="17">
        <f t="shared" ref="HG5:HM5" si="25">16380*HG4/1000</f>
        <v>65.52</v>
      </c>
      <c r="HH5" s="17">
        <f t="shared" si="25"/>
        <v>65.52</v>
      </c>
      <c r="HI5" s="17">
        <f t="shared" si="25"/>
        <v>65.52</v>
      </c>
      <c r="HJ5" s="17">
        <f t="shared" si="25"/>
        <v>65.52</v>
      </c>
      <c r="HK5" s="17">
        <f t="shared" si="25"/>
        <v>65.52</v>
      </c>
      <c r="HL5" s="17">
        <f t="shared" si="25"/>
        <v>65.52</v>
      </c>
      <c r="HM5" s="17">
        <f t="shared" si="25"/>
        <v>65.52</v>
      </c>
      <c r="HN5" s="17">
        <f t="shared" ref="HN5:HT5" si="26">16380*HN4/1000</f>
        <v>65.52</v>
      </c>
      <c r="HO5" s="17">
        <f t="shared" si="26"/>
        <v>65.52</v>
      </c>
      <c r="HP5" s="17">
        <f t="shared" si="26"/>
        <v>65.52</v>
      </c>
      <c r="HQ5" s="17">
        <f t="shared" si="26"/>
        <v>65.52</v>
      </c>
      <c r="HR5" s="17">
        <f t="shared" si="26"/>
        <v>65.52</v>
      </c>
      <c r="HS5" s="17">
        <f t="shared" si="26"/>
        <v>65.52</v>
      </c>
      <c r="HT5" s="17">
        <f t="shared" si="26"/>
        <v>65.52</v>
      </c>
      <c r="HU5" s="17">
        <f t="shared" ref="HU5:IC5" si="27">16380*HU4/1000</f>
        <v>65.52</v>
      </c>
      <c r="HV5" s="17">
        <f t="shared" si="27"/>
        <v>65.52</v>
      </c>
      <c r="HW5" s="17">
        <f t="shared" si="27"/>
        <v>49.14</v>
      </c>
      <c r="HX5" s="17">
        <f t="shared" si="27"/>
        <v>49.14</v>
      </c>
      <c r="HY5" s="17">
        <f t="shared" si="27"/>
        <v>49.14</v>
      </c>
      <c r="HZ5" s="17">
        <f t="shared" si="27"/>
        <v>49.14</v>
      </c>
      <c r="IA5" s="17">
        <f t="shared" si="27"/>
        <v>49.14</v>
      </c>
      <c r="IB5" s="17">
        <f t="shared" si="27"/>
        <v>49.14</v>
      </c>
      <c r="IC5" s="17">
        <f t="shared" si="27"/>
        <v>49.14</v>
      </c>
    </row>
    <row r="6" spans="1:237" s="1" customFormat="1" x14ac:dyDescent="0.35">
      <c r="A6" s="1" t="s">
        <v>42</v>
      </c>
      <c r="S6" s="1">
        <v>4</v>
      </c>
      <c r="U6" s="1">
        <v>1</v>
      </c>
      <c r="V6" s="1">
        <v>1</v>
      </c>
      <c r="W6" s="1">
        <v>2</v>
      </c>
      <c r="X6" s="1">
        <v>2</v>
      </c>
      <c r="Y6" s="1">
        <v>2</v>
      </c>
      <c r="Z6" s="1">
        <v>2</v>
      </c>
      <c r="AA6" s="1">
        <v>2</v>
      </c>
      <c r="AB6" s="1">
        <v>2</v>
      </c>
      <c r="AC6" s="1">
        <v>2</v>
      </c>
      <c r="AD6" s="1">
        <v>2</v>
      </c>
      <c r="AE6" s="1">
        <v>2</v>
      </c>
      <c r="AG6" s="1">
        <v>2</v>
      </c>
      <c r="AH6" s="1">
        <v>2</v>
      </c>
      <c r="AI6" s="1">
        <v>2</v>
      </c>
      <c r="AJ6" s="1">
        <v>2</v>
      </c>
      <c r="AK6" s="1">
        <v>2</v>
      </c>
      <c r="AL6" s="1">
        <v>4</v>
      </c>
      <c r="AM6" s="1">
        <v>3</v>
      </c>
      <c r="AN6" s="1">
        <v>3</v>
      </c>
      <c r="AO6" s="1">
        <v>3</v>
      </c>
      <c r="AP6" s="1">
        <v>3</v>
      </c>
      <c r="BP6" s="1">
        <v>2</v>
      </c>
      <c r="BQ6" s="1">
        <v>2</v>
      </c>
      <c r="BR6" s="1">
        <v>2</v>
      </c>
      <c r="BS6" s="14">
        <v>2</v>
      </c>
      <c r="BT6" s="14">
        <v>2</v>
      </c>
      <c r="BU6" s="14">
        <v>2</v>
      </c>
      <c r="BV6" s="14">
        <v>2</v>
      </c>
      <c r="BW6" s="14">
        <v>10</v>
      </c>
      <c r="BX6" s="14">
        <v>10</v>
      </c>
      <c r="BY6" s="14">
        <v>10</v>
      </c>
      <c r="BZ6" s="14">
        <v>10</v>
      </c>
      <c r="CA6" s="14">
        <v>10</v>
      </c>
      <c r="CB6" s="14">
        <v>7</v>
      </c>
      <c r="CC6" s="14">
        <v>7</v>
      </c>
      <c r="CD6" s="14">
        <v>7</v>
      </c>
      <c r="CE6" s="14">
        <v>7</v>
      </c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>
        <v>3</v>
      </c>
      <c r="CZ6" s="14">
        <v>3</v>
      </c>
      <c r="DA6" s="14">
        <v>3</v>
      </c>
      <c r="DB6" s="14">
        <v>5</v>
      </c>
      <c r="DC6" s="14">
        <v>4</v>
      </c>
      <c r="DD6" s="14">
        <v>4</v>
      </c>
      <c r="DE6" s="14">
        <v>4</v>
      </c>
      <c r="DF6" s="14">
        <v>8</v>
      </c>
      <c r="DG6" s="14">
        <v>8</v>
      </c>
      <c r="DH6" s="14">
        <v>8</v>
      </c>
      <c r="DI6" s="14">
        <v>8</v>
      </c>
      <c r="DJ6" s="14">
        <v>8</v>
      </c>
      <c r="DK6" s="14">
        <v>8</v>
      </c>
      <c r="DL6" s="14">
        <v>8</v>
      </c>
      <c r="DM6" s="14">
        <v>6</v>
      </c>
      <c r="DN6" s="14">
        <v>6</v>
      </c>
      <c r="DO6" s="14">
        <v>6</v>
      </c>
      <c r="DP6" s="14">
        <v>6</v>
      </c>
      <c r="DQ6" s="14">
        <v>6</v>
      </c>
      <c r="DR6" s="14">
        <v>6</v>
      </c>
      <c r="DS6" s="14">
        <v>6</v>
      </c>
      <c r="DT6" s="14">
        <v>8</v>
      </c>
      <c r="DU6" s="14">
        <v>8</v>
      </c>
      <c r="DV6" s="14">
        <v>8</v>
      </c>
      <c r="DW6" s="14">
        <v>8</v>
      </c>
      <c r="DX6" s="14">
        <v>8</v>
      </c>
      <c r="DY6" s="14">
        <v>8</v>
      </c>
      <c r="DZ6" s="14">
        <v>8</v>
      </c>
      <c r="EA6" s="14"/>
      <c r="EB6" s="14"/>
      <c r="EC6" s="14"/>
      <c r="ED6" s="14">
        <v>8</v>
      </c>
      <c r="EE6" s="14">
        <v>8</v>
      </c>
      <c r="EF6" s="14">
        <v>8</v>
      </c>
      <c r="EG6" s="14">
        <v>8</v>
      </c>
      <c r="EH6" s="14"/>
      <c r="EI6" s="14"/>
      <c r="EJ6" s="14"/>
      <c r="EK6" s="14"/>
      <c r="EL6" s="14"/>
      <c r="EM6" s="14"/>
      <c r="EN6" s="14"/>
      <c r="EO6" s="14">
        <v>9</v>
      </c>
      <c r="EP6" s="14">
        <v>9</v>
      </c>
      <c r="EQ6" s="14">
        <v>9</v>
      </c>
      <c r="ER6" s="14">
        <v>9</v>
      </c>
      <c r="ES6" s="14">
        <v>9</v>
      </c>
      <c r="ET6" s="14">
        <v>9</v>
      </c>
      <c r="EU6" s="14">
        <v>9</v>
      </c>
      <c r="EV6" s="14">
        <v>14</v>
      </c>
      <c r="EW6" s="14">
        <v>14</v>
      </c>
      <c r="EX6" s="14">
        <v>14</v>
      </c>
      <c r="EY6" s="14">
        <v>14</v>
      </c>
      <c r="EZ6" s="14">
        <v>14</v>
      </c>
      <c r="FA6" s="14">
        <v>14</v>
      </c>
      <c r="FB6" s="14">
        <v>14</v>
      </c>
      <c r="FC6" s="14">
        <v>14</v>
      </c>
      <c r="FD6" s="14">
        <v>14</v>
      </c>
      <c r="FE6" s="14">
        <v>15</v>
      </c>
      <c r="FF6" s="14">
        <v>16</v>
      </c>
      <c r="FG6" s="14">
        <v>17</v>
      </c>
      <c r="FH6" s="14">
        <v>18</v>
      </c>
      <c r="FI6" s="14">
        <v>19</v>
      </c>
      <c r="FJ6" s="14">
        <v>5</v>
      </c>
      <c r="FK6" s="14">
        <v>5</v>
      </c>
      <c r="FL6" s="14">
        <v>5</v>
      </c>
      <c r="FM6" s="14">
        <v>5</v>
      </c>
      <c r="FN6" s="14">
        <v>5</v>
      </c>
      <c r="FO6" s="14">
        <v>5</v>
      </c>
      <c r="FP6" s="14">
        <v>5</v>
      </c>
      <c r="FQ6" s="14">
        <v>5</v>
      </c>
      <c r="FR6" s="14">
        <v>5</v>
      </c>
      <c r="FS6" s="14">
        <v>5</v>
      </c>
      <c r="FT6" s="14">
        <v>5</v>
      </c>
      <c r="FU6" s="14">
        <v>5</v>
      </c>
      <c r="FV6" s="14">
        <v>5</v>
      </c>
      <c r="FW6" s="14">
        <v>5</v>
      </c>
      <c r="FX6" s="14">
        <v>3</v>
      </c>
      <c r="FY6" s="14">
        <v>3</v>
      </c>
      <c r="FZ6" s="14">
        <v>3</v>
      </c>
      <c r="GA6" s="14">
        <v>3</v>
      </c>
      <c r="GB6" s="14">
        <v>3</v>
      </c>
      <c r="GC6" s="14">
        <v>3</v>
      </c>
      <c r="GD6" s="14">
        <v>3</v>
      </c>
      <c r="GE6" s="14">
        <v>3</v>
      </c>
      <c r="GF6" s="14">
        <v>3</v>
      </c>
      <c r="GG6" s="14">
        <v>3</v>
      </c>
      <c r="GH6" s="14">
        <v>3</v>
      </c>
      <c r="GI6" s="14">
        <v>3</v>
      </c>
      <c r="GJ6" s="14">
        <v>3</v>
      </c>
      <c r="GK6" s="14">
        <v>3</v>
      </c>
      <c r="GL6" s="14">
        <v>4</v>
      </c>
      <c r="GM6" s="14">
        <v>4</v>
      </c>
      <c r="GN6" s="14">
        <v>4</v>
      </c>
      <c r="GO6" s="14">
        <v>3</v>
      </c>
      <c r="GP6" s="14">
        <v>1</v>
      </c>
      <c r="GQ6" s="14"/>
      <c r="GR6" s="14"/>
      <c r="GS6" s="14">
        <v>2</v>
      </c>
      <c r="GT6" s="14">
        <v>2</v>
      </c>
      <c r="GU6" s="14">
        <v>2</v>
      </c>
      <c r="GV6" s="14">
        <v>2</v>
      </c>
      <c r="GW6" s="14">
        <v>2</v>
      </c>
      <c r="GX6" s="14">
        <v>2</v>
      </c>
      <c r="GY6" s="14">
        <v>2</v>
      </c>
      <c r="GZ6" s="14">
        <v>2</v>
      </c>
      <c r="HA6" s="14">
        <v>2</v>
      </c>
      <c r="HB6" s="14">
        <v>2</v>
      </c>
      <c r="HC6" s="14">
        <v>2</v>
      </c>
      <c r="HD6" s="14">
        <v>2</v>
      </c>
      <c r="HE6" s="14">
        <v>2</v>
      </c>
      <c r="HF6" s="14">
        <v>1</v>
      </c>
      <c r="HG6" s="14">
        <v>1</v>
      </c>
      <c r="HH6" s="14"/>
      <c r="HI6" s="14"/>
      <c r="HJ6" s="14"/>
      <c r="HK6" s="14"/>
      <c r="HL6" s="14"/>
      <c r="HM6" s="14"/>
      <c r="HN6" s="14"/>
      <c r="HO6" s="14"/>
      <c r="HP6" s="14">
        <v>3</v>
      </c>
      <c r="HQ6" s="14">
        <v>4</v>
      </c>
      <c r="HR6" s="14">
        <v>3</v>
      </c>
      <c r="HS6" s="14">
        <v>2</v>
      </c>
      <c r="HT6" s="14">
        <v>2</v>
      </c>
      <c r="HU6" s="14">
        <v>2</v>
      </c>
      <c r="HV6" s="14">
        <v>2</v>
      </c>
      <c r="HW6" s="14">
        <v>2</v>
      </c>
      <c r="HX6" s="14">
        <v>2</v>
      </c>
      <c r="HY6" s="14">
        <v>2</v>
      </c>
      <c r="HZ6" s="14">
        <v>2</v>
      </c>
      <c r="IA6" s="14">
        <v>2</v>
      </c>
      <c r="IB6" s="14">
        <v>2</v>
      </c>
      <c r="IC6" s="14">
        <v>2</v>
      </c>
    </row>
    <row r="7" spans="1:237" s="2" customFormat="1" x14ac:dyDescent="0.35">
      <c r="A7" s="2" t="s">
        <v>41</v>
      </c>
      <c r="BP7" s="2">
        <f>BP6*28.8</f>
        <v>57.6</v>
      </c>
      <c r="BQ7" s="2">
        <f t="shared" ref="BQ7:BV7" si="28">BQ6*28.8</f>
        <v>57.6</v>
      </c>
      <c r="BR7" s="2">
        <f t="shared" si="28"/>
        <v>57.6</v>
      </c>
      <c r="BS7" s="17">
        <f t="shared" si="28"/>
        <v>57.6</v>
      </c>
      <c r="BT7" s="17">
        <f t="shared" si="28"/>
        <v>57.6</v>
      </c>
      <c r="BU7" s="17">
        <f t="shared" si="28"/>
        <v>57.6</v>
      </c>
      <c r="BV7" s="17">
        <f t="shared" si="28"/>
        <v>57.6</v>
      </c>
      <c r="BW7" s="17">
        <f t="shared" ref="BW7:CC7" si="29">BW6*28.8</f>
        <v>288</v>
      </c>
      <c r="BX7" s="17">
        <f t="shared" si="29"/>
        <v>288</v>
      </c>
      <c r="BY7" s="17">
        <f t="shared" si="29"/>
        <v>288</v>
      </c>
      <c r="BZ7" s="17">
        <f t="shared" si="29"/>
        <v>288</v>
      </c>
      <c r="CA7" s="17">
        <f t="shared" si="29"/>
        <v>288</v>
      </c>
      <c r="CB7" s="17">
        <f t="shared" si="29"/>
        <v>201.6</v>
      </c>
      <c r="CC7" s="17">
        <f t="shared" si="29"/>
        <v>201.6</v>
      </c>
      <c r="CD7" s="17">
        <f t="shared" ref="CD7:CJ7" si="30">CD6*28.8</f>
        <v>201.6</v>
      </c>
      <c r="CE7" s="17">
        <f t="shared" si="30"/>
        <v>201.6</v>
      </c>
      <c r="CF7" s="17">
        <f t="shared" si="30"/>
        <v>0</v>
      </c>
      <c r="CG7" s="17">
        <f t="shared" si="30"/>
        <v>0</v>
      </c>
      <c r="CH7" s="17">
        <f t="shared" si="30"/>
        <v>0</v>
      </c>
      <c r="CI7" s="17">
        <f t="shared" si="30"/>
        <v>0</v>
      </c>
      <c r="CJ7" s="17">
        <f t="shared" si="30"/>
        <v>0</v>
      </c>
      <c r="CK7" s="17">
        <f t="shared" ref="CK7:CQ7" si="31">CK6*28.8</f>
        <v>0</v>
      </c>
      <c r="CL7" s="17">
        <f t="shared" si="31"/>
        <v>0</v>
      </c>
      <c r="CM7" s="17">
        <f t="shared" si="31"/>
        <v>0</v>
      </c>
      <c r="CN7" s="17">
        <f t="shared" si="31"/>
        <v>0</v>
      </c>
      <c r="CO7" s="17">
        <f t="shared" si="31"/>
        <v>0</v>
      </c>
      <c r="CP7" s="17">
        <f t="shared" si="31"/>
        <v>0</v>
      </c>
      <c r="CQ7" s="17">
        <f t="shared" si="31"/>
        <v>0</v>
      </c>
      <c r="CR7" s="17">
        <f t="shared" ref="CR7:CX7" si="32">CR6*28.8</f>
        <v>0</v>
      </c>
      <c r="CS7" s="17">
        <f t="shared" si="32"/>
        <v>0</v>
      </c>
      <c r="CT7" s="17">
        <f t="shared" si="32"/>
        <v>0</v>
      </c>
      <c r="CU7" s="17">
        <f t="shared" si="32"/>
        <v>0</v>
      </c>
      <c r="CV7" s="17">
        <f t="shared" si="32"/>
        <v>0</v>
      </c>
      <c r="CW7" s="17">
        <f t="shared" si="32"/>
        <v>0</v>
      </c>
      <c r="CX7" s="17">
        <f t="shared" si="32"/>
        <v>0</v>
      </c>
      <c r="CY7" s="17">
        <f t="shared" ref="CY7:DE7" si="33">CY6*28.8</f>
        <v>86.4</v>
      </c>
      <c r="CZ7" s="17">
        <f t="shared" si="33"/>
        <v>86.4</v>
      </c>
      <c r="DA7" s="17">
        <f t="shared" si="33"/>
        <v>86.4</v>
      </c>
      <c r="DB7" s="17">
        <f t="shared" si="33"/>
        <v>144</v>
      </c>
      <c r="DC7" s="17">
        <f t="shared" si="33"/>
        <v>115.2</v>
      </c>
      <c r="DD7" s="17">
        <f t="shared" si="33"/>
        <v>115.2</v>
      </c>
      <c r="DE7" s="17">
        <f t="shared" si="33"/>
        <v>115.2</v>
      </c>
      <c r="DF7" s="17">
        <f t="shared" ref="DF7:DM7" si="34">DF6*28.8</f>
        <v>230.4</v>
      </c>
      <c r="DG7" s="17">
        <f t="shared" si="34"/>
        <v>230.4</v>
      </c>
      <c r="DH7" s="17">
        <f t="shared" si="34"/>
        <v>230.4</v>
      </c>
      <c r="DI7" s="17">
        <f t="shared" si="34"/>
        <v>230.4</v>
      </c>
      <c r="DJ7" s="17">
        <f t="shared" si="34"/>
        <v>230.4</v>
      </c>
      <c r="DK7" s="17">
        <f t="shared" si="34"/>
        <v>230.4</v>
      </c>
      <c r="DL7" s="17">
        <f t="shared" si="34"/>
        <v>230.4</v>
      </c>
      <c r="DM7" s="17">
        <f t="shared" si="34"/>
        <v>172.8</v>
      </c>
      <c r="DN7" s="17">
        <f t="shared" ref="DN7:DS7" si="35">DN6*28.8</f>
        <v>172.8</v>
      </c>
      <c r="DO7" s="17">
        <f t="shared" si="35"/>
        <v>172.8</v>
      </c>
      <c r="DP7" s="17">
        <f t="shared" si="35"/>
        <v>172.8</v>
      </c>
      <c r="DQ7" s="17">
        <f t="shared" si="35"/>
        <v>172.8</v>
      </c>
      <c r="DR7" s="17">
        <f t="shared" si="35"/>
        <v>172.8</v>
      </c>
      <c r="DS7" s="17">
        <f t="shared" si="35"/>
        <v>172.8</v>
      </c>
      <c r="DT7" s="17">
        <f t="shared" ref="DT7:DZ7" si="36">DT6*28.8</f>
        <v>230.4</v>
      </c>
      <c r="DU7" s="17">
        <f t="shared" si="36"/>
        <v>230.4</v>
      </c>
      <c r="DV7" s="17">
        <f t="shared" si="36"/>
        <v>230.4</v>
      </c>
      <c r="DW7" s="17">
        <f t="shared" si="36"/>
        <v>230.4</v>
      </c>
      <c r="DX7" s="17">
        <f t="shared" si="36"/>
        <v>230.4</v>
      </c>
      <c r="DY7" s="17">
        <f t="shared" si="36"/>
        <v>230.4</v>
      </c>
      <c r="DZ7" s="17">
        <f t="shared" si="36"/>
        <v>230.4</v>
      </c>
      <c r="EA7" s="17">
        <f t="shared" ref="EA7:EG7" si="37">EA6*28.8</f>
        <v>0</v>
      </c>
      <c r="EB7" s="17">
        <f t="shared" si="37"/>
        <v>0</v>
      </c>
      <c r="EC7" s="17">
        <f t="shared" si="37"/>
        <v>0</v>
      </c>
      <c r="ED7" s="17">
        <f t="shared" si="37"/>
        <v>230.4</v>
      </c>
      <c r="EE7" s="17">
        <f t="shared" si="37"/>
        <v>230.4</v>
      </c>
      <c r="EF7" s="17">
        <f t="shared" si="37"/>
        <v>230.4</v>
      </c>
      <c r="EG7" s="17">
        <f t="shared" si="37"/>
        <v>230.4</v>
      </c>
      <c r="EH7" s="17">
        <f t="shared" ref="EH7:EN7" si="38">EH6*28.8</f>
        <v>0</v>
      </c>
      <c r="EI7" s="17">
        <f t="shared" si="38"/>
        <v>0</v>
      </c>
      <c r="EJ7" s="17">
        <f t="shared" si="38"/>
        <v>0</v>
      </c>
      <c r="EK7" s="17">
        <f t="shared" si="38"/>
        <v>0</v>
      </c>
      <c r="EL7" s="17">
        <f t="shared" si="38"/>
        <v>0</v>
      </c>
      <c r="EM7" s="17">
        <f t="shared" si="38"/>
        <v>0</v>
      </c>
      <c r="EN7" s="17">
        <f t="shared" si="38"/>
        <v>0</v>
      </c>
      <c r="EO7" s="17">
        <f t="shared" ref="EO7:EU7" si="39">EO6*28.8</f>
        <v>259.2</v>
      </c>
      <c r="EP7" s="17">
        <f t="shared" si="39"/>
        <v>259.2</v>
      </c>
      <c r="EQ7" s="17">
        <f t="shared" si="39"/>
        <v>259.2</v>
      </c>
      <c r="ER7" s="17">
        <f t="shared" si="39"/>
        <v>259.2</v>
      </c>
      <c r="ES7" s="17">
        <f t="shared" si="39"/>
        <v>259.2</v>
      </c>
      <c r="ET7" s="17">
        <f t="shared" si="39"/>
        <v>259.2</v>
      </c>
      <c r="EU7" s="17">
        <f t="shared" si="39"/>
        <v>259.2</v>
      </c>
      <c r="EV7" s="17">
        <f t="shared" ref="EV7:FD7" si="40">EV6*28.8</f>
        <v>403.2</v>
      </c>
      <c r="EW7" s="17">
        <f t="shared" si="40"/>
        <v>403.2</v>
      </c>
      <c r="EX7" s="17">
        <f t="shared" si="40"/>
        <v>403.2</v>
      </c>
      <c r="EY7" s="17">
        <f t="shared" si="40"/>
        <v>403.2</v>
      </c>
      <c r="EZ7" s="17">
        <f t="shared" si="40"/>
        <v>403.2</v>
      </c>
      <c r="FA7" s="17">
        <f t="shared" si="40"/>
        <v>403.2</v>
      </c>
      <c r="FB7" s="17">
        <f t="shared" si="40"/>
        <v>403.2</v>
      </c>
      <c r="FC7" s="17">
        <f t="shared" si="40"/>
        <v>403.2</v>
      </c>
      <c r="FD7" s="17">
        <f t="shared" si="40"/>
        <v>403.2</v>
      </c>
      <c r="FE7" s="17">
        <f t="shared" ref="FE7:FP7" si="41">FE6*28.8</f>
        <v>432</v>
      </c>
      <c r="FF7" s="17">
        <f t="shared" si="41"/>
        <v>460.8</v>
      </c>
      <c r="FG7" s="17">
        <f t="shared" si="41"/>
        <v>489.6</v>
      </c>
      <c r="FH7" s="17">
        <f t="shared" si="41"/>
        <v>518.4</v>
      </c>
      <c r="FI7" s="17">
        <f t="shared" si="41"/>
        <v>547.20000000000005</v>
      </c>
      <c r="FJ7" s="17">
        <f t="shared" si="41"/>
        <v>144</v>
      </c>
      <c r="FK7" s="17">
        <f t="shared" si="41"/>
        <v>144</v>
      </c>
      <c r="FL7" s="17">
        <f t="shared" si="41"/>
        <v>144</v>
      </c>
      <c r="FM7" s="17">
        <f t="shared" si="41"/>
        <v>144</v>
      </c>
      <c r="FN7" s="17">
        <f t="shared" si="41"/>
        <v>144</v>
      </c>
      <c r="FO7" s="17">
        <f t="shared" si="41"/>
        <v>144</v>
      </c>
      <c r="FP7" s="17">
        <f t="shared" si="41"/>
        <v>144</v>
      </c>
      <c r="FQ7" s="17">
        <f>FQ6*28.8</f>
        <v>144</v>
      </c>
      <c r="FR7" s="17">
        <f>FR6*28.8</f>
        <v>144</v>
      </c>
      <c r="FS7" s="17">
        <f t="shared" ref="FS7:FY7" si="42">FS6*28.8</f>
        <v>144</v>
      </c>
      <c r="FT7" s="17">
        <f t="shared" si="42"/>
        <v>144</v>
      </c>
      <c r="FU7" s="17">
        <f t="shared" si="42"/>
        <v>144</v>
      </c>
      <c r="FV7" s="17">
        <f t="shared" si="42"/>
        <v>144</v>
      </c>
      <c r="FW7" s="17">
        <f t="shared" si="42"/>
        <v>144</v>
      </c>
      <c r="FX7" s="17">
        <f t="shared" si="42"/>
        <v>86.4</v>
      </c>
      <c r="FY7" s="17">
        <f t="shared" si="42"/>
        <v>86.4</v>
      </c>
      <c r="FZ7" s="17">
        <f t="shared" ref="FZ7:GF7" si="43">FZ6*28.8</f>
        <v>86.4</v>
      </c>
      <c r="GA7" s="17">
        <f t="shared" si="43"/>
        <v>86.4</v>
      </c>
      <c r="GB7" s="17">
        <f t="shared" si="43"/>
        <v>86.4</v>
      </c>
      <c r="GC7" s="17">
        <f t="shared" si="43"/>
        <v>86.4</v>
      </c>
      <c r="GD7" s="17">
        <f t="shared" si="43"/>
        <v>86.4</v>
      </c>
      <c r="GE7" s="17">
        <f t="shared" si="43"/>
        <v>86.4</v>
      </c>
      <c r="GF7" s="17">
        <f t="shared" si="43"/>
        <v>86.4</v>
      </c>
      <c r="GG7" s="17">
        <f t="shared" ref="GG7:GK7" si="44">GG6*28.8</f>
        <v>86.4</v>
      </c>
      <c r="GH7" s="17">
        <f t="shared" si="44"/>
        <v>86.4</v>
      </c>
      <c r="GI7" s="17">
        <f t="shared" si="44"/>
        <v>86.4</v>
      </c>
      <c r="GJ7" s="17">
        <f t="shared" si="44"/>
        <v>86.4</v>
      </c>
      <c r="GK7" s="17">
        <f t="shared" si="44"/>
        <v>86.4</v>
      </c>
      <c r="GL7" s="17">
        <f t="shared" ref="GL7:GR7" si="45">GL6*28.8</f>
        <v>115.2</v>
      </c>
      <c r="GM7" s="17">
        <f t="shared" si="45"/>
        <v>115.2</v>
      </c>
      <c r="GN7" s="17">
        <f t="shared" si="45"/>
        <v>115.2</v>
      </c>
      <c r="GO7" s="17">
        <f t="shared" si="45"/>
        <v>86.4</v>
      </c>
      <c r="GP7" s="17">
        <f t="shared" si="45"/>
        <v>28.8</v>
      </c>
      <c r="GQ7" s="17">
        <f t="shared" si="45"/>
        <v>0</v>
      </c>
      <c r="GR7" s="17">
        <f t="shared" si="45"/>
        <v>0</v>
      </c>
      <c r="GS7" s="17">
        <f t="shared" ref="GS7:GT7" si="46">GS6*28.8</f>
        <v>57.6</v>
      </c>
      <c r="GT7" s="17">
        <f t="shared" si="46"/>
        <v>57.6</v>
      </c>
      <c r="GU7" s="17">
        <f t="shared" ref="GU7:GY7" si="47">GU6*28.8</f>
        <v>57.6</v>
      </c>
      <c r="GV7" s="17">
        <f t="shared" si="47"/>
        <v>57.6</v>
      </c>
      <c r="GW7" s="17">
        <f t="shared" si="47"/>
        <v>57.6</v>
      </c>
      <c r="GX7" s="17">
        <f t="shared" si="47"/>
        <v>57.6</v>
      </c>
      <c r="GY7" s="17">
        <f t="shared" si="47"/>
        <v>57.6</v>
      </c>
      <c r="GZ7" s="17">
        <f t="shared" ref="GZ7:HF7" si="48">GZ6*28.8</f>
        <v>57.6</v>
      </c>
      <c r="HA7" s="17">
        <f t="shared" si="48"/>
        <v>57.6</v>
      </c>
      <c r="HB7" s="17">
        <f t="shared" si="48"/>
        <v>57.6</v>
      </c>
      <c r="HC7" s="17">
        <f t="shared" si="48"/>
        <v>57.6</v>
      </c>
      <c r="HD7" s="17">
        <f t="shared" si="48"/>
        <v>57.6</v>
      </c>
      <c r="HE7" s="17">
        <f t="shared" si="48"/>
        <v>57.6</v>
      </c>
      <c r="HF7" s="17">
        <f t="shared" si="48"/>
        <v>28.8</v>
      </c>
      <c r="HG7" s="17">
        <f t="shared" ref="HG7:HM7" si="49">HG6*28.8</f>
        <v>28.8</v>
      </c>
      <c r="HH7" s="17">
        <f t="shared" si="49"/>
        <v>0</v>
      </c>
      <c r="HI7" s="17">
        <f t="shared" si="49"/>
        <v>0</v>
      </c>
      <c r="HJ7" s="17">
        <f t="shared" si="49"/>
        <v>0</v>
      </c>
      <c r="HK7" s="17">
        <f t="shared" si="49"/>
        <v>0</v>
      </c>
      <c r="HL7" s="17">
        <f t="shared" si="49"/>
        <v>0</v>
      </c>
      <c r="HM7" s="17">
        <f t="shared" si="49"/>
        <v>0</v>
      </c>
      <c r="HN7" s="17">
        <f t="shared" ref="HN7:HT7" si="50">HN6*28.8</f>
        <v>0</v>
      </c>
      <c r="HO7" s="17">
        <f t="shared" si="50"/>
        <v>0</v>
      </c>
      <c r="HP7" s="17">
        <f t="shared" si="50"/>
        <v>86.4</v>
      </c>
      <c r="HQ7" s="17">
        <f t="shared" si="50"/>
        <v>115.2</v>
      </c>
      <c r="HR7" s="17">
        <f t="shared" si="50"/>
        <v>86.4</v>
      </c>
      <c r="HS7" s="17">
        <f t="shared" si="50"/>
        <v>57.6</v>
      </c>
      <c r="HT7" s="17">
        <f t="shared" si="50"/>
        <v>57.6</v>
      </c>
      <c r="HU7" s="17">
        <f t="shared" ref="HU7:IC7" si="51">HU6*28.8</f>
        <v>57.6</v>
      </c>
      <c r="HV7" s="17">
        <f t="shared" si="51"/>
        <v>57.6</v>
      </c>
      <c r="HW7" s="17">
        <f t="shared" si="51"/>
        <v>57.6</v>
      </c>
      <c r="HX7" s="17">
        <f t="shared" si="51"/>
        <v>57.6</v>
      </c>
      <c r="HY7" s="17">
        <f t="shared" si="51"/>
        <v>57.6</v>
      </c>
      <c r="HZ7" s="17">
        <f t="shared" si="51"/>
        <v>57.6</v>
      </c>
      <c r="IA7" s="17">
        <f t="shared" si="51"/>
        <v>57.6</v>
      </c>
      <c r="IB7" s="17">
        <f t="shared" si="51"/>
        <v>57.6</v>
      </c>
      <c r="IC7" s="17">
        <f t="shared" si="51"/>
        <v>57.6</v>
      </c>
    </row>
    <row r="8" spans="1:237" s="1" customFormat="1" x14ac:dyDescent="0.35">
      <c r="A8" s="1" t="s">
        <v>44</v>
      </c>
      <c r="U8" s="1">
        <v>2</v>
      </c>
      <c r="V8" s="1">
        <v>2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>
        <v>1</v>
      </c>
      <c r="CZ8" s="14">
        <v>1</v>
      </c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>
        <v>1</v>
      </c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>
        <v>1</v>
      </c>
      <c r="ER8" s="14">
        <v>1</v>
      </c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>
        <v>1</v>
      </c>
      <c r="FL8" s="14">
        <v>1</v>
      </c>
      <c r="FM8" s="14">
        <v>2</v>
      </c>
      <c r="FN8" s="14">
        <v>2</v>
      </c>
      <c r="FO8" s="14">
        <v>2</v>
      </c>
      <c r="FP8" s="14">
        <v>1</v>
      </c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>
        <v>2</v>
      </c>
      <c r="HI8" s="14">
        <v>2</v>
      </c>
      <c r="HJ8" s="14">
        <v>2</v>
      </c>
      <c r="HK8" s="14">
        <v>2</v>
      </c>
      <c r="HL8" s="14">
        <v>2</v>
      </c>
      <c r="HM8" s="14">
        <v>2</v>
      </c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</row>
    <row r="9" spans="1:237" s="2" customFormat="1" x14ac:dyDescent="0.35">
      <c r="A9" s="2" t="s">
        <v>41</v>
      </c>
      <c r="BN9" s="2">
        <f t="shared" ref="BN9:BO9" si="52">BN8*28.8</f>
        <v>0</v>
      </c>
      <c r="BO9" s="2">
        <f t="shared" si="52"/>
        <v>0</v>
      </c>
      <c r="BP9" s="2">
        <f>BP8*28.8</f>
        <v>0</v>
      </c>
      <c r="BQ9" s="2">
        <f t="shared" ref="BQ9:BV9" si="53">BQ8*28.8</f>
        <v>0</v>
      </c>
      <c r="BR9" s="2">
        <f t="shared" si="53"/>
        <v>0</v>
      </c>
      <c r="BS9" s="17">
        <f t="shared" si="53"/>
        <v>0</v>
      </c>
      <c r="BT9" s="17">
        <f t="shared" si="53"/>
        <v>0</v>
      </c>
      <c r="BU9" s="17">
        <f t="shared" si="53"/>
        <v>0</v>
      </c>
      <c r="BV9" s="17">
        <f t="shared" si="53"/>
        <v>0</v>
      </c>
      <c r="BW9" s="17">
        <f t="shared" ref="BW9:CC9" si="54">BW8*28.8</f>
        <v>0</v>
      </c>
      <c r="BX9" s="17">
        <f t="shared" si="54"/>
        <v>0</v>
      </c>
      <c r="BY9" s="17">
        <f t="shared" si="54"/>
        <v>0</v>
      </c>
      <c r="BZ9" s="17">
        <f t="shared" si="54"/>
        <v>0</v>
      </c>
      <c r="CA9" s="17">
        <f t="shared" si="54"/>
        <v>0</v>
      </c>
      <c r="CB9" s="17">
        <f t="shared" si="54"/>
        <v>0</v>
      </c>
      <c r="CC9" s="17">
        <f t="shared" si="54"/>
        <v>0</v>
      </c>
      <c r="CD9" s="17">
        <f t="shared" ref="CD9:CJ9" si="55">CD8*28.8</f>
        <v>0</v>
      </c>
      <c r="CE9" s="17">
        <f t="shared" si="55"/>
        <v>0</v>
      </c>
      <c r="CF9" s="17">
        <f t="shared" si="55"/>
        <v>0</v>
      </c>
      <c r="CG9" s="17">
        <f t="shared" si="55"/>
        <v>0</v>
      </c>
      <c r="CH9" s="17">
        <f t="shared" si="55"/>
        <v>0</v>
      </c>
      <c r="CI9" s="17">
        <f t="shared" si="55"/>
        <v>0</v>
      </c>
      <c r="CJ9" s="17">
        <f t="shared" si="55"/>
        <v>0</v>
      </c>
      <c r="CK9" s="17">
        <f t="shared" ref="CK9:CQ9" si="56">CK8*28.8</f>
        <v>0</v>
      </c>
      <c r="CL9" s="17">
        <f t="shared" si="56"/>
        <v>0</v>
      </c>
      <c r="CM9" s="17">
        <f t="shared" si="56"/>
        <v>0</v>
      </c>
      <c r="CN9" s="17">
        <f t="shared" si="56"/>
        <v>0</v>
      </c>
      <c r="CO9" s="17">
        <f t="shared" si="56"/>
        <v>0</v>
      </c>
      <c r="CP9" s="17">
        <f t="shared" si="56"/>
        <v>0</v>
      </c>
      <c r="CQ9" s="17">
        <f t="shared" si="56"/>
        <v>0</v>
      </c>
      <c r="CR9" s="17">
        <f t="shared" ref="CR9:CX9" si="57">CR8*28.8</f>
        <v>0</v>
      </c>
      <c r="CS9" s="17">
        <f t="shared" si="57"/>
        <v>0</v>
      </c>
      <c r="CT9" s="17">
        <f t="shared" si="57"/>
        <v>0</v>
      </c>
      <c r="CU9" s="17">
        <f t="shared" si="57"/>
        <v>0</v>
      </c>
      <c r="CV9" s="17">
        <f t="shared" si="57"/>
        <v>0</v>
      </c>
      <c r="CW9" s="17">
        <f t="shared" si="57"/>
        <v>0</v>
      </c>
      <c r="CX9" s="17">
        <f t="shared" si="57"/>
        <v>0</v>
      </c>
      <c r="CY9" s="17">
        <f t="shared" ref="CY9:DE9" si="58">CY8*28.8</f>
        <v>28.8</v>
      </c>
      <c r="CZ9" s="17">
        <f t="shared" si="58"/>
        <v>28.8</v>
      </c>
      <c r="DA9" s="17">
        <f t="shared" si="58"/>
        <v>0</v>
      </c>
      <c r="DB9" s="17">
        <f t="shared" si="58"/>
        <v>0</v>
      </c>
      <c r="DC9" s="17">
        <f t="shared" si="58"/>
        <v>0</v>
      </c>
      <c r="DD9" s="17">
        <f t="shared" si="58"/>
        <v>0</v>
      </c>
      <c r="DE9" s="17">
        <f t="shared" si="58"/>
        <v>0</v>
      </c>
      <c r="DF9" s="17">
        <f t="shared" ref="DF9:DM9" si="59">DF8*28.8</f>
        <v>0</v>
      </c>
      <c r="DG9" s="17">
        <f t="shared" si="59"/>
        <v>0</v>
      </c>
      <c r="DH9" s="17">
        <f t="shared" si="59"/>
        <v>0</v>
      </c>
      <c r="DI9" s="17">
        <f t="shared" si="59"/>
        <v>0</v>
      </c>
      <c r="DJ9" s="17">
        <f t="shared" si="59"/>
        <v>0</v>
      </c>
      <c r="DK9" s="17">
        <f t="shared" si="59"/>
        <v>0</v>
      </c>
      <c r="DL9" s="17">
        <f t="shared" si="59"/>
        <v>0</v>
      </c>
      <c r="DM9" s="17">
        <f t="shared" si="59"/>
        <v>28.8</v>
      </c>
      <c r="DN9" s="17">
        <f t="shared" ref="DN9:DS9" si="60">DN8*28.8</f>
        <v>0</v>
      </c>
      <c r="DO9" s="17">
        <f t="shared" si="60"/>
        <v>0</v>
      </c>
      <c r="DP9" s="17">
        <f t="shared" si="60"/>
        <v>0</v>
      </c>
      <c r="DQ9" s="17">
        <f t="shared" si="60"/>
        <v>0</v>
      </c>
      <c r="DR9" s="17">
        <f t="shared" si="60"/>
        <v>0</v>
      </c>
      <c r="DS9" s="17">
        <f t="shared" si="60"/>
        <v>0</v>
      </c>
      <c r="DT9" s="17">
        <f t="shared" ref="DT9:DZ9" si="61">DT8*28.8</f>
        <v>0</v>
      </c>
      <c r="DU9" s="17">
        <f t="shared" si="61"/>
        <v>0</v>
      </c>
      <c r="DV9" s="17">
        <f t="shared" si="61"/>
        <v>0</v>
      </c>
      <c r="DW9" s="17">
        <f t="shared" si="61"/>
        <v>0</v>
      </c>
      <c r="DX9" s="17">
        <f t="shared" si="61"/>
        <v>0</v>
      </c>
      <c r="DY9" s="17">
        <f t="shared" si="61"/>
        <v>0</v>
      </c>
      <c r="DZ9" s="17">
        <f t="shared" si="61"/>
        <v>0</v>
      </c>
      <c r="EA9" s="17">
        <f t="shared" ref="EA9:EG9" si="62">EA8*28.8</f>
        <v>0</v>
      </c>
      <c r="EB9" s="17">
        <f t="shared" si="62"/>
        <v>0</v>
      </c>
      <c r="EC9" s="17">
        <f t="shared" si="62"/>
        <v>0</v>
      </c>
      <c r="ED9" s="17">
        <f t="shared" si="62"/>
        <v>0</v>
      </c>
      <c r="EE9" s="17">
        <f t="shared" si="62"/>
        <v>0</v>
      </c>
      <c r="EF9" s="17">
        <f t="shared" si="62"/>
        <v>0</v>
      </c>
      <c r="EG9" s="17">
        <f t="shared" si="62"/>
        <v>0</v>
      </c>
      <c r="EH9" s="17">
        <f t="shared" ref="EH9:EN9" si="63">EH8*28.8</f>
        <v>0</v>
      </c>
      <c r="EI9" s="17">
        <f t="shared" si="63"/>
        <v>0</v>
      </c>
      <c r="EJ9" s="17">
        <f t="shared" si="63"/>
        <v>0</v>
      </c>
      <c r="EK9" s="17">
        <f t="shared" si="63"/>
        <v>0</v>
      </c>
      <c r="EL9" s="17">
        <f t="shared" si="63"/>
        <v>0</v>
      </c>
      <c r="EM9" s="17">
        <f t="shared" si="63"/>
        <v>0</v>
      </c>
      <c r="EN9" s="17">
        <f t="shared" si="63"/>
        <v>0</v>
      </c>
      <c r="EO9" s="17">
        <f t="shared" ref="EO9:EU9" si="64">EO8*28.8</f>
        <v>0</v>
      </c>
      <c r="EP9" s="17">
        <f t="shared" si="64"/>
        <v>0</v>
      </c>
      <c r="EQ9" s="17">
        <f t="shared" si="64"/>
        <v>28.8</v>
      </c>
      <c r="ER9" s="17">
        <f t="shared" si="64"/>
        <v>28.8</v>
      </c>
      <c r="ES9" s="17">
        <f t="shared" si="64"/>
        <v>0</v>
      </c>
      <c r="ET9" s="17">
        <f t="shared" si="64"/>
        <v>0</v>
      </c>
      <c r="EU9" s="17">
        <f t="shared" si="64"/>
        <v>0</v>
      </c>
      <c r="EV9" s="17">
        <f t="shared" ref="EV9:FD9" si="65">EV8*28.8</f>
        <v>0</v>
      </c>
      <c r="EW9" s="17">
        <f t="shared" si="65"/>
        <v>0</v>
      </c>
      <c r="EX9" s="17">
        <f t="shared" si="65"/>
        <v>0</v>
      </c>
      <c r="EY9" s="17">
        <f t="shared" si="65"/>
        <v>0</v>
      </c>
      <c r="EZ9" s="17">
        <f t="shared" si="65"/>
        <v>0</v>
      </c>
      <c r="FA9" s="17">
        <f t="shared" si="65"/>
        <v>0</v>
      </c>
      <c r="FB9" s="17">
        <f t="shared" si="65"/>
        <v>0</v>
      </c>
      <c r="FC9" s="17">
        <f t="shared" si="65"/>
        <v>0</v>
      </c>
      <c r="FD9" s="17">
        <f t="shared" si="65"/>
        <v>0</v>
      </c>
      <c r="FE9" s="17">
        <f t="shared" ref="FE9:FR9" si="66">FE8*28.8</f>
        <v>0</v>
      </c>
      <c r="FF9" s="17">
        <f t="shared" si="66"/>
        <v>0</v>
      </c>
      <c r="FG9" s="17">
        <f t="shared" si="66"/>
        <v>0</v>
      </c>
      <c r="FH9" s="17">
        <f t="shared" si="66"/>
        <v>0</v>
      </c>
      <c r="FI9" s="17">
        <f t="shared" si="66"/>
        <v>0</v>
      </c>
      <c r="FJ9" s="17">
        <f t="shared" si="66"/>
        <v>0</v>
      </c>
      <c r="FK9" s="17">
        <f t="shared" si="66"/>
        <v>28.8</v>
      </c>
      <c r="FL9" s="17">
        <f t="shared" si="66"/>
        <v>28.8</v>
      </c>
      <c r="FM9" s="17">
        <f t="shared" si="66"/>
        <v>57.6</v>
      </c>
      <c r="FN9" s="17">
        <f t="shared" si="66"/>
        <v>57.6</v>
      </c>
      <c r="FO9" s="17">
        <f t="shared" si="66"/>
        <v>57.6</v>
      </c>
      <c r="FP9" s="17">
        <f t="shared" si="66"/>
        <v>28.8</v>
      </c>
      <c r="FQ9" s="17">
        <f t="shared" si="66"/>
        <v>0</v>
      </c>
      <c r="FR9" s="17">
        <f t="shared" si="66"/>
        <v>0</v>
      </c>
      <c r="FS9" s="17">
        <f t="shared" ref="FS9:FY9" si="67">FS8*28.8</f>
        <v>0</v>
      </c>
      <c r="FT9" s="17">
        <f t="shared" si="67"/>
        <v>0</v>
      </c>
      <c r="FU9" s="17">
        <f t="shared" si="67"/>
        <v>0</v>
      </c>
      <c r="FV9" s="17">
        <f t="shared" si="67"/>
        <v>0</v>
      </c>
      <c r="FW9" s="17">
        <f t="shared" si="67"/>
        <v>0</v>
      </c>
      <c r="FX9" s="17">
        <f t="shared" si="67"/>
        <v>0</v>
      </c>
      <c r="FY9" s="17">
        <f t="shared" si="67"/>
        <v>0</v>
      </c>
      <c r="FZ9" s="17">
        <f t="shared" ref="FZ9:GF9" si="68">FZ8*28.8</f>
        <v>0</v>
      </c>
      <c r="GA9" s="17">
        <f t="shared" si="68"/>
        <v>0</v>
      </c>
      <c r="GB9" s="17">
        <f t="shared" si="68"/>
        <v>0</v>
      </c>
      <c r="GC9" s="17">
        <f t="shared" si="68"/>
        <v>0</v>
      </c>
      <c r="GD9" s="17">
        <f t="shared" si="68"/>
        <v>0</v>
      </c>
      <c r="GE9" s="17">
        <f t="shared" si="68"/>
        <v>0</v>
      </c>
      <c r="GF9" s="17">
        <f t="shared" si="68"/>
        <v>0</v>
      </c>
      <c r="GG9" s="17">
        <f t="shared" ref="GG9:GK9" si="69">GG8*28.8</f>
        <v>0</v>
      </c>
      <c r="GH9" s="17">
        <f t="shared" si="69"/>
        <v>0</v>
      </c>
      <c r="GI9" s="17">
        <f t="shared" si="69"/>
        <v>0</v>
      </c>
      <c r="GJ9" s="17">
        <f t="shared" si="69"/>
        <v>0</v>
      </c>
      <c r="GK9" s="17">
        <f t="shared" si="69"/>
        <v>0</v>
      </c>
      <c r="GL9" s="17">
        <f t="shared" ref="GL9:GR9" si="70">GL8*28.8</f>
        <v>0</v>
      </c>
      <c r="GM9" s="17">
        <f t="shared" si="70"/>
        <v>0</v>
      </c>
      <c r="GN9" s="17">
        <f t="shared" si="70"/>
        <v>0</v>
      </c>
      <c r="GO9" s="17">
        <f t="shared" si="70"/>
        <v>0</v>
      </c>
      <c r="GP9" s="17">
        <f t="shared" si="70"/>
        <v>0</v>
      </c>
      <c r="GQ9" s="17">
        <f t="shared" si="70"/>
        <v>0</v>
      </c>
      <c r="GR9" s="17">
        <f t="shared" si="70"/>
        <v>0</v>
      </c>
      <c r="GS9" s="17">
        <f t="shared" ref="GS9:GT9" si="71">GS8*28.8</f>
        <v>0</v>
      </c>
      <c r="GT9" s="17">
        <f t="shared" si="71"/>
        <v>0</v>
      </c>
      <c r="GU9" s="17">
        <f t="shared" ref="GU9:GY9" si="72">GU8*28.8</f>
        <v>0</v>
      </c>
      <c r="GV9" s="17">
        <f t="shared" si="72"/>
        <v>0</v>
      </c>
      <c r="GW9" s="17">
        <f t="shared" si="72"/>
        <v>0</v>
      </c>
      <c r="GX9" s="17">
        <f t="shared" si="72"/>
        <v>0</v>
      </c>
      <c r="GY9" s="17">
        <f t="shared" si="72"/>
        <v>0</v>
      </c>
      <c r="GZ9" s="17">
        <f t="shared" ref="GZ9:HF9" si="73">GZ8*28.8</f>
        <v>0</v>
      </c>
      <c r="HA9" s="17">
        <f t="shared" si="73"/>
        <v>0</v>
      </c>
      <c r="HB9" s="17">
        <f t="shared" si="73"/>
        <v>0</v>
      </c>
      <c r="HC9" s="17">
        <f t="shared" si="73"/>
        <v>0</v>
      </c>
      <c r="HD9" s="17">
        <f t="shared" si="73"/>
        <v>0</v>
      </c>
      <c r="HE9" s="17">
        <f t="shared" si="73"/>
        <v>0</v>
      </c>
      <c r="HF9" s="17">
        <f t="shared" si="73"/>
        <v>0</v>
      </c>
      <c r="HG9" s="17">
        <f t="shared" ref="HG9:HM9" si="74">HG8*28.8</f>
        <v>0</v>
      </c>
      <c r="HH9" s="17">
        <f t="shared" si="74"/>
        <v>57.6</v>
      </c>
      <c r="HI9" s="17">
        <f t="shared" si="74"/>
        <v>57.6</v>
      </c>
      <c r="HJ9" s="17">
        <f t="shared" si="74"/>
        <v>57.6</v>
      </c>
      <c r="HK9" s="17">
        <f t="shared" si="74"/>
        <v>57.6</v>
      </c>
      <c r="HL9" s="17">
        <f t="shared" si="74"/>
        <v>57.6</v>
      </c>
      <c r="HM9" s="17">
        <f t="shared" si="74"/>
        <v>57.6</v>
      </c>
      <c r="HN9" s="17">
        <f t="shared" ref="HN9:HT9" si="75">HN8*28.8</f>
        <v>0</v>
      </c>
      <c r="HO9" s="17">
        <f t="shared" si="75"/>
        <v>0</v>
      </c>
      <c r="HP9" s="17">
        <f t="shared" si="75"/>
        <v>0</v>
      </c>
      <c r="HQ9" s="17">
        <f t="shared" si="75"/>
        <v>0</v>
      </c>
      <c r="HR9" s="17">
        <f t="shared" si="75"/>
        <v>0</v>
      </c>
      <c r="HS9" s="17">
        <f t="shared" si="75"/>
        <v>0</v>
      </c>
      <c r="HT9" s="17">
        <f t="shared" si="75"/>
        <v>0</v>
      </c>
      <c r="HU9" s="17">
        <f t="shared" ref="HU9:IC9" si="76">HU8*28.8</f>
        <v>0</v>
      </c>
      <c r="HV9" s="17">
        <f t="shared" si="76"/>
        <v>0</v>
      </c>
      <c r="HW9" s="17">
        <f t="shared" si="76"/>
        <v>0</v>
      </c>
      <c r="HX9" s="17">
        <f t="shared" si="76"/>
        <v>0</v>
      </c>
      <c r="HY9" s="17">
        <f t="shared" si="76"/>
        <v>0</v>
      </c>
      <c r="HZ9" s="17">
        <f t="shared" si="76"/>
        <v>0</v>
      </c>
      <c r="IA9" s="17">
        <f t="shared" si="76"/>
        <v>0</v>
      </c>
      <c r="IB9" s="17">
        <f t="shared" si="76"/>
        <v>0</v>
      </c>
      <c r="IC9" s="17">
        <f t="shared" si="76"/>
        <v>0</v>
      </c>
    </row>
    <row r="10" spans="1:237" s="1" customFormat="1" x14ac:dyDescent="0.35">
      <c r="A10" s="1" t="s">
        <v>45</v>
      </c>
      <c r="P10" s="1">
        <v>2</v>
      </c>
      <c r="U10" s="1">
        <v>1</v>
      </c>
      <c r="V10" s="1">
        <v>1</v>
      </c>
      <c r="AL10" s="1">
        <v>2</v>
      </c>
      <c r="AU10" s="1">
        <v>3</v>
      </c>
      <c r="AV10" s="1">
        <v>3</v>
      </c>
      <c r="AW10" s="1">
        <v>3</v>
      </c>
      <c r="AX10" s="1">
        <v>3</v>
      </c>
      <c r="AY10" s="1">
        <v>4</v>
      </c>
      <c r="AZ10" s="1">
        <v>4</v>
      </c>
      <c r="BA10" s="1">
        <v>3</v>
      </c>
      <c r="BN10" s="1">
        <v>5</v>
      </c>
      <c r="BO10" s="1">
        <v>5</v>
      </c>
      <c r="BP10" s="1">
        <v>3</v>
      </c>
      <c r="BQ10" s="1">
        <v>3</v>
      </c>
      <c r="BR10" s="1">
        <v>3</v>
      </c>
      <c r="BS10" s="14">
        <v>4</v>
      </c>
      <c r="BT10" s="14">
        <v>4</v>
      </c>
      <c r="BU10" s="14">
        <v>3</v>
      </c>
      <c r="BV10" s="14">
        <v>3</v>
      </c>
      <c r="BW10" s="14">
        <v>3</v>
      </c>
      <c r="BX10" s="14">
        <v>2</v>
      </c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>
        <v>2</v>
      </c>
      <c r="CZ10" s="14">
        <v>2</v>
      </c>
      <c r="DA10" s="14">
        <v>2</v>
      </c>
      <c r="DB10" s="14">
        <v>7</v>
      </c>
      <c r="DC10" s="14">
        <v>7</v>
      </c>
      <c r="DD10" s="14">
        <v>7</v>
      </c>
      <c r="DE10" s="14">
        <v>7</v>
      </c>
      <c r="DF10" s="14">
        <v>2</v>
      </c>
      <c r="DG10" s="14">
        <v>2</v>
      </c>
      <c r="DH10" s="14">
        <v>2</v>
      </c>
      <c r="DI10" s="14">
        <v>2</v>
      </c>
      <c r="DJ10" s="14">
        <v>2</v>
      </c>
      <c r="DK10" s="14">
        <v>2</v>
      </c>
      <c r="DL10" s="14">
        <v>2</v>
      </c>
      <c r="DM10" s="14">
        <v>2</v>
      </c>
      <c r="DN10" s="14">
        <v>3</v>
      </c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>
        <v>1</v>
      </c>
      <c r="EI10" s="14">
        <v>1</v>
      </c>
      <c r="EJ10" s="14"/>
      <c r="EK10" s="14"/>
      <c r="EL10" s="14"/>
      <c r="EM10" s="14"/>
      <c r="EN10" s="14"/>
      <c r="EO10" s="14"/>
      <c r="EP10" s="14"/>
      <c r="EQ10" s="14"/>
      <c r="ER10" s="14"/>
      <c r="ES10" s="14">
        <v>1</v>
      </c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4"/>
      <c r="HC10" s="14"/>
      <c r="HD10" s="14"/>
      <c r="HE10" s="14"/>
      <c r="HF10" s="14"/>
      <c r="HG10" s="14"/>
      <c r="HH10" s="14"/>
      <c r="HI10" s="14"/>
      <c r="HJ10" s="14"/>
      <c r="HK10" s="14"/>
      <c r="HL10" s="14"/>
      <c r="HM10" s="14"/>
      <c r="HN10" s="14"/>
      <c r="HO10" s="14"/>
      <c r="HP10" s="14"/>
      <c r="HQ10" s="14"/>
      <c r="HR10" s="14"/>
      <c r="HS10" s="14"/>
      <c r="HT10" s="14"/>
      <c r="HU10" s="14"/>
      <c r="HV10" s="14"/>
      <c r="HW10" s="14"/>
      <c r="HX10" s="14"/>
      <c r="HY10" s="14"/>
      <c r="HZ10" s="14"/>
      <c r="IA10" s="14"/>
      <c r="IB10" s="14"/>
      <c r="IC10" s="14"/>
    </row>
    <row r="11" spans="1:237" s="2" customFormat="1" x14ac:dyDescent="0.35">
      <c r="A11" s="2" t="s">
        <v>41</v>
      </c>
      <c r="BN11" s="2">
        <f t="shared" ref="BN11" si="77">BN10*28.8</f>
        <v>144</v>
      </c>
      <c r="BO11" s="2">
        <f t="shared" ref="BO11" si="78">BO10*28.8</f>
        <v>144</v>
      </c>
      <c r="BP11" s="2">
        <f>BP10*28.8</f>
        <v>86.4</v>
      </c>
      <c r="BQ11" s="2">
        <f t="shared" ref="BQ11" si="79">BQ10*28.8</f>
        <v>86.4</v>
      </c>
      <c r="BR11" s="2">
        <f t="shared" ref="BR11" si="80">BR10*28.8</f>
        <v>86.4</v>
      </c>
      <c r="BS11" s="17">
        <f t="shared" ref="BS11" si="81">BS10*28.8</f>
        <v>115.2</v>
      </c>
      <c r="BT11" s="17">
        <f t="shared" ref="BT11" si="82">BT10*28.8</f>
        <v>115.2</v>
      </c>
      <c r="BU11" s="17">
        <f t="shared" ref="BU11" si="83">BU10*28.8</f>
        <v>86.4</v>
      </c>
      <c r="BV11" s="17">
        <f t="shared" ref="BV11:CC11" si="84">BV10*28.8</f>
        <v>86.4</v>
      </c>
      <c r="BW11" s="17">
        <f t="shared" si="84"/>
        <v>86.4</v>
      </c>
      <c r="BX11" s="17">
        <f t="shared" si="84"/>
        <v>57.6</v>
      </c>
      <c r="BY11" s="17">
        <f t="shared" si="84"/>
        <v>0</v>
      </c>
      <c r="BZ11" s="17">
        <f t="shared" si="84"/>
        <v>0</v>
      </c>
      <c r="CA11" s="17">
        <f t="shared" si="84"/>
        <v>0</v>
      </c>
      <c r="CB11" s="17">
        <f t="shared" si="84"/>
        <v>0</v>
      </c>
      <c r="CC11" s="17">
        <f t="shared" si="84"/>
        <v>0</v>
      </c>
      <c r="CD11" s="17">
        <f t="shared" ref="CD11:CJ11" si="85">CD10*28.8</f>
        <v>0</v>
      </c>
      <c r="CE11" s="17">
        <f t="shared" si="85"/>
        <v>0</v>
      </c>
      <c r="CF11" s="17">
        <f t="shared" si="85"/>
        <v>0</v>
      </c>
      <c r="CG11" s="17">
        <f t="shared" si="85"/>
        <v>0</v>
      </c>
      <c r="CH11" s="17">
        <f t="shared" si="85"/>
        <v>0</v>
      </c>
      <c r="CI11" s="17">
        <f t="shared" si="85"/>
        <v>0</v>
      </c>
      <c r="CJ11" s="17">
        <f t="shared" si="85"/>
        <v>0</v>
      </c>
      <c r="CK11" s="17">
        <f t="shared" ref="CK11:CQ11" si="86">CK10*28.8</f>
        <v>0</v>
      </c>
      <c r="CL11" s="17">
        <f t="shared" si="86"/>
        <v>0</v>
      </c>
      <c r="CM11" s="17">
        <f t="shared" si="86"/>
        <v>0</v>
      </c>
      <c r="CN11" s="17">
        <f t="shared" si="86"/>
        <v>0</v>
      </c>
      <c r="CO11" s="17">
        <f t="shared" si="86"/>
        <v>0</v>
      </c>
      <c r="CP11" s="17">
        <f t="shared" si="86"/>
        <v>0</v>
      </c>
      <c r="CQ11" s="17">
        <f t="shared" si="86"/>
        <v>0</v>
      </c>
      <c r="CR11" s="17">
        <f t="shared" ref="CR11:CX11" si="87">CR10*28.8</f>
        <v>0</v>
      </c>
      <c r="CS11" s="17">
        <f t="shared" si="87"/>
        <v>0</v>
      </c>
      <c r="CT11" s="17">
        <f t="shared" si="87"/>
        <v>0</v>
      </c>
      <c r="CU11" s="17">
        <f t="shared" si="87"/>
        <v>0</v>
      </c>
      <c r="CV11" s="17">
        <f t="shared" si="87"/>
        <v>0</v>
      </c>
      <c r="CW11" s="17">
        <f t="shared" si="87"/>
        <v>0</v>
      </c>
      <c r="CX11" s="17">
        <f t="shared" si="87"/>
        <v>0</v>
      </c>
      <c r="CY11" s="17">
        <f t="shared" ref="CY11:DE11" si="88">CY10*28.8</f>
        <v>57.6</v>
      </c>
      <c r="CZ11" s="17">
        <f t="shared" si="88"/>
        <v>57.6</v>
      </c>
      <c r="DA11" s="17">
        <f t="shared" si="88"/>
        <v>57.6</v>
      </c>
      <c r="DB11" s="17">
        <f t="shared" si="88"/>
        <v>201.6</v>
      </c>
      <c r="DC11" s="17">
        <f t="shared" si="88"/>
        <v>201.6</v>
      </c>
      <c r="DD11" s="17">
        <f t="shared" si="88"/>
        <v>201.6</v>
      </c>
      <c r="DE11" s="17">
        <f t="shared" si="88"/>
        <v>201.6</v>
      </c>
      <c r="DF11" s="17">
        <f t="shared" ref="DF11:DM11" si="89">DF10*28.8</f>
        <v>57.6</v>
      </c>
      <c r="DG11" s="17">
        <f t="shared" si="89"/>
        <v>57.6</v>
      </c>
      <c r="DH11" s="17">
        <f t="shared" si="89"/>
        <v>57.6</v>
      </c>
      <c r="DI11" s="17">
        <f t="shared" si="89"/>
        <v>57.6</v>
      </c>
      <c r="DJ11" s="17">
        <f t="shared" si="89"/>
        <v>57.6</v>
      </c>
      <c r="DK11" s="17">
        <f t="shared" si="89"/>
        <v>57.6</v>
      </c>
      <c r="DL11" s="17">
        <f t="shared" si="89"/>
        <v>57.6</v>
      </c>
      <c r="DM11" s="17">
        <f t="shared" si="89"/>
        <v>57.6</v>
      </c>
      <c r="DN11" s="17">
        <f t="shared" ref="DN11:DS11" si="90">DN10*28.8</f>
        <v>86.4</v>
      </c>
      <c r="DO11" s="17">
        <f t="shared" si="90"/>
        <v>0</v>
      </c>
      <c r="DP11" s="17">
        <f t="shared" si="90"/>
        <v>0</v>
      </c>
      <c r="DQ11" s="17">
        <f t="shared" si="90"/>
        <v>0</v>
      </c>
      <c r="DR11" s="17">
        <f t="shared" si="90"/>
        <v>0</v>
      </c>
      <c r="DS11" s="17">
        <f t="shared" si="90"/>
        <v>0</v>
      </c>
      <c r="DT11" s="17">
        <f t="shared" ref="DT11:DZ11" si="91">DT10*28.8</f>
        <v>0</v>
      </c>
      <c r="DU11" s="17">
        <f t="shared" si="91"/>
        <v>0</v>
      </c>
      <c r="DV11" s="17">
        <f t="shared" si="91"/>
        <v>0</v>
      </c>
      <c r="DW11" s="17">
        <f t="shared" si="91"/>
        <v>0</v>
      </c>
      <c r="DX11" s="17">
        <f t="shared" si="91"/>
        <v>0</v>
      </c>
      <c r="DY11" s="17">
        <f t="shared" si="91"/>
        <v>0</v>
      </c>
      <c r="DZ11" s="17">
        <f t="shared" si="91"/>
        <v>0</v>
      </c>
      <c r="EA11" s="17">
        <f t="shared" ref="EA11:EG11" si="92">EA10*28.8</f>
        <v>0</v>
      </c>
      <c r="EB11" s="17">
        <f t="shared" si="92"/>
        <v>0</v>
      </c>
      <c r="EC11" s="17">
        <f t="shared" si="92"/>
        <v>0</v>
      </c>
      <c r="ED11" s="17">
        <f t="shared" si="92"/>
        <v>0</v>
      </c>
      <c r="EE11" s="17">
        <f t="shared" si="92"/>
        <v>0</v>
      </c>
      <c r="EF11" s="17">
        <f t="shared" si="92"/>
        <v>0</v>
      </c>
      <c r="EG11" s="17">
        <f t="shared" si="92"/>
        <v>0</v>
      </c>
      <c r="EH11" s="17">
        <f t="shared" ref="EH11:EN11" si="93">EH10*28.8</f>
        <v>28.8</v>
      </c>
      <c r="EI11" s="17">
        <f t="shared" si="93"/>
        <v>28.8</v>
      </c>
      <c r="EJ11" s="17">
        <f t="shared" si="93"/>
        <v>0</v>
      </c>
      <c r="EK11" s="17">
        <f t="shared" si="93"/>
        <v>0</v>
      </c>
      <c r="EL11" s="17">
        <f t="shared" si="93"/>
        <v>0</v>
      </c>
      <c r="EM11" s="17">
        <f t="shared" si="93"/>
        <v>0</v>
      </c>
      <c r="EN11" s="17">
        <f t="shared" si="93"/>
        <v>0</v>
      </c>
      <c r="EO11" s="17">
        <f t="shared" ref="EO11:EU11" si="94">EO10*28.8</f>
        <v>0</v>
      </c>
      <c r="EP11" s="17">
        <f t="shared" si="94"/>
        <v>0</v>
      </c>
      <c r="EQ11" s="17">
        <f t="shared" si="94"/>
        <v>0</v>
      </c>
      <c r="ER11" s="17">
        <f t="shared" si="94"/>
        <v>0</v>
      </c>
      <c r="ES11" s="17">
        <f t="shared" si="94"/>
        <v>28.8</v>
      </c>
      <c r="ET11" s="17">
        <f t="shared" si="94"/>
        <v>0</v>
      </c>
      <c r="EU11" s="17">
        <f t="shared" si="94"/>
        <v>0</v>
      </c>
      <c r="EV11" s="17">
        <f t="shared" ref="EV11:FD11" si="95">EV10*28.8</f>
        <v>0</v>
      </c>
      <c r="EW11" s="17">
        <f t="shared" si="95"/>
        <v>0</v>
      </c>
      <c r="EX11" s="17">
        <f t="shared" si="95"/>
        <v>0</v>
      </c>
      <c r="EY11" s="17">
        <f t="shared" si="95"/>
        <v>0</v>
      </c>
      <c r="EZ11" s="17">
        <f t="shared" si="95"/>
        <v>0</v>
      </c>
      <c r="FA11" s="17">
        <f t="shared" si="95"/>
        <v>0</v>
      </c>
      <c r="FB11" s="17">
        <f t="shared" si="95"/>
        <v>0</v>
      </c>
      <c r="FC11" s="17">
        <f t="shared" si="95"/>
        <v>0</v>
      </c>
      <c r="FD11" s="17">
        <f t="shared" si="95"/>
        <v>0</v>
      </c>
      <c r="FE11" s="17">
        <f t="shared" ref="FE11:FR11" si="96">FE10*28.8</f>
        <v>0</v>
      </c>
      <c r="FF11" s="17">
        <f t="shared" si="96"/>
        <v>0</v>
      </c>
      <c r="FG11" s="17">
        <f t="shared" si="96"/>
        <v>0</v>
      </c>
      <c r="FH11" s="17">
        <f t="shared" si="96"/>
        <v>0</v>
      </c>
      <c r="FI11" s="17">
        <f t="shared" si="96"/>
        <v>0</v>
      </c>
      <c r="FJ11" s="17">
        <f t="shared" si="96"/>
        <v>0</v>
      </c>
      <c r="FK11" s="17">
        <f t="shared" si="96"/>
        <v>0</v>
      </c>
      <c r="FL11" s="17">
        <f t="shared" si="96"/>
        <v>0</v>
      </c>
      <c r="FM11" s="17">
        <f t="shared" si="96"/>
        <v>0</v>
      </c>
      <c r="FN11" s="17">
        <f t="shared" si="96"/>
        <v>0</v>
      </c>
      <c r="FO11" s="17">
        <f t="shared" si="96"/>
        <v>0</v>
      </c>
      <c r="FP11" s="17">
        <f t="shared" si="96"/>
        <v>0</v>
      </c>
      <c r="FQ11" s="17">
        <f t="shared" si="96"/>
        <v>0</v>
      </c>
      <c r="FR11" s="17">
        <f t="shared" si="96"/>
        <v>0</v>
      </c>
      <c r="FS11" s="17">
        <f t="shared" ref="FS11:FY11" si="97">FS10*28.8</f>
        <v>0</v>
      </c>
      <c r="FT11" s="17">
        <f t="shared" si="97"/>
        <v>0</v>
      </c>
      <c r="FU11" s="17">
        <f t="shared" si="97"/>
        <v>0</v>
      </c>
      <c r="FV11" s="17">
        <f t="shared" si="97"/>
        <v>0</v>
      </c>
      <c r="FW11" s="17">
        <f t="shared" si="97"/>
        <v>0</v>
      </c>
      <c r="FX11" s="17">
        <f t="shared" si="97"/>
        <v>0</v>
      </c>
      <c r="FY11" s="17">
        <f t="shared" si="97"/>
        <v>0</v>
      </c>
      <c r="FZ11" s="17">
        <f t="shared" ref="FZ11:GF11" si="98">FZ10*28.8</f>
        <v>0</v>
      </c>
      <c r="GA11" s="17">
        <f t="shared" si="98"/>
        <v>0</v>
      </c>
      <c r="GB11" s="17">
        <f t="shared" si="98"/>
        <v>0</v>
      </c>
      <c r="GC11" s="17">
        <f t="shared" si="98"/>
        <v>0</v>
      </c>
      <c r="GD11" s="17">
        <f t="shared" si="98"/>
        <v>0</v>
      </c>
      <c r="GE11" s="17">
        <f t="shared" si="98"/>
        <v>0</v>
      </c>
      <c r="GF11" s="17">
        <f t="shared" si="98"/>
        <v>0</v>
      </c>
      <c r="GG11" s="17">
        <f t="shared" ref="GG11:GK11" si="99">GG10*28.8</f>
        <v>0</v>
      </c>
      <c r="GH11" s="17">
        <f t="shared" si="99"/>
        <v>0</v>
      </c>
      <c r="GI11" s="17">
        <f t="shared" si="99"/>
        <v>0</v>
      </c>
      <c r="GJ11" s="17">
        <f t="shared" si="99"/>
        <v>0</v>
      </c>
      <c r="GK11" s="17">
        <f t="shared" si="99"/>
        <v>0</v>
      </c>
      <c r="GL11" s="17">
        <f t="shared" ref="GL11:GR11" si="100">GL10*28.8</f>
        <v>0</v>
      </c>
      <c r="GM11" s="17">
        <f t="shared" si="100"/>
        <v>0</v>
      </c>
      <c r="GN11" s="17">
        <f t="shared" si="100"/>
        <v>0</v>
      </c>
      <c r="GO11" s="17">
        <f t="shared" si="100"/>
        <v>0</v>
      </c>
      <c r="GP11" s="17">
        <f t="shared" si="100"/>
        <v>0</v>
      </c>
      <c r="GQ11" s="17">
        <f t="shared" si="100"/>
        <v>0</v>
      </c>
      <c r="GR11" s="17">
        <f t="shared" si="100"/>
        <v>0</v>
      </c>
      <c r="GS11" s="17">
        <f t="shared" ref="GS11:GT11" si="101">GS10*28.8</f>
        <v>0</v>
      </c>
      <c r="GT11" s="17">
        <f t="shared" si="101"/>
        <v>0</v>
      </c>
      <c r="GU11" s="17">
        <f t="shared" ref="GU11:GY11" si="102">GU10*28.8</f>
        <v>0</v>
      </c>
      <c r="GV11" s="17">
        <f t="shared" si="102"/>
        <v>0</v>
      </c>
      <c r="GW11" s="17">
        <f t="shared" si="102"/>
        <v>0</v>
      </c>
      <c r="GX11" s="17">
        <f t="shared" si="102"/>
        <v>0</v>
      </c>
      <c r="GY11" s="17">
        <f t="shared" si="102"/>
        <v>0</v>
      </c>
      <c r="GZ11" s="17">
        <f t="shared" ref="GZ11:HF11" si="103">GZ10*28.8</f>
        <v>0</v>
      </c>
      <c r="HA11" s="17">
        <f t="shared" si="103"/>
        <v>0</v>
      </c>
      <c r="HB11" s="17">
        <f t="shared" si="103"/>
        <v>0</v>
      </c>
      <c r="HC11" s="17">
        <f t="shared" si="103"/>
        <v>0</v>
      </c>
      <c r="HD11" s="17">
        <f t="shared" si="103"/>
        <v>0</v>
      </c>
      <c r="HE11" s="17">
        <f t="shared" si="103"/>
        <v>0</v>
      </c>
      <c r="HF11" s="17">
        <f t="shared" si="103"/>
        <v>0</v>
      </c>
      <c r="HG11" s="17">
        <f t="shared" ref="HG11:HM11" si="104">HG10*28.8</f>
        <v>0</v>
      </c>
      <c r="HH11" s="17">
        <f t="shared" si="104"/>
        <v>0</v>
      </c>
      <c r="HI11" s="17">
        <f t="shared" si="104"/>
        <v>0</v>
      </c>
      <c r="HJ11" s="17">
        <f t="shared" si="104"/>
        <v>0</v>
      </c>
      <c r="HK11" s="17">
        <f t="shared" si="104"/>
        <v>0</v>
      </c>
      <c r="HL11" s="17">
        <f t="shared" si="104"/>
        <v>0</v>
      </c>
      <c r="HM11" s="17">
        <f t="shared" si="104"/>
        <v>0</v>
      </c>
      <c r="HN11" s="17">
        <f t="shared" ref="HN11:HT11" si="105">HN10*28.8</f>
        <v>0</v>
      </c>
      <c r="HO11" s="17">
        <f t="shared" si="105"/>
        <v>0</v>
      </c>
      <c r="HP11" s="17">
        <f t="shared" si="105"/>
        <v>0</v>
      </c>
      <c r="HQ11" s="17">
        <f t="shared" si="105"/>
        <v>0</v>
      </c>
      <c r="HR11" s="17">
        <f t="shared" si="105"/>
        <v>0</v>
      </c>
      <c r="HS11" s="17">
        <f t="shared" si="105"/>
        <v>0</v>
      </c>
      <c r="HT11" s="17">
        <f t="shared" si="105"/>
        <v>0</v>
      </c>
      <c r="HU11" s="17">
        <f t="shared" ref="HU11:IC11" si="106">HU10*28.8</f>
        <v>0</v>
      </c>
      <c r="HV11" s="17">
        <f t="shared" si="106"/>
        <v>0</v>
      </c>
      <c r="HW11" s="17">
        <f t="shared" si="106"/>
        <v>0</v>
      </c>
      <c r="HX11" s="17">
        <f t="shared" si="106"/>
        <v>0</v>
      </c>
      <c r="HY11" s="17">
        <f t="shared" si="106"/>
        <v>0</v>
      </c>
      <c r="HZ11" s="17">
        <f t="shared" si="106"/>
        <v>0</v>
      </c>
      <c r="IA11" s="17">
        <f t="shared" si="106"/>
        <v>0</v>
      </c>
      <c r="IB11" s="17">
        <f t="shared" si="106"/>
        <v>0</v>
      </c>
      <c r="IC11" s="17">
        <f t="shared" si="106"/>
        <v>0</v>
      </c>
    </row>
    <row r="12" spans="1:237" s="1" customFormat="1" x14ac:dyDescent="0.35">
      <c r="A12" s="1" t="s">
        <v>46</v>
      </c>
      <c r="B12" s="1">
        <v>25</v>
      </c>
      <c r="C12" s="1">
        <v>25</v>
      </c>
      <c r="D12" s="1">
        <v>25</v>
      </c>
      <c r="E12" s="1">
        <v>25</v>
      </c>
      <c r="F12" s="1">
        <v>25</v>
      </c>
      <c r="G12" s="1">
        <v>25</v>
      </c>
      <c r="H12" s="1">
        <v>25</v>
      </c>
      <c r="I12" s="1">
        <v>17</v>
      </c>
      <c r="J12" s="1">
        <v>17</v>
      </c>
      <c r="K12" s="1">
        <v>17</v>
      </c>
      <c r="L12" s="1">
        <v>17</v>
      </c>
      <c r="M12" s="1">
        <v>17</v>
      </c>
      <c r="N12" s="1">
        <v>17</v>
      </c>
      <c r="O12" s="1">
        <v>17</v>
      </c>
      <c r="P12" s="1">
        <v>11</v>
      </c>
      <c r="Q12" s="1">
        <v>13</v>
      </c>
      <c r="R12" s="1">
        <v>14</v>
      </c>
      <c r="S12" s="1">
        <v>11</v>
      </c>
      <c r="T12" s="1">
        <v>14</v>
      </c>
      <c r="U12" s="1">
        <v>11</v>
      </c>
      <c r="V12" s="1">
        <v>13</v>
      </c>
      <c r="W12" s="1">
        <v>8</v>
      </c>
      <c r="X12" s="1">
        <v>17</v>
      </c>
      <c r="Y12" s="1">
        <v>17</v>
      </c>
      <c r="Z12" s="1">
        <v>17</v>
      </c>
      <c r="AA12" s="1">
        <v>17</v>
      </c>
      <c r="AB12" s="1">
        <v>17</v>
      </c>
      <c r="AC12" s="1">
        <v>17</v>
      </c>
      <c r="AD12" s="1">
        <v>28</v>
      </c>
      <c r="AE12" s="1">
        <v>28</v>
      </c>
      <c r="AG12" s="1">
        <v>26</v>
      </c>
      <c r="AH12" s="1">
        <v>26</v>
      </c>
      <c r="AI12" s="1">
        <v>28</v>
      </c>
      <c r="AJ12" s="1">
        <v>28</v>
      </c>
      <c r="AK12" s="1">
        <v>28</v>
      </c>
      <c r="AL12" s="1">
        <v>27</v>
      </c>
      <c r="AM12" s="1">
        <v>30</v>
      </c>
      <c r="AN12" s="1">
        <v>31</v>
      </c>
      <c r="AO12" s="1">
        <v>31</v>
      </c>
      <c r="AP12" s="1">
        <v>32</v>
      </c>
      <c r="AQ12" s="1">
        <v>31</v>
      </c>
      <c r="AR12" s="1">
        <v>31</v>
      </c>
      <c r="AS12" s="1">
        <v>26</v>
      </c>
      <c r="AT12" s="1">
        <v>26</v>
      </c>
      <c r="AU12" s="1">
        <v>26</v>
      </c>
      <c r="AV12" s="1">
        <v>26</v>
      </c>
      <c r="AW12" s="1">
        <v>26</v>
      </c>
      <c r="AX12" s="1">
        <v>26</v>
      </c>
      <c r="AY12" s="1">
        <v>26</v>
      </c>
      <c r="AZ12" s="1">
        <v>26</v>
      </c>
      <c r="BA12" s="1">
        <v>26</v>
      </c>
      <c r="BB12" s="1">
        <v>31</v>
      </c>
      <c r="BC12" s="1">
        <v>31</v>
      </c>
      <c r="BD12" s="1">
        <v>31</v>
      </c>
      <c r="BE12" s="1">
        <v>31</v>
      </c>
      <c r="BF12" s="1">
        <v>31</v>
      </c>
      <c r="BG12" s="1">
        <v>29</v>
      </c>
      <c r="BH12" s="1">
        <v>29</v>
      </c>
      <c r="BI12" s="1">
        <v>29</v>
      </c>
      <c r="BJ12" s="1">
        <v>29</v>
      </c>
      <c r="BK12" s="1">
        <v>28</v>
      </c>
      <c r="BL12" s="1">
        <v>28</v>
      </c>
      <c r="BM12" s="1">
        <v>28</v>
      </c>
      <c r="BN12" s="1">
        <v>20</v>
      </c>
      <c r="BO12" s="1">
        <v>19</v>
      </c>
      <c r="BP12" s="1">
        <v>19</v>
      </c>
      <c r="BQ12" s="1">
        <v>19</v>
      </c>
      <c r="BR12" s="1">
        <v>19</v>
      </c>
      <c r="BS12" s="14">
        <v>25</v>
      </c>
      <c r="BT12" s="14">
        <v>26</v>
      </c>
      <c r="BU12" s="14">
        <v>27</v>
      </c>
      <c r="BV12" s="14">
        <v>28</v>
      </c>
      <c r="BW12" s="14">
        <v>21</v>
      </c>
      <c r="BX12" s="14">
        <v>22</v>
      </c>
      <c r="BY12" s="14">
        <v>24</v>
      </c>
      <c r="BZ12" s="14">
        <v>24</v>
      </c>
      <c r="CA12" s="14">
        <v>25</v>
      </c>
      <c r="CB12" s="14">
        <v>20</v>
      </c>
      <c r="CC12" s="14">
        <v>20</v>
      </c>
      <c r="CD12" s="14">
        <v>20</v>
      </c>
      <c r="CE12" s="14">
        <v>20</v>
      </c>
      <c r="CF12" s="14">
        <v>27</v>
      </c>
      <c r="CG12" s="14">
        <v>27</v>
      </c>
      <c r="CH12" s="14">
        <v>27</v>
      </c>
      <c r="CI12" s="14">
        <v>27</v>
      </c>
      <c r="CJ12" s="14">
        <v>27</v>
      </c>
      <c r="CK12" s="14">
        <v>27</v>
      </c>
      <c r="CL12" s="14">
        <v>27</v>
      </c>
      <c r="CM12" s="14">
        <v>27</v>
      </c>
      <c r="CN12" s="14">
        <v>27</v>
      </c>
      <c r="CO12" s="14">
        <v>20</v>
      </c>
      <c r="CP12" s="14">
        <v>20</v>
      </c>
      <c r="CQ12" s="14">
        <v>20</v>
      </c>
      <c r="CR12" s="14">
        <v>22</v>
      </c>
      <c r="CS12" s="14">
        <v>22</v>
      </c>
      <c r="CT12" s="14">
        <v>22</v>
      </c>
      <c r="CU12" s="14">
        <v>22</v>
      </c>
      <c r="CV12" s="14">
        <v>22</v>
      </c>
      <c r="CW12" s="14">
        <v>20</v>
      </c>
      <c r="CX12" s="14">
        <v>22</v>
      </c>
      <c r="CY12" s="14">
        <v>19</v>
      </c>
      <c r="CZ12" s="14">
        <v>19</v>
      </c>
      <c r="DA12" s="14">
        <v>20</v>
      </c>
      <c r="DB12" s="14">
        <v>15</v>
      </c>
      <c r="DC12" s="14">
        <v>8</v>
      </c>
      <c r="DD12" s="14">
        <v>8</v>
      </c>
      <c r="DE12" s="14">
        <v>8</v>
      </c>
      <c r="DF12" s="14">
        <v>9</v>
      </c>
      <c r="DG12" s="14">
        <v>9</v>
      </c>
      <c r="DH12" s="14">
        <v>9</v>
      </c>
      <c r="DI12" s="14">
        <v>9</v>
      </c>
      <c r="DJ12" s="14">
        <v>9</v>
      </c>
      <c r="DK12" s="14">
        <v>11</v>
      </c>
      <c r="DL12" s="14">
        <v>11</v>
      </c>
      <c r="DM12" s="14">
        <v>14</v>
      </c>
      <c r="DN12" s="14">
        <v>14</v>
      </c>
      <c r="DO12" s="14">
        <v>17</v>
      </c>
      <c r="DP12" s="14">
        <v>17</v>
      </c>
      <c r="DQ12" s="14">
        <v>17</v>
      </c>
      <c r="DR12" s="14">
        <v>18</v>
      </c>
      <c r="DS12" s="14">
        <v>18</v>
      </c>
      <c r="DT12" s="14">
        <v>20</v>
      </c>
      <c r="DU12" s="14">
        <v>20</v>
      </c>
      <c r="DV12" s="14">
        <v>20</v>
      </c>
      <c r="DW12" s="14">
        <v>20</v>
      </c>
      <c r="DX12" s="14">
        <v>20</v>
      </c>
      <c r="DY12" s="14">
        <v>19</v>
      </c>
      <c r="DZ12" s="14">
        <v>19</v>
      </c>
      <c r="EA12" s="14"/>
      <c r="EB12" s="14"/>
      <c r="EC12" s="14"/>
      <c r="ED12" s="14">
        <v>20</v>
      </c>
      <c r="EE12" s="14">
        <v>20</v>
      </c>
      <c r="EF12" s="14">
        <v>20</v>
      </c>
      <c r="EG12" s="14">
        <v>20</v>
      </c>
      <c r="EH12" s="14">
        <v>28</v>
      </c>
      <c r="EI12" s="14">
        <v>28</v>
      </c>
      <c r="EJ12" s="14">
        <v>29</v>
      </c>
      <c r="EK12" s="14">
        <v>29</v>
      </c>
      <c r="EL12" s="14">
        <v>29</v>
      </c>
      <c r="EM12" s="14">
        <v>28</v>
      </c>
      <c r="EN12" s="14">
        <v>28</v>
      </c>
      <c r="EO12" s="14">
        <v>18</v>
      </c>
      <c r="EP12" s="14">
        <v>18</v>
      </c>
      <c r="EQ12" s="14">
        <v>17</v>
      </c>
      <c r="ER12" s="14">
        <v>17</v>
      </c>
      <c r="ES12" s="14">
        <v>17</v>
      </c>
      <c r="ET12" s="14">
        <v>18</v>
      </c>
      <c r="EU12" s="14">
        <v>18</v>
      </c>
      <c r="EV12" s="14">
        <v>13</v>
      </c>
      <c r="EW12" s="14">
        <v>13</v>
      </c>
      <c r="EX12" s="14">
        <v>12</v>
      </c>
      <c r="EY12" s="14">
        <v>11</v>
      </c>
      <c r="EZ12" s="14">
        <v>11</v>
      </c>
      <c r="FA12" s="14">
        <v>11</v>
      </c>
      <c r="FB12" s="14">
        <v>11</v>
      </c>
      <c r="FC12" s="14">
        <v>10</v>
      </c>
      <c r="FD12" s="14">
        <v>10</v>
      </c>
      <c r="FE12" s="14">
        <v>11</v>
      </c>
      <c r="FF12" s="14">
        <v>12</v>
      </c>
      <c r="FG12" s="14">
        <v>13</v>
      </c>
      <c r="FH12" s="14">
        <v>14</v>
      </c>
      <c r="FI12" s="14">
        <v>15</v>
      </c>
      <c r="FJ12" s="14">
        <v>21</v>
      </c>
      <c r="FK12" s="14">
        <v>20</v>
      </c>
      <c r="FL12" s="14">
        <v>20</v>
      </c>
      <c r="FM12" s="14">
        <v>19</v>
      </c>
      <c r="FN12" s="14">
        <v>19</v>
      </c>
      <c r="FO12" s="14">
        <v>19</v>
      </c>
      <c r="FP12" s="14">
        <v>20</v>
      </c>
      <c r="FQ12" s="14">
        <v>20</v>
      </c>
      <c r="FR12" s="14">
        <v>20</v>
      </c>
      <c r="FS12" s="14">
        <v>15</v>
      </c>
      <c r="FT12" s="14">
        <v>15</v>
      </c>
      <c r="FU12" s="14">
        <v>15</v>
      </c>
      <c r="FV12" s="14">
        <v>16</v>
      </c>
      <c r="FW12" s="14">
        <v>16</v>
      </c>
      <c r="FX12" s="14">
        <v>17</v>
      </c>
      <c r="FY12" s="14">
        <v>17</v>
      </c>
      <c r="FZ12" s="14">
        <v>17</v>
      </c>
      <c r="GA12" s="14">
        <v>17</v>
      </c>
      <c r="GB12" s="14">
        <v>17</v>
      </c>
      <c r="GC12" s="14">
        <v>17</v>
      </c>
      <c r="GD12" s="14">
        <v>17</v>
      </c>
      <c r="GE12" s="14">
        <v>18</v>
      </c>
      <c r="GF12" s="14">
        <v>18</v>
      </c>
      <c r="GG12" s="14">
        <v>18</v>
      </c>
      <c r="GH12" s="14">
        <v>18</v>
      </c>
      <c r="GI12" s="14">
        <v>18</v>
      </c>
      <c r="GJ12" s="14">
        <v>18</v>
      </c>
      <c r="GK12" s="14">
        <v>18</v>
      </c>
      <c r="GL12" s="14">
        <v>17</v>
      </c>
      <c r="GM12" s="14">
        <v>17</v>
      </c>
      <c r="GN12" s="14">
        <v>7</v>
      </c>
      <c r="GO12" s="14">
        <v>9</v>
      </c>
      <c r="GP12" s="14">
        <v>11</v>
      </c>
      <c r="GQ12" s="14">
        <v>11</v>
      </c>
      <c r="GR12" s="14">
        <v>11</v>
      </c>
      <c r="GS12" s="14">
        <v>13</v>
      </c>
      <c r="GT12" s="14">
        <v>13</v>
      </c>
      <c r="GU12" s="14">
        <v>13</v>
      </c>
      <c r="GV12" s="14">
        <v>14</v>
      </c>
      <c r="GW12" s="14">
        <v>14</v>
      </c>
      <c r="GX12" s="14">
        <v>14</v>
      </c>
      <c r="GY12" s="14">
        <v>14</v>
      </c>
      <c r="GZ12" s="14">
        <v>22</v>
      </c>
      <c r="HA12" s="14">
        <v>22</v>
      </c>
      <c r="HB12" s="14">
        <v>22</v>
      </c>
      <c r="HC12" s="14">
        <v>25</v>
      </c>
      <c r="HD12" s="14">
        <v>25</v>
      </c>
      <c r="HE12" s="14">
        <v>25</v>
      </c>
      <c r="HF12" s="14">
        <v>25</v>
      </c>
      <c r="HG12" s="14">
        <v>20</v>
      </c>
      <c r="HH12" s="14">
        <v>20</v>
      </c>
      <c r="HI12" s="14">
        <v>20</v>
      </c>
      <c r="HJ12" s="14">
        <v>26</v>
      </c>
      <c r="HK12" s="14">
        <v>26</v>
      </c>
      <c r="HL12" s="14">
        <v>26</v>
      </c>
      <c r="HM12" s="14">
        <v>26</v>
      </c>
      <c r="HN12" s="14">
        <v>26</v>
      </c>
      <c r="HO12" s="14">
        <v>26</v>
      </c>
      <c r="HP12" s="14">
        <v>23</v>
      </c>
      <c r="HQ12" s="14">
        <v>13</v>
      </c>
      <c r="HR12" s="14">
        <v>14</v>
      </c>
      <c r="HS12" s="14">
        <v>15</v>
      </c>
      <c r="HT12" s="14">
        <v>15</v>
      </c>
      <c r="HU12" s="14">
        <v>15</v>
      </c>
      <c r="HV12" s="14">
        <v>15</v>
      </c>
      <c r="HW12" s="14">
        <v>15</v>
      </c>
      <c r="HX12" s="14">
        <v>15</v>
      </c>
      <c r="HY12" s="14">
        <v>15</v>
      </c>
      <c r="HZ12" s="14">
        <v>15</v>
      </c>
      <c r="IA12" s="14">
        <v>15</v>
      </c>
      <c r="IB12" s="14">
        <v>15</v>
      </c>
      <c r="IC12" s="14">
        <v>14</v>
      </c>
    </row>
    <row r="13" spans="1:237" s="2" customFormat="1" x14ac:dyDescent="0.35">
      <c r="A13" s="2" t="s">
        <v>41</v>
      </c>
      <c r="B13" s="2">
        <f>([4]Summary!D32-D!B5)/28.8</f>
        <v>23.545138888888889</v>
      </c>
      <c r="C13" s="2">
        <f>([4]Summary!E32-D!C5)/28.8</f>
        <v>23.545138888888889</v>
      </c>
      <c r="D13" s="2">
        <f>([4]Summary!F32-D!D5)/28.8</f>
        <v>24.586805555555557</v>
      </c>
      <c r="E13" s="2">
        <f>([4]Summary!G32-D!E5)/28.8</f>
        <v>25.059722222222224</v>
      </c>
      <c r="F13" s="2">
        <f>([4]Summary!H32-D!F5)/28.8</f>
        <v>25.059722222222224</v>
      </c>
      <c r="I13" s="2">
        <v>16.855555555555558</v>
      </c>
      <c r="J13" s="2">
        <v>16.855555555555558</v>
      </c>
      <c r="K13" s="2">
        <v>16.855555555555558</v>
      </c>
      <c r="L13" s="2">
        <v>16.855555555555558</v>
      </c>
      <c r="M13" s="2">
        <v>16.855555555555558</v>
      </c>
      <c r="N13" s="2">
        <v>16.855555555555558</v>
      </c>
      <c r="O13" s="2">
        <v>16.855555555555558</v>
      </c>
      <c r="P13" s="2">
        <f>([5]Summary!D35-D!P32-D!P5)/28.8</f>
        <v>12.943750000000003</v>
      </c>
      <c r="Q13" s="2">
        <f>([5]Summary!E35-D!Q32-D!Q5)/28.8</f>
        <v>12.943750000000003</v>
      </c>
      <c r="R13" s="2">
        <f>([5]Summary!F35-D!R32-D!R5)/28.8</f>
        <v>13.512500000000003</v>
      </c>
      <c r="S13" s="2">
        <f>([5]Summary!G35-D!S32-D!S5)/28.8</f>
        <v>14.668750000000001</v>
      </c>
      <c r="T13" s="2">
        <f>([5]Summary!H35-D!T32-D!T5)/28.8</f>
        <v>13.512500000000003</v>
      </c>
      <c r="U13" s="2">
        <f>([5]Summary!I35-D!U32-D!U5)/28.8</f>
        <v>15.218750000000002</v>
      </c>
      <c r="V13" s="2">
        <f>([5]Summary!J35-D!V32-D!V5)/28.8</f>
        <v>16.356250000000003</v>
      </c>
      <c r="W13" s="2">
        <f>([6]Summary!D37-D!W32-D!W5)/28.8</f>
        <v>9.0694444444444464</v>
      </c>
      <c r="X13" s="2">
        <f>([6]Summary!E37-D!X32-D!X5)/28.8</f>
        <v>18.552083333333332</v>
      </c>
      <c r="Y13" s="2">
        <f>([6]Summary!F37-D!Y32-D!Y5)/28.8</f>
        <v>18.552083333333332</v>
      </c>
      <c r="Z13" s="2">
        <f>([6]Summary!G37-D!Z32-D!Z5)/28.8</f>
        <v>18.492361111111112</v>
      </c>
      <c r="AA13" s="2">
        <f>([6]Summary!H37-D!AA32-D!AA5)/28.8</f>
        <v>18.492361111111112</v>
      </c>
      <c r="AB13" s="2">
        <f>([6]Summary!I37-D!AB32-D!AB5)/28.8</f>
        <v>18.492361111111112</v>
      </c>
      <c r="AC13" s="2">
        <f>([6]Summary!J37-D!AC32-D!AC5)/28.8</f>
        <v>18.492361111111112</v>
      </c>
      <c r="AD13" s="2">
        <f>([7]Sheet1!D33-D!AD32-D!AD5-AD21)/28.8</f>
        <v>29.547222222222224</v>
      </c>
      <c r="AE13" s="2">
        <f>([7]Sheet1!E33-D!AE32-D!AE5-AE21)/28.8</f>
        <v>29.547222222222224</v>
      </c>
      <c r="BN13" s="2">
        <f t="shared" ref="BN13" si="107">BN12*28.8</f>
        <v>576</v>
      </c>
      <c r="BO13" s="2">
        <f t="shared" ref="BO13" si="108">BO12*28.8</f>
        <v>547.20000000000005</v>
      </c>
      <c r="BP13" s="2">
        <f>BP12*28.8</f>
        <v>547.20000000000005</v>
      </c>
      <c r="BQ13" s="2">
        <f t="shared" ref="BQ13" si="109">BQ12*28.8</f>
        <v>547.20000000000005</v>
      </c>
      <c r="BR13" s="2">
        <f t="shared" ref="BR13" si="110">BR12*28.8</f>
        <v>547.20000000000005</v>
      </c>
      <c r="BS13" s="17">
        <f t="shared" ref="BS13" si="111">BS12*28.8</f>
        <v>720</v>
      </c>
      <c r="BT13" s="17">
        <f t="shared" ref="BT13" si="112">BT12*28.8</f>
        <v>748.80000000000007</v>
      </c>
      <c r="BU13" s="17">
        <f t="shared" ref="BU13" si="113">BU12*28.8</f>
        <v>777.6</v>
      </c>
      <c r="BV13" s="17">
        <f t="shared" ref="BV13:CC13" si="114">BV12*28.8</f>
        <v>806.4</v>
      </c>
      <c r="BW13" s="17">
        <f t="shared" si="114"/>
        <v>604.80000000000007</v>
      </c>
      <c r="BX13" s="17">
        <f t="shared" si="114"/>
        <v>633.6</v>
      </c>
      <c r="BY13" s="17">
        <f t="shared" si="114"/>
        <v>691.2</v>
      </c>
      <c r="BZ13" s="17">
        <f t="shared" si="114"/>
        <v>691.2</v>
      </c>
      <c r="CA13" s="17">
        <f t="shared" si="114"/>
        <v>720</v>
      </c>
      <c r="CB13" s="17">
        <f t="shared" si="114"/>
        <v>576</v>
      </c>
      <c r="CC13" s="17">
        <f t="shared" si="114"/>
        <v>576</v>
      </c>
      <c r="CD13" s="17">
        <f t="shared" ref="CD13:CJ13" si="115">CD12*28.8</f>
        <v>576</v>
      </c>
      <c r="CE13" s="17">
        <f t="shared" si="115"/>
        <v>576</v>
      </c>
      <c r="CF13" s="17">
        <f t="shared" si="115"/>
        <v>777.6</v>
      </c>
      <c r="CG13" s="17">
        <f t="shared" si="115"/>
        <v>777.6</v>
      </c>
      <c r="CH13" s="17">
        <f t="shared" si="115"/>
        <v>777.6</v>
      </c>
      <c r="CI13" s="17">
        <f t="shared" si="115"/>
        <v>777.6</v>
      </c>
      <c r="CJ13" s="17">
        <f t="shared" si="115"/>
        <v>777.6</v>
      </c>
      <c r="CK13" s="17">
        <f t="shared" ref="CK13:CQ13" si="116">CK12*28.8</f>
        <v>777.6</v>
      </c>
      <c r="CL13" s="17">
        <f t="shared" si="116"/>
        <v>777.6</v>
      </c>
      <c r="CM13" s="17">
        <f t="shared" si="116"/>
        <v>777.6</v>
      </c>
      <c r="CN13" s="17">
        <f t="shared" si="116"/>
        <v>777.6</v>
      </c>
      <c r="CO13" s="17">
        <f t="shared" si="116"/>
        <v>576</v>
      </c>
      <c r="CP13" s="17">
        <f t="shared" si="116"/>
        <v>576</v>
      </c>
      <c r="CQ13" s="17">
        <f t="shared" si="116"/>
        <v>576</v>
      </c>
      <c r="CR13" s="17">
        <f t="shared" ref="CR13:CX13" si="117">CR12*28.8</f>
        <v>633.6</v>
      </c>
      <c r="CS13" s="17">
        <f t="shared" si="117"/>
        <v>633.6</v>
      </c>
      <c r="CT13" s="17">
        <f t="shared" si="117"/>
        <v>633.6</v>
      </c>
      <c r="CU13" s="17">
        <f t="shared" si="117"/>
        <v>633.6</v>
      </c>
      <c r="CV13" s="17">
        <f t="shared" si="117"/>
        <v>633.6</v>
      </c>
      <c r="CW13" s="17">
        <f t="shared" si="117"/>
        <v>576</v>
      </c>
      <c r="CX13" s="17">
        <f t="shared" si="117"/>
        <v>633.6</v>
      </c>
      <c r="CY13" s="17">
        <f t="shared" ref="CY13:DE13" si="118">CY12*28.8</f>
        <v>547.20000000000005</v>
      </c>
      <c r="CZ13" s="17">
        <f t="shared" si="118"/>
        <v>547.20000000000005</v>
      </c>
      <c r="DA13" s="17">
        <f t="shared" si="118"/>
        <v>576</v>
      </c>
      <c r="DB13" s="17">
        <f t="shared" si="118"/>
        <v>432</v>
      </c>
      <c r="DC13" s="17">
        <f t="shared" si="118"/>
        <v>230.4</v>
      </c>
      <c r="DD13" s="17">
        <f t="shared" si="118"/>
        <v>230.4</v>
      </c>
      <c r="DE13" s="17">
        <f t="shared" si="118"/>
        <v>230.4</v>
      </c>
      <c r="DF13" s="17">
        <f t="shared" ref="DF13:DM13" si="119">DF12*28.8</f>
        <v>259.2</v>
      </c>
      <c r="DG13" s="17">
        <f t="shared" si="119"/>
        <v>259.2</v>
      </c>
      <c r="DH13" s="17">
        <f t="shared" si="119"/>
        <v>259.2</v>
      </c>
      <c r="DI13" s="17">
        <f t="shared" si="119"/>
        <v>259.2</v>
      </c>
      <c r="DJ13" s="17">
        <f t="shared" si="119"/>
        <v>259.2</v>
      </c>
      <c r="DK13" s="17">
        <f t="shared" si="119"/>
        <v>316.8</v>
      </c>
      <c r="DL13" s="17">
        <f t="shared" si="119"/>
        <v>316.8</v>
      </c>
      <c r="DM13" s="17">
        <f t="shared" si="119"/>
        <v>403.2</v>
      </c>
      <c r="DN13" s="17">
        <f t="shared" ref="DN13:DS13" si="120">DN12*28.8</f>
        <v>403.2</v>
      </c>
      <c r="DO13" s="17">
        <f t="shared" si="120"/>
        <v>489.6</v>
      </c>
      <c r="DP13" s="17">
        <f t="shared" si="120"/>
        <v>489.6</v>
      </c>
      <c r="DQ13" s="17">
        <f t="shared" si="120"/>
        <v>489.6</v>
      </c>
      <c r="DR13" s="17">
        <f t="shared" si="120"/>
        <v>518.4</v>
      </c>
      <c r="DS13" s="17">
        <f t="shared" si="120"/>
        <v>518.4</v>
      </c>
      <c r="DT13" s="17">
        <f t="shared" ref="DT13:DZ13" si="121">DT12*28.8</f>
        <v>576</v>
      </c>
      <c r="DU13" s="17">
        <f t="shared" si="121"/>
        <v>576</v>
      </c>
      <c r="DV13" s="17">
        <f t="shared" si="121"/>
        <v>576</v>
      </c>
      <c r="DW13" s="17">
        <f t="shared" si="121"/>
        <v>576</v>
      </c>
      <c r="DX13" s="17">
        <f t="shared" si="121"/>
        <v>576</v>
      </c>
      <c r="DY13" s="17">
        <f t="shared" si="121"/>
        <v>547.20000000000005</v>
      </c>
      <c r="DZ13" s="17">
        <f t="shared" si="121"/>
        <v>547.20000000000005</v>
      </c>
      <c r="EA13" s="17">
        <f t="shared" ref="EA13:EG13" si="122">EA12*28.8</f>
        <v>0</v>
      </c>
      <c r="EB13" s="17">
        <f t="shared" si="122"/>
        <v>0</v>
      </c>
      <c r="EC13" s="17">
        <f t="shared" si="122"/>
        <v>0</v>
      </c>
      <c r="ED13" s="17">
        <f t="shared" si="122"/>
        <v>576</v>
      </c>
      <c r="EE13" s="17">
        <f t="shared" si="122"/>
        <v>576</v>
      </c>
      <c r="EF13" s="17">
        <f t="shared" si="122"/>
        <v>576</v>
      </c>
      <c r="EG13" s="17">
        <f t="shared" si="122"/>
        <v>576</v>
      </c>
      <c r="EH13" s="17">
        <f t="shared" ref="EH13:EN13" si="123">EH12*28.8</f>
        <v>806.4</v>
      </c>
      <c r="EI13" s="17">
        <f t="shared" si="123"/>
        <v>806.4</v>
      </c>
      <c r="EJ13" s="17">
        <f t="shared" si="123"/>
        <v>835.2</v>
      </c>
      <c r="EK13" s="17">
        <f t="shared" si="123"/>
        <v>835.2</v>
      </c>
      <c r="EL13" s="17">
        <f t="shared" si="123"/>
        <v>835.2</v>
      </c>
      <c r="EM13" s="17">
        <f t="shared" si="123"/>
        <v>806.4</v>
      </c>
      <c r="EN13" s="17">
        <f t="shared" si="123"/>
        <v>806.4</v>
      </c>
      <c r="EO13" s="17">
        <f t="shared" ref="EO13:EU13" si="124">EO12*28.8</f>
        <v>518.4</v>
      </c>
      <c r="EP13" s="17">
        <f t="shared" si="124"/>
        <v>518.4</v>
      </c>
      <c r="EQ13" s="17">
        <f t="shared" si="124"/>
        <v>489.6</v>
      </c>
      <c r="ER13" s="17">
        <f t="shared" si="124"/>
        <v>489.6</v>
      </c>
      <c r="ES13" s="17">
        <f t="shared" si="124"/>
        <v>489.6</v>
      </c>
      <c r="ET13" s="17">
        <f t="shared" si="124"/>
        <v>518.4</v>
      </c>
      <c r="EU13" s="17">
        <f t="shared" si="124"/>
        <v>518.4</v>
      </c>
      <c r="EV13" s="17">
        <f t="shared" ref="EV13:FD13" si="125">EV12*28.8</f>
        <v>374.40000000000003</v>
      </c>
      <c r="EW13" s="17">
        <f t="shared" si="125"/>
        <v>374.40000000000003</v>
      </c>
      <c r="EX13" s="17">
        <f t="shared" si="125"/>
        <v>345.6</v>
      </c>
      <c r="EY13" s="17">
        <f t="shared" si="125"/>
        <v>316.8</v>
      </c>
      <c r="EZ13" s="17">
        <f t="shared" si="125"/>
        <v>316.8</v>
      </c>
      <c r="FA13" s="17">
        <f t="shared" si="125"/>
        <v>316.8</v>
      </c>
      <c r="FB13" s="17">
        <f t="shared" si="125"/>
        <v>316.8</v>
      </c>
      <c r="FC13" s="17">
        <f t="shared" si="125"/>
        <v>288</v>
      </c>
      <c r="FD13" s="17">
        <f t="shared" si="125"/>
        <v>288</v>
      </c>
      <c r="FE13" s="17">
        <f t="shared" ref="FE13:FR13" si="126">FE12*28.8</f>
        <v>316.8</v>
      </c>
      <c r="FF13" s="17">
        <f t="shared" si="126"/>
        <v>345.6</v>
      </c>
      <c r="FG13" s="17">
        <f t="shared" si="126"/>
        <v>374.40000000000003</v>
      </c>
      <c r="FH13" s="17">
        <f t="shared" si="126"/>
        <v>403.2</v>
      </c>
      <c r="FI13" s="17">
        <f t="shared" si="126"/>
        <v>432</v>
      </c>
      <c r="FJ13" s="17">
        <f t="shared" si="126"/>
        <v>604.80000000000007</v>
      </c>
      <c r="FK13" s="17">
        <f t="shared" si="126"/>
        <v>576</v>
      </c>
      <c r="FL13" s="17">
        <f t="shared" si="126"/>
        <v>576</v>
      </c>
      <c r="FM13" s="17">
        <f t="shared" si="126"/>
        <v>547.20000000000005</v>
      </c>
      <c r="FN13" s="17">
        <f t="shared" si="126"/>
        <v>547.20000000000005</v>
      </c>
      <c r="FO13" s="17">
        <f t="shared" si="126"/>
        <v>547.20000000000005</v>
      </c>
      <c r="FP13" s="17">
        <f t="shared" si="126"/>
        <v>576</v>
      </c>
      <c r="FQ13" s="17">
        <f t="shared" si="126"/>
        <v>576</v>
      </c>
      <c r="FR13" s="17">
        <f t="shared" si="126"/>
        <v>576</v>
      </c>
      <c r="FS13" s="17">
        <f t="shared" ref="FS13:FY13" si="127">FS12*28.8</f>
        <v>432</v>
      </c>
      <c r="FT13" s="17">
        <f t="shared" si="127"/>
        <v>432</v>
      </c>
      <c r="FU13" s="17">
        <f t="shared" si="127"/>
        <v>432</v>
      </c>
      <c r="FV13" s="17">
        <f t="shared" si="127"/>
        <v>460.8</v>
      </c>
      <c r="FW13" s="17">
        <f t="shared" si="127"/>
        <v>460.8</v>
      </c>
      <c r="FX13" s="17">
        <f t="shared" si="127"/>
        <v>489.6</v>
      </c>
      <c r="FY13" s="17">
        <f t="shared" si="127"/>
        <v>489.6</v>
      </c>
      <c r="FZ13" s="17">
        <f t="shared" ref="FZ13:GF13" si="128">FZ12*28.8</f>
        <v>489.6</v>
      </c>
      <c r="GA13" s="17">
        <f t="shared" si="128"/>
        <v>489.6</v>
      </c>
      <c r="GB13" s="17">
        <f t="shared" si="128"/>
        <v>489.6</v>
      </c>
      <c r="GC13" s="17">
        <f t="shared" si="128"/>
        <v>489.6</v>
      </c>
      <c r="GD13" s="17">
        <f t="shared" si="128"/>
        <v>489.6</v>
      </c>
      <c r="GE13" s="17">
        <f t="shared" si="128"/>
        <v>518.4</v>
      </c>
      <c r="GF13" s="17">
        <f t="shared" si="128"/>
        <v>518.4</v>
      </c>
      <c r="GG13" s="17">
        <f t="shared" ref="GG13:GK13" si="129">GG12*28.8</f>
        <v>518.4</v>
      </c>
      <c r="GH13" s="17">
        <f t="shared" si="129"/>
        <v>518.4</v>
      </c>
      <c r="GI13" s="17">
        <f t="shared" si="129"/>
        <v>518.4</v>
      </c>
      <c r="GJ13" s="17">
        <f t="shared" si="129"/>
        <v>518.4</v>
      </c>
      <c r="GK13" s="17">
        <f t="shared" si="129"/>
        <v>518.4</v>
      </c>
      <c r="GL13" s="17">
        <f t="shared" ref="GL13:GR13" si="130">GL12*28.8</f>
        <v>489.6</v>
      </c>
      <c r="GM13" s="17">
        <f t="shared" si="130"/>
        <v>489.6</v>
      </c>
      <c r="GN13" s="17">
        <f t="shared" si="130"/>
        <v>201.6</v>
      </c>
      <c r="GO13" s="17">
        <f t="shared" si="130"/>
        <v>259.2</v>
      </c>
      <c r="GP13" s="17">
        <f t="shared" si="130"/>
        <v>316.8</v>
      </c>
      <c r="GQ13" s="17">
        <f t="shared" si="130"/>
        <v>316.8</v>
      </c>
      <c r="GR13" s="17">
        <f t="shared" si="130"/>
        <v>316.8</v>
      </c>
      <c r="GS13" s="17">
        <f t="shared" ref="GS13:GT13" si="131">GS12*28.8</f>
        <v>374.40000000000003</v>
      </c>
      <c r="GT13" s="17">
        <f t="shared" si="131"/>
        <v>374.40000000000003</v>
      </c>
      <c r="GU13" s="17">
        <f t="shared" ref="GU13:GY13" si="132">GU12*28.8</f>
        <v>374.40000000000003</v>
      </c>
      <c r="GV13" s="17">
        <f t="shared" si="132"/>
        <v>403.2</v>
      </c>
      <c r="GW13" s="17">
        <f t="shared" si="132"/>
        <v>403.2</v>
      </c>
      <c r="GX13" s="17">
        <f t="shared" si="132"/>
        <v>403.2</v>
      </c>
      <c r="GY13" s="17">
        <f t="shared" si="132"/>
        <v>403.2</v>
      </c>
      <c r="GZ13" s="17">
        <f t="shared" ref="GZ13:HF13" si="133">GZ12*28.8</f>
        <v>633.6</v>
      </c>
      <c r="HA13" s="17">
        <f t="shared" si="133"/>
        <v>633.6</v>
      </c>
      <c r="HB13" s="17">
        <f t="shared" si="133"/>
        <v>633.6</v>
      </c>
      <c r="HC13" s="17">
        <f t="shared" si="133"/>
        <v>720</v>
      </c>
      <c r="HD13" s="17">
        <f t="shared" si="133"/>
        <v>720</v>
      </c>
      <c r="HE13" s="17">
        <f t="shared" si="133"/>
        <v>720</v>
      </c>
      <c r="HF13" s="17">
        <f t="shared" si="133"/>
        <v>720</v>
      </c>
      <c r="HG13" s="17">
        <f t="shared" ref="HG13:HM13" si="134">HG12*28.8</f>
        <v>576</v>
      </c>
      <c r="HH13" s="17">
        <f t="shared" si="134"/>
        <v>576</v>
      </c>
      <c r="HI13" s="17">
        <f t="shared" si="134"/>
        <v>576</v>
      </c>
      <c r="HJ13" s="17">
        <f t="shared" si="134"/>
        <v>748.80000000000007</v>
      </c>
      <c r="HK13" s="17">
        <f t="shared" si="134"/>
        <v>748.80000000000007</v>
      </c>
      <c r="HL13" s="17">
        <f t="shared" si="134"/>
        <v>748.80000000000007</v>
      </c>
      <c r="HM13" s="17">
        <f t="shared" si="134"/>
        <v>748.80000000000007</v>
      </c>
      <c r="HN13" s="17">
        <f t="shared" ref="HN13:HT13" si="135">HN12*28.8</f>
        <v>748.80000000000007</v>
      </c>
      <c r="HO13" s="17">
        <f t="shared" si="135"/>
        <v>748.80000000000007</v>
      </c>
      <c r="HP13" s="17">
        <f t="shared" si="135"/>
        <v>662.4</v>
      </c>
      <c r="HQ13" s="17">
        <f t="shared" si="135"/>
        <v>374.40000000000003</v>
      </c>
      <c r="HR13" s="17">
        <f t="shared" si="135"/>
        <v>403.2</v>
      </c>
      <c r="HS13" s="17">
        <f t="shared" si="135"/>
        <v>432</v>
      </c>
      <c r="HT13" s="17">
        <f t="shared" si="135"/>
        <v>432</v>
      </c>
      <c r="HU13" s="17">
        <f t="shared" ref="HU13:IC13" si="136">HU12*28.8</f>
        <v>432</v>
      </c>
      <c r="HV13" s="17">
        <f t="shared" si="136"/>
        <v>432</v>
      </c>
      <c r="HW13" s="17">
        <f t="shared" si="136"/>
        <v>432</v>
      </c>
      <c r="HX13" s="17">
        <f t="shared" si="136"/>
        <v>432</v>
      </c>
      <c r="HY13" s="17">
        <f t="shared" si="136"/>
        <v>432</v>
      </c>
      <c r="HZ13" s="17">
        <f t="shared" si="136"/>
        <v>432</v>
      </c>
      <c r="IA13" s="17">
        <f t="shared" si="136"/>
        <v>432</v>
      </c>
      <c r="IB13" s="17">
        <f t="shared" si="136"/>
        <v>432</v>
      </c>
      <c r="IC13" s="17">
        <f t="shared" si="136"/>
        <v>403.2</v>
      </c>
    </row>
    <row r="14" spans="1:237" s="10" customFormat="1" x14ac:dyDescent="0.35">
      <c r="A14" s="10" t="s">
        <v>47</v>
      </c>
      <c r="P14" s="10" t="e">
        <f>SUM(P5,#REF!)</f>
        <v>#REF!</v>
      </c>
      <c r="Q14" s="10" t="e">
        <f>SUM(Q5,#REF!)</f>
        <v>#REF!</v>
      </c>
      <c r="R14" s="10" t="e">
        <f>SUM(R5,#REF!)</f>
        <v>#REF!</v>
      </c>
      <c r="S14" s="10" t="e">
        <f>SUM(S5,#REF!)</f>
        <v>#REF!</v>
      </c>
      <c r="T14" s="10" t="e">
        <f>SUM(T5,#REF!)</f>
        <v>#REF!</v>
      </c>
      <c r="U14" s="10" t="e">
        <f>SUM(U5,#REF!)</f>
        <v>#REF!</v>
      </c>
      <c r="V14" s="10" t="e">
        <f>SUM(V5,#REF!)</f>
        <v>#REF!</v>
      </c>
      <c r="W14" s="10" t="e">
        <f>SUM(W5,#REF!)</f>
        <v>#REF!</v>
      </c>
      <c r="X14" s="10" t="e">
        <f>SUM(X5,#REF!)</f>
        <v>#REF!</v>
      </c>
      <c r="Y14" s="10" t="e">
        <f>SUM(Y5,#REF!)</f>
        <v>#REF!</v>
      </c>
      <c r="Z14" s="10" t="e">
        <f>SUM(Z5,#REF!)</f>
        <v>#REF!</v>
      </c>
      <c r="AA14" s="10" t="e">
        <f>SUM(AA5,#REF!)</f>
        <v>#REF!</v>
      </c>
      <c r="AB14" s="10" t="e">
        <f>SUM(AB5,#REF!)</f>
        <v>#REF!</v>
      </c>
      <c r="AC14" s="10" t="e">
        <f>SUM(AC5,#REF!)</f>
        <v>#REF!</v>
      </c>
      <c r="AD14" s="10" t="e">
        <f>SUM(AD5,#REF!)</f>
        <v>#REF!</v>
      </c>
      <c r="AE14" s="10" t="e">
        <f>SUM(AE5,#REF!)</f>
        <v>#REF!</v>
      </c>
      <c r="AG14" s="16" t="e">
        <f>SUM(AG5,#REF!)</f>
        <v>#REF!</v>
      </c>
      <c r="AH14" s="16" t="e">
        <f>SUM(AH5,#REF!)</f>
        <v>#REF!</v>
      </c>
      <c r="AI14" s="16" t="e">
        <f>SUM(AI5,#REF!)</f>
        <v>#REF!</v>
      </c>
      <c r="AJ14" s="16" t="e">
        <f>SUM(AJ5,#REF!)</f>
        <v>#REF!</v>
      </c>
      <c r="AK14" s="16" t="e">
        <f>SUM(AK5,#REF!)</f>
        <v>#REF!</v>
      </c>
      <c r="AL14" s="16" t="e">
        <f>SUM(AL5,#REF!)</f>
        <v>#REF!</v>
      </c>
      <c r="AM14" s="16" t="e">
        <f>SUM(AM5,#REF!)</f>
        <v>#REF!</v>
      </c>
      <c r="AN14" s="16" t="e">
        <f>SUM(AN5,#REF!)</f>
        <v>#REF!</v>
      </c>
      <c r="AO14" s="16" t="e">
        <f>SUM(AO5,#REF!)</f>
        <v>#REF!</v>
      </c>
      <c r="AP14" s="16" t="e">
        <f>SUM(AP5,#REF!)</f>
        <v>#REF!</v>
      </c>
      <c r="AQ14" s="16" t="e">
        <f>SUM(AQ5,#REF!)</f>
        <v>#REF!</v>
      </c>
      <c r="AR14" s="16" t="e">
        <f>SUM(AR5,#REF!)</f>
        <v>#REF!</v>
      </c>
      <c r="AS14" s="16" t="e">
        <f>SUM(AS5,#REF!)</f>
        <v>#REF!</v>
      </c>
      <c r="AT14" s="16" t="e">
        <f>SUM(AT5,#REF!)</f>
        <v>#REF!</v>
      </c>
      <c r="AU14" s="16" t="e">
        <f>SUM(AU5,#REF!)</f>
        <v>#REF!</v>
      </c>
      <c r="AV14" s="16" t="e">
        <f>SUM(AV5,#REF!)</f>
        <v>#REF!</v>
      </c>
      <c r="AW14" s="16" t="e">
        <f>SUM(AW5,#REF!)</f>
        <v>#REF!</v>
      </c>
      <c r="AX14" s="16" t="e">
        <f>SUM(AX5,#REF!)</f>
        <v>#REF!</v>
      </c>
      <c r="AY14" s="16" t="e">
        <f>SUM(AY5,#REF!)</f>
        <v>#REF!</v>
      </c>
      <c r="AZ14" s="16" t="e">
        <f>SUM(AZ5,#REF!)</f>
        <v>#REF!</v>
      </c>
      <c r="BA14" s="16" t="e">
        <f>SUM(BA5,#REF!)</f>
        <v>#REF!</v>
      </c>
      <c r="BB14" s="16" t="e">
        <f>SUM(BB5,#REF!)</f>
        <v>#REF!</v>
      </c>
      <c r="BC14" s="16" t="e">
        <f>SUM(BC5,#REF!)</f>
        <v>#REF!</v>
      </c>
      <c r="BD14" s="16" t="e">
        <f>SUM(BD5,#REF!)</f>
        <v>#REF!</v>
      </c>
      <c r="BE14" s="16" t="e">
        <f>SUM(BE5,#REF!)</f>
        <v>#REF!</v>
      </c>
      <c r="BF14" s="16" t="e">
        <f>SUM(BF5,#REF!)</f>
        <v>#REF!</v>
      </c>
      <c r="BG14" s="16" t="e">
        <f>SUM(BG5,#REF!)</f>
        <v>#REF!</v>
      </c>
      <c r="BH14" s="16" t="e">
        <f>SUM(BH5,#REF!)</f>
        <v>#REF!</v>
      </c>
      <c r="BI14" s="16" t="e">
        <f>SUM(BI5,#REF!)-20</f>
        <v>#REF!</v>
      </c>
      <c r="BJ14" s="16" t="e">
        <f>SUM(BJ5,#REF!)-30</f>
        <v>#REF!</v>
      </c>
      <c r="BK14" s="16" t="e">
        <f>SUM(BK5,#REF!)</f>
        <v>#REF!</v>
      </c>
      <c r="BL14" s="16" t="e">
        <f>SUM(BL5,#REF!)</f>
        <v>#REF!</v>
      </c>
      <c r="BM14" s="16" t="e">
        <f>SUM(BM5,#REF!)</f>
        <v>#REF!</v>
      </c>
      <c r="BN14" s="16">
        <f>SUM(BN5,BN7,BN9,BN11,BN13)</f>
        <v>900.18000000000006</v>
      </c>
      <c r="BO14" s="16">
        <f t="shared" ref="BO14:BV14" si="137">SUM(BO5,BO7,BO9,BO11,BO13)</f>
        <v>904.1400000000001</v>
      </c>
      <c r="BP14" s="16">
        <f t="shared" si="137"/>
        <v>1002.4200000000001</v>
      </c>
      <c r="BQ14" s="16">
        <f t="shared" si="137"/>
        <v>1002.4200000000001</v>
      </c>
      <c r="BR14" s="16">
        <f t="shared" si="137"/>
        <v>1002.4200000000001</v>
      </c>
      <c r="BS14" s="16">
        <f t="shared" si="137"/>
        <v>1056.5999999999999</v>
      </c>
      <c r="BT14" s="16">
        <f t="shared" si="137"/>
        <v>1052.6400000000001</v>
      </c>
      <c r="BU14" s="16">
        <f t="shared" si="137"/>
        <v>1036.26</v>
      </c>
      <c r="BV14" s="16">
        <f t="shared" si="137"/>
        <v>1065.06</v>
      </c>
      <c r="BW14" s="16">
        <f t="shared" ref="BW14:CC14" si="138">SUM(BW5,BW7,BW9,BW11,BW13)</f>
        <v>1044.72</v>
      </c>
      <c r="BX14" s="16">
        <f t="shared" si="138"/>
        <v>1044.72</v>
      </c>
      <c r="BY14" s="16">
        <f t="shared" si="138"/>
        <v>979.2</v>
      </c>
      <c r="BZ14" s="16">
        <f t="shared" si="138"/>
        <v>979.2</v>
      </c>
      <c r="CA14" s="16">
        <f t="shared" si="138"/>
        <v>1008</v>
      </c>
      <c r="CB14" s="16">
        <f t="shared" si="138"/>
        <v>826.74</v>
      </c>
      <c r="CC14" s="16">
        <f t="shared" si="138"/>
        <v>826.74</v>
      </c>
      <c r="CD14" s="16">
        <f t="shared" ref="CD14:CJ14" si="139">SUM(CD5,CD7,CD9,CD11,CD13)</f>
        <v>843.12</v>
      </c>
      <c r="CE14" s="16">
        <f t="shared" si="139"/>
        <v>843.12</v>
      </c>
      <c r="CF14" s="16">
        <f t="shared" si="139"/>
        <v>843.12</v>
      </c>
      <c r="CG14" s="16">
        <f t="shared" si="139"/>
        <v>843.12</v>
      </c>
      <c r="CH14" s="16">
        <f t="shared" si="139"/>
        <v>843.12</v>
      </c>
      <c r="CI14" s="16">
        <f t="shared" si="139"/>
        <v>843.12</v>
      </c>
      <c r="CJ14" s="16">
        <f t="shared" si="139"/>
        <v>843.12</v>
      </c>
      <c r="CK14" s="16">
        <f t="shared" ref="CK14:CQ14" si="140">SUM(CK5,CK7,CK9,CK11,CK13)</f>
        <v>843.12</v>
      </c>
      <c r="CL14" s="16">
        <f t="shared" si="140"/>
        <v>843.12</v>
      </c>
      <c r="CM14" s="16">
        <f t="shared" si="140"/>
        <v>843.12</v>
      </c>
      <c r="CN14" s="16">
        <f t="shared" si="140"/>
        <v>843.12</v>
      </c>
      <c r="CO14" s="16">
        <f t="shared" si="140"/>
        <v>641.52</v>
      </c>
      <c r="CP14" s="16">
        <f t="shared" si="140"/>
        <v>641.52</v>
      </c>
      <c r="CQ14" s="16">
        <f t="shared" si="140"/>
        <v>641.52</v>
      </c>
      <c r="CR14" s="16">
        <f t="shared" ref="CR14:CX14" si="141">SUM(CR5,CR7,CR9,CR11,CR13)</f>
        <v>699.12</v>
      </c>
      <c r="CS14" s="16">
        <f t="shared" si="141"/>
        <v>699.12</v>
      </c>
      <c r="CT14" s="16">
        <f t="shared" si="141"/>
        <v>699.12</v>
      </c>
      <c r="CU14" s="16">
        <f t="shared" si="141"/>
        <v>699.12</v>
      </c>
      <c r="CV14" s="16">
        <f t="shared" si="141"/>
        <v>699.12</v>
      </c>
      <c r="CW14" s="16">
        <f t="shared" si="141"/>
        <v>641.52</v>
      </c>
      <c r="CX14" s="16">
        <f t="shared" si="141"/>
        <v>699.12</v>
      </c>
      <c r="CY14" s="16">
        <f t="shared" ref="CY14:DE14" si="142">SUM(CY5,CY7,CY9,CY11,CY13)</f>
        <v>785.5200000000001</v>
      </c>
      <c r="CZ14" s="16">
        <f t="shared" si="142"/>
        <v>785.5200000000001</v>
      </c>
      <c r="DA14" s="16">
        <f t="shared" si="142"/>
        <v>785.52</v>
      </c>
      <c r="DB14" s="16">
        <f t="shared" si="142"/>
        <v>843.12</v>
      </c>
      <c r="DC14" s="16">
        <f t="shared" si="142"/>
        <v>612.72</v>
      </c>
      <c r="DD14" s="16">
        <f t="shared" si="142"/>
        <v>612.72</v>
      </c>
      <c r="DE14" s="16">
        <f t="shared" si="142"/>
        <v>612.72</v>
      </c>
      <c r="DF14" s="16">
        <f t="shared" ref="DF14:DM14" si="143">SUM(DF5,DF7,DF9,DF11,DF13)</f>
        <v>596.34</v>
      </c>
      <c r="DG14" s="16">
        <f t="shared" si="143"/>
        <v>596.34</v>
      </c>
      <c r="DH14" s="16">
        <f t="shared" si="143"/>
        <v>596.34</v>
      </c>
      <c r="DI14" s="16">
        <f t="shared" si="143"/>
        <v>596.34</v>
      </c>
      <c r="DJ14" s="16">
        <f t="shared" si="143"/>
        <v>596.34</v>
      </c>
      <c r="DK14" s="16">
        <f t="shared" si="143"/>
        <v>653.94000000000005</v>
      </c>
      <c r="DL14" s="16">
        <f t="shared" si="143"/>
        <v>653.94000000000005</v>
      </c>
      <c r="DM14" s="16">
        <f t="shared" si="143"/>
        <v>662.40000000000009</v>
      </c>
      <c r="DN14" s="16">
        <f t="shared" ref="DN14:DS14" si="144">SUM(DN5,DN7,DN9,DN11,DN13)</f>
        <v>662.40000000000009</v>
      </c>
      <c r="DO14" s="16">
        <f t="shared" si="144"/>
        <v>662.40000000000009</v>
      </c>
      <c r="DP14" s="16">
        <f t="shared" si="144"/>
        <v>662.40000000000009</v>
      </c>
      <c r="DQ14" s="16">
        <f t="shared" si="144"/>
        <v>662.40000000000009</v>
      </c>
      <c r="DR14" s="16">
        <f t="shared" si="144"/>
        <v>691.2</v>
      </c>
      <c r="DS14" s="16">
        <f t="shared" si="144"/>
        <v>691.2</v>
      </c>
      <c r="DT14" s="16">
        <f t="shared" ref="DT14:DZ14" si="145">SUM(DT5,DT7,DT9,DT11,DT13)</f>
        <v>839.16000000000008</v>
      </c>
      <c r="DU14" s="16">
        <f t="shared" si="145"/>
        <v>839.16000000000008</v>
      </c>
      <c r="DV14" s="16">
        <f t="shared" si="145"/>
        <v>839.16000000000008</v>
      </c>
      <c r="DW14" s="16">
        <f t="shared" si="145"/>
        <v>839.16000000000008</v>
      </c>
      <c r="DX14" s="16">
        <f t="shared" si="145"/>
        <v>839.16000000000008</v>
      </c>
      <c r="DY14" s="16">
        <f t="shared" si="145"/>
        <v>843.12000000000012</v>
      </c>
      <c r="DZ14" s="16">
        <f t="shared" si="145"/>
        <v>843.12000000000012</v>
      </c>
      <c r="EA14" s="16">
        <f t="shared" ref="EA14:EG14" si="146">SUM(EA5,EA7,EA9,EA11,EA13)</f>
        <v>0</v>
      </c>
      <c r="EB14" s="16">
        <f t="shared" si="146"/>
        <v>0</v>
      </c>
      <c r="EC14" s="16">
        <f t="shared" si="146"/>
        <v>0</v>
      </c>
      <c r="ED14" s="16">
        <f t="shared" si="146"/>
        <v>839.16000000000008</v>
      </c>
      <c r="EE14" s="16">
        <f t="shared" si="146"/>
        <v>839.16000000000008</v>
      </c>
      <c r="EF14" s="16">
        <f t="shared" si="146"/>
        <v>839.16000000000008</v>
      </c>
      <c r="EG14" s="16">
        <f t="shared" si="146"/>
        <v>839.16000000000008</v>
      </c>
      <c r="EH14" s="16">
        <f t="shared" ref="EH14:EN14" si="147">SUM(EH5,EH7,EH9,EH11,EH13)</f>
        <v>835.19999999999993</v>
      </c>
      <c r="EI14" s="16">
        <f t="shared" si="147"/>
        <v>835.19999999999993</v>
      </c>
      <c r="EJ14" s="16">
        <f t="shared" si="147"/>
        <v>835.2</v>
      </c>
      <c r="EK14" s="16">
        <f t="shared" si="147"/>
        <v>835.2</v>
      </c>
      <c r="EL14" s="16">
        <f t="shared" si="147"/>
        <v>835.2</v>
      </c>
      <c r="EM14" s="16">
        <f t="shared" si="147"/>
        <v>806.4</v>
      </c>
      <c r="EN14" s="16">
        <f t="shared" si="147"/>
        <v>806.4</v>
      </c>
      <c r="EO14" s="16">
        <f t="shared" ref="EO14:EU14" si="148">SUM(EO5,EO7,EO9,EO11,EO13)</f>
        <v>777.59999999999991</v>
      </c>
      <c r="EP14" s="16">
        <f t="shared" si="148"/>
        <v>777.59999999999991</v>
      </c>
      <c r="EQ14" s="16">
        <f t="shared" si="148"/>
        <v>777.6</v>
      </c>
      <c r="ER14" s="16">
        <f t="shared" si="148"/>
        <v>777.6</v>
      </c>
      <c r="ES14" s="16">
        <f t="shared" si="148"/>
        <v>777.6</v>
      </c>
      <c r="ET14" s="16">
        <f t="shared" si="148"/>
        <v>777.59999999999991</v>
      </c>
      <c r="EU14" s="16">
        <f t="shared" si="148"/>
        <v>777.59999999999991</v>
      </c>
      <c r="EV14" s="16">
        <f t="shared" ref="EV14:FD14" si="149">SUM(EV5,EV7,EV9,EV11,EV13)</f>
        <v>810.36</v>
      </c>
      <c r="EW14" s="16">
        <f t="shared" si="149"/>
        <v>810.36</v>
      </c>
      <c r="EX14" s="16">
        <f t="shared" si="149"/>
        <v>781.56</v>
      </c>
      <c r="EY14" s="16">
        <f t="shared" si="149"/>
        <v>752.76</v>
      </c>
      <c r="EZ14" s="16">
        <f t="shared" si="149"/>
        <v>752.76</v>
      </c>
      <c r="FA14" s="16">
        <f t="shared" si="149"/>
        <v>752.76</v>
      </c>
      <c r="FB14" s="16">
        <f t="shared" si="149"/>
        <v>752.76</v>
      </c>
      <c r="FC14" s="16">
        <f t="shared" si="149"/>
        <v>723.96</v>
      </c>
      <c r="FD14" s="16">
        <f t="shared" si="149"/>
        <v>723.96</v>
      </c>
      <c r="FE14" s="16">
        <f t="shared" ref="FE14:FR14" si="150">SUM(FE5,FE7,FE9,FE11,FE13)</f>
        <v>781.56</v>
      </c>
      <c r="FF14" s="16">
        <f t="shared" si="150"/>
        <v>839.16000000000008</v>
      </c>
      <c r="FG14" s="16">
        <f t="shared" si="150"/>
        <v>896.76</v>
      </c>
      <c r="FH14" s="16">
        <f t="shared" si="150"/>
        <v>954.3599999999999</v>
      </c>
      <c r="FI14" s="16">
        <f t="shared" si="150"/>
        <v>1011.96</v>
      </c>
      <c r="FJ14" s="16">
        <f t="shared" si="150"/>
        <v>814.32</v>
      </c>
      <c r="FK14" s="16">
        <f t="shared" si="150"/>
        <v>814.31999999999994</v>
      </c>
      <c r="FL14" s="16">
        <f t="shared" si="150"/>
        <v>814.31999999999994</v>
      </c>
      <c r="FM14" s="16">
        <f t="shared" si="150"/>
        <v>814.32</v>
      </c>
      <c r="FN14" s="16">
        <f t="shared" si="150"/>
        <v>814.32</v>
      </c>
      <c r="FO14" s="16">
        <f t="shared" si="150"/>
        <v>814.32</v>
      </c>
      <c r="FP14" s="16">
        <f t="shared" si="150"/>
        <v>814.31999999999994</v>
      </c>
      <c r="FQ14" s="16">
        <f t="shared" si="150"/>
        <v>769.14</v>
      </c>
      <c r="FR14" s="16">
        <f t="shared" si="150"/>
        <v>769.14</v>
      </c>
      <c r="FS14" s="16">
        <f t="shared" ref="FS14:FY14" si="151">SUM(FS5,FS7,FS9,FS11,FS13)</f>
        <v>625.14</v>
      </c>
      <c r="FT14" s="16">
        <f t="shared" si="151"/>
        <v>625.14</v>
      </c>
      <c r="FU14" s="16">
        <f t="shared" si="151"/>
        <v>625.14</v>
      </c>
      <c r="FV14" s="16">
        <f t="shared" si="151"/>
        <v>653.94000000000005</v>
      </c>
      <c r="FW14" s="16">
        <f t="shared" si="151"/>
        <v>653.94000000000005</v>
      </c>
      <c r="FX14" s="16">
        <f t="shared" si="151"/>
        <v>625.1400000000001</v>
      </c>
      <c r="FY14" s="16">
        <f t="shared" si="151"/>
        <v>625.1400000000001</v>
      </c>
      <c r="FZ14" s="16">
        <f t="shared" ref="FZ14:GF14" si="152">SUM(FZ5,FZ7,FZ9,FZ11,FZ13)</f>
        <v>625.1400000000001</v>
      </c>
      <c r="GA14" s="16">
        <f t="shared" si="152"/>
        <v>625.1400000000001</v>
      </c>
      <c r="GB14" s="16">
        <f t="shared" si="152"/>
        <v>625.1400000000001</v>
      </c>
      <c r="GC14" s="16">
        <f t="shared" si="152"/>
        <v>625.1400000000001</v>
      </c>
      <c r="GD14" s="16">
        <f t="shared" si="152"/>
        <v>625.1400000000001</v>
      </c>
      <c r="GE14" s="16">
        <f t="shared" si="152"/>
        <v>637.55999999999995</v>
      </c>
      <c r="GF14" s="16">
        <f t="shared" si="152"/>
        <v>637.55999999999995</v>
      </c>
      <c r="GG14" s="16">
        <f t="shared" ref="GG14:GK14" si="153">SUM(GG5,GG7,GG9,GG11,GG13)</f>
        <v>637.55999999999995</v>
      </c>
      <c r="GH14" s="16">
        <f t="shared" si="153"/>
        <v>637.55999999999995</v>
      </c>
      <c r="GI14" s="16">
        <f t="shared" si="153"/>
        <v>637.55999999999995</v>
      </c>
      <c r="GJ14" s="16">
        <f t="shared" si="153"/>
        <v>637.55999999999995</v>
      </c>
      <c r="GK14" s="16">
        <f t="shared" si="153"/>
        <v>637.55999999999995</v>
      </c>
      <c r="GL14" s="16">
        <f t="shared" ref="GL14:GR14" si="154">SUM(GL5,GL7,GL9,GL11,GL13)</f>
        <v>604.80000000000007</v>
      </c>
      <c r="GM14" s="16">
        <f t="shared" si="154"/>
        <v>604.80000000000007</v>
      </c>
      <c r="GN14" s="16">
        <f t="shared" si="154"/>
        <v>365.94</v>
      </c>
      <c r="GO14" s="16">
        <f t="shared" si="154"/>
        <v>394.74</v>
      </c>
      <c r="GP14" s="16">
        <f t="shared" si="154"/>
        <v>394.74</v>
      </c>
      <c r="GQ14" s="16">
        <f t="shared" si="154"/>
        <v>365.94</v>
      </c>
      <c r="GR14" s="16">
        <f t="shared" si="154"/>
        <v>365.94</v>
      </c>
      <c r="GS14" s="16">
        <f t="shared" ref="GS14:GT14" si="155">SUM(GS5,GS7,GS9,GS11,GS13)</f>
        <v>464.76000000000005</v>
      </c>
      <c r="GT14" s="16">
        <f t="shared" si="155"/>
        <v>464.76000000000005</v>
      </c>
      <c r="GU14" s="16">
        <f t="shared" ref="GU14:GY14" si="156">SUM(GU5,GU7,GU9,GU11,GU13)</f>
        <v>464.76000000000005</v>
      </c>
      <c r="GV14" s="16">
        <f t="shared" si="156"/>
        <v>493.56</v>
      </c>
      <c r="GW14" s="16">
        <f t="shared" si="156"/>
        <v>493.56</v>
      </c>
      <c r="GX14" s="16">
        <f t="shared" si="156"/>
        <v>509.94</v>
      </c>
      <c r="GY14" s="16">
        <f t="shared" si="156"/>
        <v>509.94</v>
      </c>
      <c r="GZ14" s="16">
        <f t="shared" ref="GZ14:HF14" si="157">SUM(GZ5,GZ7,GZ9,GZ11,GZ13)</f>
        <v>756.72</v>
      </c>
      <c r="HA14" s="16">
        <f t="shared" si="157"/>
        <v>756.72</v>
      </c>
      <c r="HB14" s="16">
        <f t="shared" si="157"/>
        <v>756.72</v>
      </c>
      <c r="HC14" s="16">
        <f t="shared" si="157"/>
        <v>843.12</v>
      </c>
      <c r="HD14" s="16">
        <f t="shared" si="157"/>
        <v>843.12</v>
      </c>
      <c r="HE14" s="16">
        <f t="shared" si="157"/>
        <v>826.74</v>
      </c>
      <c r="HF14" s="16">
        <f t="shared" si="157"/>
        <v>797.94</v>
      </c>
      <c r="HG14" s="16">
        <f t="shared" ref="HG14:HM14" si="158">SUM(HG5,HG7,HG9,HG11,HG13)</f>
        <v>670.31999999999994</v>
      </c>
      <c r="HH14" s="16">
        <f t="shared" si="158"/>
        <v>699.12</v>
      </c>
      <c r="HI14" s="16">
        <f t="shared" si="158"/>
        <v>699.12</v>
      </c>
      <c r="HJ14" s="16">
        <f t="shared" si="158"/>
        <v>871.92000000000007</v>
      </c>
      <c r="HK14" s="16">
        <f t="shared" si="158"/>
        <v>871.92000000000007</v>
      </c>
      <c r="HL14" s="16">
        <f t="shared" si="158"/>
        <v>871.92000000000007</v>
      </c>
      <c r="HM14" s="16">
        <f t="shared" si="158"/>
        <v>871.92000000000007</v>
      </c>
      <c r="HN14" s="16">
        <f t="shared" ref="HN14:HT14" si="159">SUM(HN5,HN7,HN9,HN11,HN13)</f>
        <v>814.32</v>
      </c>
      <c r="HO14" s="16">
        <f t="shared" si="159"/>
        <v>814.32</v>
      </c>
      <c r="HP14" s="16">
        <f t="shared" si="159"/>
        <v>814.31999999999994</v>
      </c>
      <c r="HQ14" s="16">
        <f t="shared" si="159"/>
        <v>555.12</v>
      </c>
      <c r="HR14" s="16">
        <f t="shared" si="159"/>
        <v>555.12</v>
      </c>
      <c r="HS14" s="16">
        <f t="shared" si="159"/>
        <v>555.12</v>
      </c>
      <c r="HT14" s="16">
        <f t="shared" si="159"/>
        <v>555.12</v>
      </c>
      <c r="HU14" s="16">
        <f t="shared" ref="HU14:IC14" si="160">SUM(HU5,HU7,HU9,HU11,HU13)</f>
        <v>555.12</v>
      </c>
      <c r="HV14" s="16">
        <f t="shared" si="160"/>
        <v>555.12</v>
      </c>
      <c r="HW14" s="16">
        <f t="shared" si="160"/>
        <v>538.74</v>
      </c>
      <c r="HX14" s="16">
        <f t="shared" si="160"/>
        <v>538.74</v>
      </c>
      <c r="HY14" s="16">
        <f t="shared" si="160"/>
        <v>538.74</v>
      </c>
      <c r="HZ14" s="16">
        <f t="shared" si="160"/>
        <v>538.74</v>
      </c>
      <c r="IA14" s="16">
        <f t="shared" si="160"/>
        <v>538.74</v>
      </c>
      <c r="IB14" s="16">
        <f t="shared" si="160"/>
        <v>538.74</v>
      </c>
      <c r="IC14" s="16">
        <f t="shared" si="160"/>
        <v>509.94</v>
      </c>
    </row>
    <row r="15" spans="1:237" s="1" customFormat="1" x14ac:dyDescent="0.35">
      <c r="A15" s="1" t="s">
        <v>52</v>
      </c>
      <c r="AD15" s="1">
        <v>1</v>
      </c>
      <c r="AE15" s="1">
        <v>1</v>
      </c>
      <c r="AF15" s="1" t="s">
        <v>97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2</v>
      </c>
      <c r="AM15" s="1">
        <v>2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2</v>
      </c>
      <c r="BI15" s="1">
        <v>1</v>
      </c>
      <c r="BJ15" s="1">
        <v>1</v>
      </c>
      <c r="BK15" s="1">
        <v>1</v>
      </c>
      <c r="BL15" s="1">
        <v>1</v>
      </c>
      <c r="BO15" s="1">
        <v>1</v>
      </c>
      <c r="BP15" s="1">
        <v>1</v>
      </c>
      <c r="BQ15" s="1">
        <v>1</v>
      </c>
      <c r="BS15" s="14"/>
      <c r="BT15" s="14"/>
      <c r="BU15" s="14"/>
      <c r="BV15" s="14"/>
      <c r="BW15" s="14"/>
      <c r="BX15" s="14"/>
      <c r="BY15" s="14"/>
      <c r="BZ15" s="14"/>
      <c r="CA15" s="14"/>
      <c r="CB15" s="14">
        <v>1</v>
      </c>
      <c r="CC15" s="14">
        <v>1</v>
      </c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>
        <v>1</v>
      </c>
      <c r="CP15" s="14">
        <v>1</v>
      </c>
      <c r="CQ15" s="14">
        <v>1</v>
      </c>
      <c r="CR15" s="14"/>
      <c r="CS15" s="14"/>
      <c r="CT15" s="14"/>
      <c r="CU15" s="14"/>
      <c r="CV15" s="14"/>
      <c r="CW15" s="14"/>
      <c r="CX15" s="14"/>
      <c r="CY15" s="14">
        <v>2</v>
      </c>
      <c r="CZ15" s="14">
        <v>2</v>
      </c>
      <c r="DA15" s="14">
        <v>1</v>
      </c>
      <c r="DB15" s="14">
        <v>1</v>
      </c>
      <c r="DC15" s="14">
        <v>1</v>
      </c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>
        <v>1</v>
      </c>
      <c r="DU15" s="14">
        <v>1</v>
      </c>
      <c r="DV15" s="14">
        <v>1</v>
      </c>
      <c r="DW15" s="14">
        <v>1</v>
      </c>
      <c r="DX15" s="14">
        <v>1</v>
      </c>
      <c r="DY15" s="14">
        <v>1</v>
      </c>
      <c r="DZ15" s="14">
        <v>1</v>
      </c>
      <c r="EA15" s="14"/>
      <c r="EB15" s="14"/>
      <c r="EC15" s="14"/>
      <c r="ED15" s="14">
        <v>1</v>
      </c>
      <c r="EE15" s="14">
        <v>1</v>
      </c>
      <c r="EF15" s="14">
        <v>1</v>
      </c>
      <c r="EG15" s="14">
        <v>1</v>
      </c>
      <c r="EH15" s="14">
        <v>1</v>
      </c>
      <c r="EI15" s="14">
        <v>1</v>
      </c>
      <c r="EJ15" s="14"/>
      <c r="EK15" s="14"/>
      <c r="EL15" s="14"/>
      <c r="EM15" s="14"/>
      <c r="EN15" s="14"/>
      <c r="EO15" s="14">
        <v>1</v>
      </c>
      <c r="EP15" s="14">
        <v>1</v>
      </c>
      <c r="EQ15" s="14">
        <v>1</v>
      </c>
      <c r="ER15" s="14">
        <v>1</v>
      </c>
      <c r="ES15" s="14">
        <v>1</v>
      </c>
      <c r="ET15" s="14">
        <v>2</v>
      </c>
      <c r="EU15" s="14">
        <v>2</v>
      </c>
      <c r="EV15" s="14"/>
      <c r="EW15" s="14"/>
      <c r="EX15" s="14">
        <v>1</v>
      </c>
      <c r="EY15" s="14">
        <v>1</v>
      </c>
      <c r="EZ15" s="14">
        <v>1</v>
      </c>
      <c r="FA15" s="14">
        <v>1</v>
      </c>
      <c r="FB15" s="14">
        <v>1</v>
      </c>
      <c r="FC15" s="14"/>
      <c r="FD15" s="14"/>
      <c r="FE15" s="14"/>
      <c r="FF15" s="14"/>
      <c r="FG15" s="14"/>
      <c r="FH15" s="14"/>
      <c r="FI15" s="14"/>
      <c r="FJ15" s="14">
        <v>2</v>
      </c>
      <c r="FK15" s="14">
        <v>2</v>
      </c>
      <c r="FL15" s="14">
        <v>1</v>
      </c>
      <c r="FM15" s="14">
        <v>2</v>
      </c>
      <c r="FN15" s="14">
        <v>2</v>
      </c>
      <c r="FO15" s="14">
        <v>2</v>
      </c>
      <c r="FP15" s="14">
        <v>2</v>
      </c>
      <c r="FQ15" s="14">
        <v>2</v>
      </c>
      <c r="FR15" s="14">
        <v>1</v>
      </c>
      <c r="FS15" s="14"/>
      <c r="FT15" s="14"/>
      <c r="FU15" s="14"/>
      <c r="FV15" s="14"/>
      <c r="FW15" s="14"/>
      <c r="FX15" s="14">
        <v>1</v>
      </c>
      <c r="FY15" s="14">
        <v>1</v>
      </c>
      <c r="FZ15" s="14">
        <v>1</v>
      </c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>
        <v>1</v>
      </c>
      <c r="GO15" s="14">
        <v>1</v>
      </c>
      <c r="GP15" s="14">
        <v>1</v>
      </c>
      <c r="GQ15" s="14">
        <v>2</v>
      </c>
      <c r="GR15" s="14">
        <v>1</v>
      </c>
      <c r="GS15" s="14">
        <v>2</v>
      </c>
      <c r="GT15" s="14">
        <v>1</v>
      </c>
      <c r="GU15" s="14">
        <v>1</v>
      </c>
      <c r="GV15" s="14">
        <v>1</v>
      </c>
      <c r="GW15" s="14">
        <v>1</v>
      </c>
      <c r="GX15" s="14">
        <v>1</v>
      </c>
      <c r="GY15" s="14">
        <v>1</v>
      </c>
      <c r="GZ15" s="14"/>
      <c r="HA15" s="14">
        <v>1</v>
      </c>
      <c r="HB15" s="14">
        <v>1</v>
      </c>
      <c r="HC15" s="14">
        <v>1</v>
      </c>
      <c r="HD15" s="14">
        <v>1</v>
      </c>
      <c r="HE15" s="14"/>
      <c r="HF15" s="14"/>
      <c r="HG15" s="14">
        <v>1</v>
      </c>
      <c r="HH15" s="14">
        <v>1</v>
      </c>
      <c r="HI15" s="14">
        <v>1</v>
      </c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>
        <v>4</v>
      </c>
      <c r="HX15" s="14">
        <v>5</v>
      </c>
      <c r="HY15" s="14">
        <v>6</v>
      </c>
      <c r="HZ15" s="14">
        <v>7</v>
      </c>
      <c r="IA15" s="14">
        <v>8</v>
      </c>
      <c r="IB15" s="14">
        <v>9</v>
      </c>
      <c r="IC15" s="14">
        <v>10</v>
      </c>
    </row>
    <row r="16" spans="1:237" s="2" customFormat="1" x14ac:dyDescent="0.35">
      <c r="A16" s="2" t="s">
        <v>41</v>
      </c>
      <c r="BN16" s="2">
        <f>BN15*20</f>
        <v>0</v>
      </c>
      <c r="BO16" s="2">
        <f>BO15*20</f>
        <v>20</v>
      </c>
      <c r="BP16" s="2">
        <f t="shared" ref="BP16:BV16" si="161">BP15*20</f>
        <v>20</v>
      </c>
      <c r="BQ16" s="2">
        <f t="shared" si="161"/>
        <v>20</v>
      </c>
      <c r="BR16" s="2">
        <f t="shared" si="161"/>
        <v>0</v>
      </c>
      <c r="BS16" s="17">
        <f t="shared" si="161"/>
        <v>0</v>
      </c>
      <c r="BT16" s="17">
        <f t="shared" si="161"/>
        <v>0</v>
      </c>
      <c r="BU16" s="17">
        <f t="shared" si="161"/>
        <v>0</v>
      </c>
      <c r="BV16" s="17">
        <f t="shared" si="161"/>
        <v>0</v>
      </c>
      <c r="BW16" s="17">
        <f t="shared" ref="BW16:CC16" si="162">BW15*20</f>
        <v>0</v>
      </c>
      <c r="BX16" s="17">
        <f t="shared" si="162"/>
        <v>0</v>
      </c>
      <c r="BY16" s="17">
        <f t="shared" si="162"/>
        <v>0</v>
      </c>
      <c r="BZ16" s="17">
        <f t="shared" si="162"/>
        <v>0</v>
      </c>
      <c r="CA16" s="17">
        <f t="shared" si="162"/>
        <v>0</v>
      </c>
      <c r="CB16" s="17">
        <f t="shared" si="162"/>
        <v>20</v>
      </c>
      <c r="CC16" s="17">
        <f t="shared" si="162"/>
        <v>20</v>
      </c>
      <c r="CD16" s="17">
        <f t="shared" ref="CD16:CJ16" si="163">CD15*20</f>
        <v>0</v>
      </c>
      <c r="CE16" s="17">
        <f t="shared" si="163"/>
        <v>0</v>
      </c>
      <c r="CF16" s="17">
        <f t="shared" si="163"/>
        <v>0</v>
      </c>
      <c r="CG16" s="17">
        <f t="shared" si="163"/>
        <v>0</v>
      </c>
      <c r="CH16" s="17">
        <f t="shared" si="163"/>
        <v>0</v>
      </c>
      <c r="CI16" s="17">
        <f t="shared" si="163"/>
        <v>0</v>
      </c>
      <c r="CJ16" s="17">
        <f t="shared" si="163"/>
        <v>0</v>
      </c>
      <c r="CK16" s="17">
        <f t="shared" ref="CK16:CQ16" si="164">CK15*20</f>
        <v>0</v>
      </c>
      <c r="CL16" s="17">
        <f t="shared" si="164"/>
        <v>0</v>
      </c>
      <c r="CM16" s="17">
        <f t="shared" si="164"/>
        <v>0</v>
      </c>
      <c r="CN16" s="17">
        <f t="shared" si="164"/>
        <v>0</v>
      </c>
      <c r="CO16" s="17">
        <f t="shared" si="164"/>
        <v>20</v>
      </c>
      <c r="CP16" s="17">
        <f t="shared" si="164"/>
        <v>20</v>
      </c>
      <c r="CQ16" s="17">
        <f t="shared" si="164"/>
        <v>20</v>
      </c>
      <c r="CR16" s="17">
        <f t="shared" ref="CR16:CX16" si="165">CR15*20</f>
        <v>0</v>
      </c>
      <c r="CS16" s="17">
        <f t="shared" si="165"/>
        <v>0</v>
      </c>
      <c r="CT16" s="17">
        <f t="shared" si="165"/>
        <v>0</v>
      </c>
      <c r="CU16" s="17">
        <f t="shared" si="165"/>
        <v>0</v>
      </c>
      <c r="CV16" s="17">
        <f t="shared" si="165"/>
        <v>0</v>
      </c>
      <c r="CW16" s="17">
        <f t="shared" si="165"/>
        <v>0</v>
      </c>
      <c r="CX16" s="17">
        <f t="shared" si="165"/>
        <v>0</v>
      </c>
      <c r="CY16" s="17">
        <f t="shared" ref="CY16:DE16" si="166">CY15*20</f>
        <v>40</v>
      </c>
      <c r="CZ16" s="17">
        <f t="shared" si="166"/>
        <v>40</v>
      </c>
      <c r="DA16" s="17">
        <f t="shared" si="166"/>
        <v>20</v>
      </c>
      <c r="DB16" s="17">
        <f t="shared" si="166"/>
        <v>20</v>
      </c>
      <c r="DC16" s="17">
        <f t="shared" si="166"/>
        <v>20</v>
      </c>
      <c r="DD16" s="17">
        <f t="shared" si="166"/>
        <v>0</v>
      </c>
      <c r="DE16" s="17">
        <f t="shared" si="166"/>
        <v>0</v>
      </c>
      <c r="DF16" s="17">
        <f t="shared" ref="DF16:DM16" si="167">DF15*20</f>
        <v>0</v>
      </c>
      <c r="DG16" s="17">
        <f t="shared" si="167"/>
        <v>0</v>
      </c>
      <c r="DH16" s="17">
        <f t="shared" si="167"/>
        <v>0</v>
      </c>
      <c r="DI16" s="17">
        <f t="shared" si="167"/>
        <v>0</v>
      </c>
      <c r="DJ16" s="17">
        <f t="shared" si="167"/>
        <v>0</v>
      </c>
      <c r="DK16" s="17">
        <f t="shared" si="167"/>
        <v>0</v>
      </c>
      <c r="DL16" s="17">
        <f t="shared" si="167"/>
        <v>0</v>
      </c>
      <c r="DM16" s="17">
        <f t="shared" si="167"/>
        <v>0</v>
      </c>
      <c r="DN16" s="17">
        <f t="shared" ref="DN16:DS16" si="168">DN15*20</f>
        <v>0</v>
      </c>
      <c r="DO16" s="17">
        <f t="shared" si="168"/>
        <v>0</v>
      </c>
      <c r="DP16" s="17">
        <f t="shared" si="168"/>
        <v>0</v>
      </c>
      <c r="DQ16" s="17">
        <f t="shared" si="168"/>
        <v>0</v>
      </c>
      <c r="DR16" s="17">
        <f t="shared" si="168"/>
        <v>0</v>
      </c>
      <c r="DS16" s="17">
        <f t="shared" si="168"/>
        <v>0</v>
      </c>
      <c r="DT16" s="17">
        <f t="shared" ref="DT16:DZ16" si="169">DT15*20</f>
        <v>20</v>
      </c>
      <c r="DU16" s="17">
        <f t="shared" si="169"/>
        <v>20</v>
      </c>
      <c r="DV16" s="17">
        <f t="shared" si="169"/>
        <v>20</v>
      </c>
      <c r="DW16" s="17">
        <f t="shared" si="169"/>
        <v>20</v>
      </c>
      <c r="DX16" s="17">
        <f t="shared" si="169"/>
        <v>20</v>
      </c>
      <c r="DY16" s="17">
        <f t="shared" si="169"/>
        <v>20</v>
      </c>
      <c r="DZ16" s="17">
        <f t="shared" si="169"/>
        <v>20</v>
      </c>
      <c r="EA16" s="17">
        <f t="shared" ref="EA16:EG16" si="170">EA15*20</f>
        <v>0</v>
      </c>
      <c r="EB16" s="17">
        <f t="shared" si="170"/>
        <v>0</v>
      </c>
      <c r="EC16" s="17">
        <f t="shared" si="170"/>
        <v>0</v>
      </c>
      <c r="ED16" s="17">
        <f t="shared" si="170"/>
        <v>20</v>
      </c>
      <c r="EE16" s="17">
        <f t="shared" si="170"/>
        <v>20</v>
      </c>
      <c r="EF16" s="17">
        <f t="shared" si="170"/>
        <v>20</v>
      </c>
      <c r="EG16" s="17">
        <f t="shared" si="170"/>
        <v>20</v>
      </c>
      <c r="EH16" s="17">
        <f t="shared" ref="EH16:EN16" si="171">EH15*20</f>
        <v>20</v>
      </c>
      <c r="EI16" s="17">
        <f t="shared" si="171"/>
        <v>20</v>
      </c>
      <c r="EJ16" s="17">
        <f t="shared" si="171"/>
        <v>0</v>
      </c>
      <c r="EK16" s="17">
        <f t="shared" si="171"/>
        <v>0</v>
      </c>
      <c r="EL16" s="17">
        <f t="shared" si="171"/>
        <v>0</v>
      </c>
      <c r="EM16" s="17">
        <f t="shared" si="171"/>
        <v>0</v>
      </c>
      <c r="EN16" s="17">
        <f t="shared" si="171"/>
        <v>0</v>
      </c>
      <c r="EO16" s="17">
        <f t="shared" ref="EO16:EU16" si="172">EO15*20</f>
        <v>20</v>
      </c>
      <c r="EP16" s="17">
        <f t="shared" si="172"/>
        <v>20</v>
      </c>
      <c r="EQ16" s="17">
        <f t="shared" si="172"/>
        <v>20</v>
      </c>
      <c r="ER16" s="17">
        <f t="shared" si="172"/>
        <v>20</v>
      </c>
      <c r="ES16" s="17">
        <f t="shared" si="172"/>
        <v>20</v>
      </c>
      <c r="ET16" s="17">
        <f t="shared" si="172"/>
        <v>40</v>
      </c>
      <c r="EU16" s="17">
        <f t="shared" si="172"/>
        <v>40</v>
      </c>
      <c r="EV16" s="17">
        <f t="shared" ref="EV16:FD16" si="173">EV15*20</f>
        <v>0</v>
      </c>
      <c r="EW16" s="17">
        <f t="shared" si="173"/>
        <v>0</v>
      </c>
      <c r="EX16" s="17">
        <f t="shared" si="173"/>
        <v>20</v>
      </c>
      <c r="EY16" s="17">
        <f t="shared" si="173"/>
        <v>20</v>
      </c>
      <c r="EZ16" s="17">
        <f t="shared" si="173"/>
        <v>20</v>
      </c>
      <c r="FA16" s="17">
        <f t="shared" si="173"/>
        <v>20</v>
      </c>
      <c r="FB16" s="17">
        <f t="shared" si="173"/>
        <v>20</v>
      </c>
      <c r="FC16" s="17">
        <f t="shared" si="173"/>
        <v>0</v>
      </c>
      <c r="FD16" s="17">
        <f t="shared" si="173"/>
        <v>0</v>
      </c>
      <c r="FE16" s="17">
        <f t="shared" ref="FE16:FR16" si="174">FE15*20</f>
        <v>0</v>
      </c>
      <c r="FF16" s="17">
        <f t="shared" si="174"/>
        <v>0</v>
      </c>
      <c r="FG16" s="17">
        <f t="shared" si="174"/>
        <v>0</v>
      </c>
      <c r="FH16" s="17">
        <f t="shared" si="174"/>
        <v>0</v>
      </c>
      <c r="FI16" s="17">
        <f t="shared" si="174"/>
        <v>0</v>
      </c>
      <c r="FJ16" s="17">
        <f t="shared" si="174"/>
        <v>40</v>
      </c>
      <c r="FK16" s="17">
        <f t="shared" si="174"/>
        <v>40</v>
      </c>
      <c r="FL16" s="17">
        <f t="shared" si="174"/>
        <v>20</v>
      </c>
      <c r="FM16" s="17">
        <f t="shared" si="174"/>
        <v>40</v>
      </c>
      <c r="FN16" s="17">
        <f t="shared" si="174"/>
        <v>40</v>
      </c>
      <c r="FO16" s="17">
        <f t="shared" si="174"/>
        <v>40</v>
      </c>
      <c r="FP16" s="17">
        <f t="shared" si="174"/>
        <v>40</v>
      </c>
      <c r="FQ16" s="17">
        <f t="shared" si="174"/>
        <v>40</v>
      </c>
      <c r="FR16" s="17">
        <f t="shared" si="174"/>
        <v>20</v>
      </c>
      <c r="FS16" s="17">
        <f t="shared" ref="FS16:FY16" si="175">FS15*20</f>
        <v>0</v>
      </c>
      <c r="FT16" s="17">
        <f t="shared" si="175"/>
        <v>0</v>
      </c>
      <c r="FU16" s="17">
        <f t="shared" si="175"/>
        <v>0</v>
      </c>
      <c r="FV16" s="17">
        <f t="shared" si="175"/>
        <v>0</v>
      </c>
      <c r="FW16" s="17">
        <f t="shared" si="175"/>
        <v>0</v>
      </c>
      <c r="FX16" s="17">
        <f t="shared" si="175"/>
        <v>20</v>
      </c>
      <c r="FY16" s="17">
        <f t="shared" si="175"/>
        <v>20</v>
      </c>
      <c r="FZ16" s="17">
        <f t="shared" ref="FZ16:GF16" si="176">FZ15*20</f>
        <v>20</v>
      </c>
      <c r="GA16" s="17">
        <f t="shared" si="176"/>
        <v>0</v>
      </c>
      <c r="GB16" s="17">
        <f t="shared" si="176"/>
        <v>0</v>
      </c>
      <c r="GC16" s="17">
        <f t="shared" si="176"/>
        <v>0</v>
      </c>
      <c r="GD16" s="17">
        <f t="shared" si="176"/>
        <v>0</v>
      </c>
      <c r="GE16" s="17">
        <f t="shared" si="176"/>
        <v>0</v>
      </c>
      <c r="GF16" s="17">
        <f t="shared" si="176"/>
        <v>0</v>
      </c>
      <c r="GG16" s="17">
        <f t="shared" ref="GG16:GK16" si="177">GG15*20</f>
        <v>0</v>
      </c>
      <c r="GH16" s="17">
        <f t="shared" si="177"/>
        <v>0</v>
      </c>
      <c r="GI16" s="17">
        <f t="shared" si="177"/>
        <v>0</v>
      </c>
      <c r="GJ16" s="17">
        <f t="shared" si="177"/>
        <v>0</v>
      </c>
      <c r="GK16" s="17">
        <f t="shared" si="177"/>
        <v>0</v>
      </c>
      <c r="GL16" s="17">
        <f t="shared" ref="GL16:GR16" si="178">GL15*20</f>
        <v>0</v>
      </c>
      <c r="GM16" s="17">
        <f t="shared" si="178"/>
        <v>0</v>
      </c>
      <c r="GN16" s="17">
        <f t="shared" si="178"/>
        <v>20</v>
      </c>
      <c r="GO16" s="17">
        <f t="shared" si="178"/>
        <v>20</v>
      </c>
      <c r="GP16" s="17">
        <f t="shared" si="178"/>
        <v>20</v>
      </c>
      <c r="GQ16" s="17">
        <f t="shared" si="178"/>
        <v>40</v>
      </c>
      <c r="GR16" s="17">
        <f t="shared" si="178"/>
        <v>20</v>
      </c>
      <c r="GS16" s="17">
        <f t="shared" ref="GS16:GT16" si="179">GS15*20</f>
        <v>40</v>
      </c>
      <c r="GT16" s="17">
        <f t="shared" si="179"/>
        <v>20</v>
      </c>
      <c r="GU16" s="17">
        <f t="shared" ref="GU16:GY16" si="180">GU15*20</f>
        <v>20</v>
      </c>
      <c r="GV16" s="17">
        <f t="shared" si="180"/>
        <v>20</v>
      </c>
      <c r="GW16" s="17">
        <f t="shared" si="180"/>
        <v>20</v>
      </c>
      <c r="GX16" s="17">
        <f t="shared" si="180"/>
        <v>20</v>
      </c>
      <c r="GY16" s="17">
        <f t="shared" si="180"/>
        <v>20</v>
      </c>
      <c r="GZ16" s="17">
        <f t="shared" ref="GZ16:HF16" si="181">GZ15*20</f>
        <v>0</v>
      </c>
      <c r="HA16" s="17">
        <f t="shared" si="181"/>
        <v>20</v>
      </c>
      <c r="HB16" s="17">
        <f t="shared" si="181"/>
        <v>20</v>
      </c>
      <c r="HC16" s="17">
        <f t="shared" si="181"/>
        <v>20</v>
      </c>
      <c r="HD16" s="17">
        <f t="shared" si="181"/>
        <v>20</v>
      </c>
      <c r="HE16" s="17">
        <f t="shared" si="181"/>
        <v>0</v>
      </c>
      <c r="HF16" s="17">
        <f t="shared" si="181"/>
        <v>0</v>
      </c>
      <c r="HG16" s="17">
        <f t="shared" ref="HG16:HM16" si="182">HG15*20</f>
        <v>20</v>
      </c>
      <c r="HH16" s="17">
        <f t="shared" si="182"/>
        <v>20</v>
      </c>
      <c r="HI16" s="17">
        <f t="shared" si="182"/>
        <v>20</v>
      </c>
      <c r="HJ16" s="17">
        <f t="shared" si="182"/>
        <v>0</v>
      </c>
      <c r="HK16" s="17">
        <f t="shared" si="182"/>
        <v>0</v>
      </c>
      <c r="HL16" s="17">
        <f t="shared" si="182"/>
        <v>0</v>
      </c>
      <c r="HM16" s="17">
        <f t="shared" si="182"/>
        <v>0</v>
      </c>
      <c r="HN16" s="17">
        <f t="shared" ref="HN16:HT16" si="183">HN15*20</f>
        <v>0</v>
      </c>
      <c r="HO16" s="17">
        <f t="shared" si="183"/>
        <v>0</v>
      </c>
      <c r="HP16" s="17">
        <f t="shared" si="183"/>
        <v>0</v>
      </c>
      <c r="HQ16" s="17">
        <f t="shared" si="183"/>
        <v>0</v>
      </c>
      <c r="HR16" s="17">
        <f t="shared" si="183"/>
        <v>0</v>
      </c>
      <c r="HS16" s="17">
        <f t="shared" si="183"/>
        <v>0</v>
      </c>
      <c r="HT16" s="17">
        <f t="shared" si="183"/>
        <v>0</v>
      </c>
      <c r="HU16" s="17">
        <f t="shared" ref="HU16:IC16" si="184">HU15*20</f>
        <v>0</v>
      </c>
      <c r="HV16" s="17">
        <f t="shared" si="184"/>
        <v>0</v>
      </c>
      <c r="HW16" s="17">
        <f t="shared" si="184"/>
        <v>80</v>
      </c>
      <c r="HX16" s="17">
        <f t="shared" si="184"/>
        <v>100</v>
      </c>
      <c r="HY16" s="17">
        <f t="shared" si="184"/>
        <v>120</v>
      </c>
      <c r="HZ16" s="17">
        <f t="shared" si="184"/>
        <v>140</v>
      </c>
      <c r="IA16" s="17">
        <f t="shared" si="184"/>
        <v>160</v>
      </c>
      <c r="IB16" s="17">
        <f t="shared" si="184"/>
        <v>180</v>
      </c>
      <c r="IC16" s="17">
        <f t="shared" si="184"/>
        <v>200</v>
      </c>
    </row>
    <row r="17" spans="1:237" s="1" customFormat="1" x14ac:dyDescent="0.35">
      <c r="A17" s="1" t="s">
        <v>53</v>
      </c>
      <c r="AD17" s="1">
        <v>1</v>
      </c>
      <c r="AE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2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2</v>
      </c>
      <c r="BH17" s="1">
        <v>2</v>
      </c>
      <c r="BK17" s="1">
        <v>1</v>
      </c>
      <c r="BL17" s="1">
        <v>1</v>
      </c>
      <c r="BM17" s="1">
        <v>1</v>
      </c>
      <c r="BO17" s="1">
        <v>1</v>
      </c>
      <c r="BP17" s="1">
        <v>1</v>
      </c>
      <c r="BQ17" s="1">
        <v>1</v>
      </c>
      <c r="BR17" s="1">
        <v>1</v>
      </c>
      <c r="BS17" s="14">
        <v>1</v>
      </c>
      <c r="BT17" s="14">
        <v>1</v>
      </c>
      <c r="BU17" s="14">
        <v>1</v>
      </c>
      <c r="BV17" s="14">
        <v>1</v>
      </c>
      <c r="BW17" s="14">
        <v>1</v>
      </c>
      <c r="BX17" s="14">
        <v>1</v>
      </c>
      <c r="BY17" s="14">
        <v>1</v>
      </c>
      <c r="BZ17" s="14">
        <v>1</v>
      </c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>
        <v>1</v>
      </c>
      <c r="CP17" s="14">
        <v>1</v>
      </c>
      <c r="CQ17" s="14">
        <v>1</v>
      </c>
      <c r="CR17" s="14"/>
      <c r="CS17" s="14"/>
      <c r="CT17" s="14"/>
      <c r="CU17" s="14"/>
      <c r="CV17" s="14"/>
      <c r="CW17" s="14">
        <v>1</v>
      </c>
      <c r="CX17" s="14">
        <v>1</v>
      </c>
      <c r="CY17" s="14">
        <v>1</v>
      </c>
      <c r="CZ17" s="14">
        <v>1</v>
      </c>
      <c r="DA17" s="14">
        <v>1</v>
      </c>
      <c r="DB17" s="14">
        <v>1</v>
      </c>
      <c r="DC17" s="14">
        <v>1</v>
      </c>
      <c r="DD17" s="14">
        <v>1</v>
      </c>
      <c r="DE17" s="14">
        <v>1</v>
      </c>
      <c r="DF17" s="14">
        <v>1</v>
      </c>
      <c r="DG17" s="14">
        <v>1</v>
      </c>
      <c r="DH17" s="14">
        <v>1</v>
      </c>
      <c r="DI17" s="14">
        <v>1</v>
      </c>
      <c r="DJ17" s="14">
        <v>1</v>
      </c>
      <c r="DK17" s="14"/>
      <c r="DL17" s="14"/>
      <c r="DM17" s="14">
        <v>1</v>
      </c>
      <c r="DN17" s="14">
        <v>1</v>
      </c>
      <c r="DO17" s="14">
        <v>1</v>
      </c>
      <c r="DP17" s="14">
        <v>1</v>
      </c>
      <c r="DQ17" s="14">
        <v>1</v>
      </c>
      <c r="DR17" s="14"/>
      <c r="DS17" s="14"/>
      <c r="DT17" s="14">
        <v>1</v>
      </c>
      <c r="DU17" s="14">
        <v>1</v>
      </c>
      <c r="DV17" s="14">
        <v>1</v>
      </c>
      <c r="DW17" s="14">
        <v>1</v>
      </c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>
        <v>1</v>
      </c>
      <c r="EK17" s="14">
        <v>1</v>
      </c>
      <c r="EL17" s="14"/>
      <c r="EM17" s="14"/>
      <c r="EN17" s="14"/>
      <c r="EO17" s="14">
        <v>1</v>
      </c>
      <c r="EP17" s="14">
        <v>1</v>
      </c>
      <c r="EQ17" s="14">
        <v>1</v>
      </c>
      <c r="ER17" s="14">
        <v>1</v>
      </c>
      <c r="ES17" s="14">
        <v>1</v>
      </c>
      <c r="ET17" s="14"/>
      <c r="EU17" s="14"/>
      <c r="EV17" s="14"/>
      <c r="EW17" s="14"/>
      <c r="EX17" s="14">
        <v>1</v>
      </c>
      <c r="EY17" s="14">
        <v>1</v>
      </c>
      <c r="EZ17" s="14">
        <v>1</v>
      </c>
      <c r="FA17" s="14">
        <v>1</v>
      </c>
      <c r="FB17" s="14">
        <v>1</v>
      </c>
      <c r="FC17" s="14"/>
      <c r="FD17" s="14"/>
      <c r="FE17" s="14"/>
      <c r="FF17" s="14"/>
      <c r="FG17" s="14"/>
      <c r="FH17" s="14"/>
      <c r="FI17" s="14"/>
      <c r="FJ17" s="14"/>
      <c r="FK17" s="14"/>
      <c r="FL17" s="14">
        <v>1</v>
      </c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>
        <v>4</v>
      </c>
      <c r="GY17" s="14">
        <v>4</v>
      </c>
      <c r="GZ17" s="14">
        <v>2</v>
      </c>
      <c r="HA17" s="14">
        <v>1</v>
      </c>
      <c r="HB17" s="14">
        <v>1</v>
      </c>
      <c r="HC17" s="14">
        <v>1</v>
      </c>
      <c r="HD17" s="14"/>
      <c r="HE17" s="14"/>
      <c r="HF17" s="14"/>
      <c r="HG17" s="14">
        <v>1</v>
      </c>
      <c r="HH17" s="14">
        <v>1</v>
      </c>
      <c r="HI17" s="14">
        <v>1</v>
      </c>
      <c r="HJ17" s="14"/>
      <c r="HK17" s="14"/>
      <c r="HL17" s="14"/>
      <c r="HM17" s="14"/>
      <c r="HN17" s="14"/>
      <c r="HO17" s="14"/>
      <c r="HP17" s="14"/>
      <c r="HQ17" s="14">
        <v>1</v>
      </c>
      <c r="HR17" s="14">
        <v>1</v>
      </c>
      <c r="HS17" s="14">
        <v>1</v>
      </c>
      <c r="HT17" s="14">
        <v>1</v>
      </c>
      <c r="HU17" s="14"/>
      <c r="HV17" s="14"/>
      <c r="HW17" s="14"/>
      <c r="HX17" s="14"/>
      <c r="HY17" s="14"/>
      <c r="HZ17" s="14"/>
      <c r="IA17" s="14"/>
      <c r="IB17" s="14"/>
      <c r="IC17" s="14"/>
    </row>
    <row r="18" spans="1:237" s="2" customFormat="1" x14ac:dyDescent="0.35">
      <c r="A18" s="2" t="s">
        <v>41</v>
      </c>
      <c r="BN18" s="2">
        <f>BN17*20</f>
        <v>0</v>
      </c>
      <c r="BO18" s="2">
        <f>BO17*20</f>
        <v>20</v>
      </c>
      <c r="BP18" s="2">
        <f t="shared" ref="BP18:BV18" si="185">BP17*20</f>
        <v>20</v>
      </c>
      <c r="BQ18" s="2">
        <f t="shared" si="185"/>
        <v>20</v>
      </c>
      <c r="BR18" s="2">
        <f t="shared" si="185"/>
        <v>20</v>
      </c>
      <c r="BS18" s="17">
        <f t="shared" si="185"/>
        <v>20</v>
      </c>
      <c r="BT18" s="17">
        <f t="shared" si="185"/>
        <v>20</v>
      </c>
      <c r="BU18" s="17">
        <f t="shared" si="185"/>
        <v>20</v>
      </c>
      <c r="BV18" s="17">
        <f t="shared" si="185"/>
        <v>20</v>
      </c>
      <c r="BW18" s="17">
        <f t="shared" ref="BW18:CC18" si="186">BW17*20</f>
        <v>20</v>
      </c>
      <c r="BX18" s="17">
        <f t="shared" si="186"/>
        <v>20</v>
      </c>
      <c r="BY18" s="17">
        <f t="shared" si="186"/>
        <v>20</v>
      </c>
      <c r="BZ18" s="17">
        <f t="shared" si="186"/>
        <v>20</v>
      </c>
      <c r="CA18" s="17">
        <f t="shared" si="186"/>
        <v>0</v>
      </c>
      <c r="CB18" s="17">
        <f t="shared" si="186"/>
        <v>0</v>
      </c>
      <c r="CC18" s="17">
        <f t="shared" si="186"/>
        <v>0</v>
      </c>
      <c r="CD18" s="17">
        <f t="shared" ref="CD18:CJ18" si="187">CD17*20</f>
        <v>0</v>
      </c>
      <c r="CE18" s="17">
        <f t="shared" si="187"/>
        <v>0</v>
      </c>
      <c r="CF18" s="17">
        <f t="shared" si="187"/>
        <v>0</v>
      </c>
      <c r="CG18" s="17">
        <f t="shared" si="187"/>
        <v>0</v>
      </c>
      <c r="CH18" s="17">
        <f t="shared" si="187"/>
        <v>0</v>
      </c>
      <c r="CI18" s="17">
        <f t="shared" si="187"/>
        <v>0</v>
      </c>
      <c r="CJ18" s="17">
        <f t="shared" si="187"/>
        <v>0</v>
      </c>
      <c r="CK18" s="17">
        <f t="shared" ref="CK18:CQ18" si="188">CK17*20</f>
        <v>0</v>
      </c>
      <c r="CL18" s="17">
        <f t="shared" si="188"/>
        <v>0</v>
      </c>
      <c r="CM18" s="17">
        <f t="shared" si="188"/>
        <v>0</v>
      </c>
      <c r="CN18" s="17">
        <f t="shared" si="188"/>
        <v>0</v>
      </c>
      <c r="CO18" s="17">
        <f t="shared" si="188"/>
        <v>20</v>
      </c>
      <c r="CP18" s="17">
        <f t="shared" si="188"/>
        <v>20</v>
      </c>
      <c r="CQ18" s="17">
        <f t="shared" si="188"/>
        <v>20</v>
      </c>
      <c r="CR18" s="17">
        <f t="shared" ref="CR18:CX18" si="189">CR17*20</f>
        <v>0</v>
      </c>
      <c r="CS18" s="17">
        <f t="shared" si="189"/>
        <v>0</v>
      </c>
      <c r="CT18" s="17">
        <f t="shared" si="189"/>
        <v>0</v>
      </c>
      <c r="CU18" s="17">
        <f t="shared" si="189"/>
        <v>0</v>
      </c>
      <c r="CV18" s="17">
        <f t="shared" si="189"/>
        <v>0</v>
      </c>
      <c r="CW18" s="17">
        <f t="shared" si="189"/>
        <v>20</v>
      </c>
      <c r="CX18" s="17">
        <f t="shared" si="189"/>
        <v>20</v>
      </c>
      <c r="CY18" s="17">
        <f t="shared" ref="CY18:DE18" si="190">CY17*20</f>
        <v>20</v>
      </c>
      <c r="CZ18" s="17">
        <f t="shared" si="190"/>
        <v>20</v>
      </c>
      <c r="DA18" s="17">
        <f t="shared" si="190"/>
        <v>20</v>
      </c>
      <c r="DB18" s="17">
        <f t="shared" si="190"/>
        <v>20</v>
      </c>
      <c r="DC18" s="17">
        <f t="shared" si="190"/>
        <v>20</v>
      </c>
      <c r="DD18" s="17">
        <f t="shared" si="190"/>
        <v>20</v>
      </c>
      <c r="DE18" s="17">
        <f t="shared" si="190"/>
        <v>20</v>
      </c>
      <c r="DF18" s="17">
        <f t="shared" ref="DF18:DM18" si="191">DF17*20</f>
        <v>20</v>
      </c>
      <c r="DG18" s="17">
        <f t="shared" si="191"/>
        <v>20</v>
      </c>
      <c r="DH18" s="17">
        <f t="shared" si="191"/>
        <v>20</v>
      </c>
      <c r="DI18" s="17">
        <f t="shared" si="191"/>
        <v>20</v>
      </c>
      <c r="DJ18" s="17">
        <f t="shared" si="191"/>
        <v>20</v>
      </c>
      <c r="DK18" s="17">
        <f t="shared" si="191"/>
        <v>0</v>
      </c>
      <c r="DL18" s="17">
        <f t="shared" si="191"/>
        <v>0</v>
      </c>
      <c r="DM18" s="17">
        <f t="shared" si="191"/>
        <v>20</v>
      </c>
      <c r="DN18" s="17">
        <f t="shared" ref="DN18:DS18" si="192">DN17*20</f>
        <v>20</v>
      </c>
      <c r="DO18" s="17">
        <f t="shared" si="192"/>
        <v>20</v>
      </c>
      <c r="DP18" s="17">
        <f t="shared" si="192"/>
        <v>20</v>
      </c>
      <c r="DQ18" s="17">
        <f t="shared" si="192"/>
        <v>20</v>
      </c>
      <c r="DR18" s="17">
        <f t="shared" si="192"/>
        <v>0</v>
      </c>
      <c r="DS18" s="17">
        <f t="shared" si="192"/>
        <v>0</v>
      </c>
      <c r="DT18" s="17">
        <f t="shared" ref="DT18:DZ18" si="193">DT17*20</f>
        <v>20</v>
      </c>
      <c r="DU18" s="17">
        <f t="shared" si="193"/>
        <v>20</v>
      </c>
      <c r="DV18" s="17">
        <f t="shared" si="193"/>
        <v>20</v>
      </c>
      <c r="DW18" s="17">
        <f t="shared" si="193"/>
        <v>20</v>
      </c>
      <c r="DX18" s="17">
        <f t="shared" si="193"/>
        <v>0</v>
      </c>
      <c r="DY18" s="17">
        <f t="shared" si="193"/>
        <v>0</v>
      </c>
      <c r="DZ18" s="17">
        <f t="shared" si="193"/>
        <v>0</v>
      </c>
      <c r="EA18" s="17">
        <f t="shared" ref="EA18:EG18" si="194">EA17*20</f>
        <v>0</v>
      </c>
      <c r="EB18" s="17">
        <f t="shared" si="194"/>
        <v>0</v>
      </c>
      <c r="EC18" s="17">
        <f t="shared" si="194"/>
        <v>0</v>
      </c>
      <c r="ED18" s="17">
        <f t="shared" si="194"/>
        <v>0</v>
      </c>
      <c r="EE18" s="17">
        <f t="shared" si="194"/>
        <v>0</v>
      </c>
      <c r="EF18" s="17">
        <f t="shared" si="194"/>
        <v>0</v>
      </c>
      <c r="EG18" s="17">
        <f t="shared" si="194"/>
        <v>0</v>
      </c>
      <c r="EH18" s="17">
        <f t="shared" ref="EH18:EN18" si="195">EH17*20</f>
        <v>0</v>
      </c>
      <c r="EI18" s="17">
        <f t="shared" si="195"/>
        <v>0</v>
      </c>
      <c r="EJ18" s="17">
        <f t="shared" si="195"/>
        <v>20</v>
      </c>
      <c r="EK18" s="17">
        <f t="shared" si="195"/>
        <v>20</v>
      </c>
      <c r="EL18" s="17">
        <f t="shared" si="195"/>
        <v>0</v>
      </c>
      <c r="EM18" s="17">
        <f t="shared" si="195"/>
        <v>0</v>
      </c>
      <c r="EN18" s="17">
        <f t="shared" si="195"/>
        <v>0</v>
      </c>
      <c r="EO18" s="17">
        <f t="shared" ref="EO18:EU18" si="196">EO17*20</f>
        <v>20</v>
      </c>
      <c r="EP18" s="17">
        <f t="shared" si="196"/>
        <v>20</v>
      </c>
      <c r="EQ18" s="17">
        <f t="shared" si="196"/>
        <v>20</v>
      </c>
      <c r="ER18" s="17">
        <f t="shared" si="196"/>
        <v>20</v>
      </c>
      <c r="ES18" s="17">
        <f t="shared" si="196"/>
        <v>20</v>
      </c>
      <c r="ET18" s="17">
        <f t="shared" si="196"/>
        <v>0</v>
      </c>
      <c r="EU18" s="17">
        <f t="shared" si="196"/>
        <v>0</v>
      </c>
      <c r="EV18" s="17">
        <f t="shared" ref="EV18:FD18" si="197">EV17*20</f>
        <v>0</v>
      </c>
      <c r="EW18" s="17">
        <f t="shared" si="197"/>
        <v>0</v>
      </c>
      <c r="EX18" s="17">
        <f t="shared" si="197"/>
        <v>20</v>
      </c>
      <c r="EY18" s="17">
        <f t="shared" si="197"/>
        <v>20</v>
      </c>
      <c r="EZ18" s="17">
        <f t="shared" si="197"/>
        <v>20</v>
      </c>
      <c r="FA18" s="17">
        <f t="shared" si="197"/>
        <v>20</v>
      </c>
      <c r="FB18" s="17">
        <f t="shared" si="197"/>
        <v>20</v>
      </c>
      <c r="FC18" s="17">
        <f t="shared" si="197"/>
        <v>0</v>
      </c>
      <c r="FD18" s="17">
        <f t="shared" si="197"/>
        <v>0</v>
      </c>
      <c r="FE18" s="17">
        <f t="shared" ref="FE18:FR18" si="198">FE17*20</f>
        <v>0</v>
      </c>
      <c r="FF18" s="17">
        <f t="shared" si="198"/>
        <v>0</v>
      </c>
      <c r="FG18" s="17">
        <f t="shared" si="198"/>
        <v>0</v>
      </c>
      <c r="FH18" s="17">
        <f t="shared" si="198"/>
        <v>0</v>
      </c>
      <c r="FI18" s="17">
        <f t="shared" si="198"/>
        <v>0</v>
      </c>
      <c r="FJ18" s="17">
        <f t="shared" si="198"/>
        <v>0</v>
      </c>
      <c r="FK18" s="17">
        <f t="shared" si="198"/>
        <v>0</v>
      </c>
      <c r="FL18" s="17">
        <f t="shared" si="198"/>
        <v>20</v>
      </c>
      <c r="FM18" s="17">
        <f t="shared" si="198"/>
        <v>0</v>
      </c>
      <c r="FN18" s="17">
        <f t="shared" si="198"/>
        <v>0</v>
      </c>
      <c r="FO18" s="17">
        <f t="shared" si="198"/>
        <v>0</v>
      </c>
      <c r="FP18" s="17">
        <f t="shared" si="198"/>
        <v>0</v>
      </c>
      <c r="FQ18" s="17">
        <f t="shared" si="198"/>
        <v>0</v>
      </c>
      <c r="FR18" s="17">
        <f t="shared" si="198"/>
        <v>0</v>
      </c>
      <c r="FS18" s="17">
        <f t="shared" ref="FS18:FY18" si="199">FS17*20</f>
        <v>0</v>
      </c>
      <c r="FT18" s="17">
        <f t="shared" si="199"/>
        <v>0</v>
      </c>
      <c r="FU18" s="17">
        <f t="shared" si="199"/>
        <v>0</v>
      </c>
      <c r="FV18" s="17">
        <f t="shared" si="199"/>
        <v>0</v>
      </c>
      <c r="FW18" s="17">
        <f t="shared" si="199"/>
        <v>0</v>
      </c>
      <c r="FX18" s="17">
        <f t="shared" si="199"/>
        <v>0</v>
      </c>
      <c r="FY18" s="17">
        <f t="shared" si="199"/>
        <v>0</v>
      </c>
      <c r="FZ18" s="17">
        <f t="shared" ref="FZ18:GF18" si="200">FZ17*20</f>
        <v>0</v>
      </c>
      <c r="GA18" s="17">
        <f t="shared" si="200"/>
        <v>0</v>
      </c>
      <c r="GB18" s="17">
        <f t="shared" si="200"/>
        <v>0</v>
      </c>
      <c r="GC18" s="17">
        <f t="shared" si="200"/>
        <v>0</v>
      </c>
      <c r="GD18" s="17">
        <f t="shared" si="200"/>
        <v>0</v>
      </c>
      <c r="GE18" s="17">
        <f t="shared" si="200"/>
        <v>0</v>
      </c>
      <c r="GF18" s="17">
        <f t="shared" si="200"/>
        <v>0</v>
      </c>
      <c r="GG18" s="17">
        <f t="shared" ref="GG18:GK18" si="201">GG17*20</f>
        <v>0</v>
      </c>
      <c r="GH18" s="17">
        <f t="shared" si="201"/>
        <v>0</v>
      </c>
      <c r="GI18" s="17">
        <f t="shared" si="201"/>
        <v>0</v>
      </c>
      <c r="GJ18" s="17">
        <f t="shared" si="201"/>
        <v>0</v>
      </c>
      <c r="GK18" s="17">
        <f t="shared" si="201"/>
        <v>0</v>
      </c>
      <c r="GL18" s="17">
        <f t="shared" ref="GL18:GR18" si="202">GL17*20</f>
        <v>0</v>
      </c>
      <c r="GM18" s="17">
        <f t="shared" si="202"/>
        <v>0</v>
      </c>
      <c r="GN18" s="17">
        <f t="shared" si="202"/>
        <v>0</v>
      </c>
      <c r="GO18" s="17">
        <f t="shared" si="202"/>
        <v>0</v>
      </c>
      <c r="GP18" s="17">
        <f t="shared" si="202"/>
        <v>0</v>
      </c>
      <c r="GQ18" s="17">
        <f t="shared" si="202"/>
        <v>0</v>
      </c>
      <c r="GR18" s="17">
        <f t="shared" si="202"/>
        <v>0</v>
      </c>
      <c r="GS18" s="17">
        <f t="shared" ref="GS18:GT18" si="203">GS17*20</f>
        <v>0</v>
      </c>
      <c r="GT18" s="17">
        <f t="shared" si="203"/>
        <v>0</v>
      </c>
      <c r="GU18" s="17">
        <f t="shared" ref="GU18:GY18" si="204">GU17*20</f>
        <v>0</v>
      </c>
      <c r="GV18" s="17">
        <f t="shared" si="204"/>
        <v>0</v>
      </c>
      <c r="GW18" s="17">
        <f t="shared" si="204"/>
        <v>0</v>
      </c>
      <c r="GX18" s="17">
        <f t="shared" si="204"/>
        <v>80</v>
      </c>
      <c r="GY18" s="17">
        <f t="shared" si="204"/>
        <v>80</v>
      </c>
      <c r="GZ18" s="17">
        <f t="shared" ref="GZ18:HF18" si="205">GZ17*20</f>
        <v>40</v>
      </c>
      <c r="HA18" s="17">
        <f t="shared" si="205"/>
        <v>20</v>
      </c>
      <c r="HB18" s="17">
        <f t="shared" si="205"/>
        <v>20</v>
      </c>
      <c r="HC18" s="17">
        <f t="shared" si="205"/>
        <v>20</v>
      </c>
      <c r="HD18" s="17">
        <f t="shared" si="205"/>
        <v>0</v>
      </c>
      <c r="HE18" s="17">
        <f t="shared" si="205"/>
        <v>0</v>
      </c>
      <c r="HF18" s="17">
        <f t="shared" si="205"/>
        <v>0</v>
      </c>
      <c r="HG18" s="17">
        <f t="shared" ref="HG18:HM18" si="206">HG17*20</f>
        <v>20</v>
      </c>
      <c r="HH18" s="17">
        <f t="shared" si="206"/>
        <v>20</v>
      </c>
      <c r="HI18" s="17">
        <f t="shared" si="206"/>
        <v>20</v>
      </c>
      <c r="HJ18" s="17">
        <f t="shared" si="206"/>
        <v>0</v>
      </c>
      <c r="HK18" s="17">
        <f t="shared" si="206"/>
        <v>0</v>
      </c>
      <c r="HL18" s="17">
        <f t="shared" si="206"/>
        <v>0</v>
      </c>
      <c r="HM18" s="17">
        <f t="shared" si="206"/>
        <v>0</v>
      </c>
      <c r="HN18" s="17">
        <f t="shared" ref="HN18:HT18" si="207">HN17*20</f>
        <v>0</v>
      </c>
      <c r="HO18" s="17">
        <f t="shared" si="207"/>
        <v>0</v>
      </c>
      <c r="HP18" s="17">
        <f t="shared" si="207"/>
        <v>0</v>
      </c>
      <c r="HQ18" s="17">
        <f t="shared" si="207"/>
        <v>20</v>
      </c>
      <c r="HR18" s="17">
        <f t="shared" si="207"/>
        <v>20</v>
      </c>
      <c r="HS18" s="17">
        <f t="shared" si="207"/>
        <v>20</v>
      </c>
      <c r="HT18" s="17">
        <f t="shared" si="207"/>
        <v>20</v>
      </c>
      <c r="HU18" s="17">
        <f t="shared" ref="HU18:IC18" si="208">HU17*20</f>
        <v>0</v>
      </c>
      <c r="HV18" s="17">
        <f t="shared" si="208"/>
        <v>0</v>
      </c>
      <c r="HW18" s="17">
        <f t="shared" si="208"/>
        <v>0</v>
      </c>
      <c r="HX18" s="17">
        <f t="shared" si="208"/>
        <v>0</v>
      </c>
      <c r="HY18" s="17">
        <f t="shared" si="208"/>
        <v>0</v>
      </c>
      <c r="HZ18" s="17">
        <f t="shared" si="208"/>
        <v>0</v>
      </c>
      <c r="IA18" s="17">
        <f t="shared" si="208"/>
        <v>0</v>
      </c>
      <c r="IB18" s="17">
        <f t="shared" si="208"/>
        <v>0</v>
      </c>
      <c r="IC18" s="17">
        <f t="shared" si="208"/>
        <v>0</v>
      </c>
    </row>
    <row r="19" spans="1:237" s="1" customFormat="1" x14ac:dyDescent="0.35">
      <c r="A19" s="1" t="s">
        <v>54</v>
      </c>
      <c r="AD19" s="1">
        <v>1</v>
      </c>
      <c r="AE19" s="1">
        <v>1</v>
      </c>
      <c r="AG19" s="1">
        <v>2</v>
      </c>
      <c r="AH19" s="1">
        <v>2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Z19" s="1">
        <v>1</v>
      </c>
      <c r="BA19" s="1">
        <v>1</v>
      </c>
      <c r="BB19" s="1">
        <v>2</v>
      </c>
      <c r="BC19" s="1">
        <v>2</v>
      </c>
      <c r="BD19" s="1">
        <v>2</v>
      </c>
      <c r="BE19" s="1">
        <v>2</v>
      </c>
      <c r="BF19" s="1">
        <v>2</v>
      </c>
      <c r="BG19" s="1">
        <v>4</v>
      </c>
      <c r="BH19" s="1">
        <v>4</v>
      </c>
      <c r="BI19" s="1">
        <v>6</v>
      </c>
      <c r="BJ19" s="1">
        <v>6</v>
      </c>
      <c r="BK19" s="1">
        <v>6</v>
      </c>
      <c r="BL19" s="1">
        <v>6</v>
      </c>
      <c r="BM19" s="1">
        <v>6</v>
      </c>
      <c r="BN19" s="1">
        <v>6</v>
      </c>
      <c r="BO19" s="1">
        <v>6</v>
      </c>
      <c r="BP19" s="1">
        <v>1</v>
      </c>
      <c r="BQ19" s="1">
        <v>1</v>
      </c>
      <c r="BR19" s="1">
        <v>2</v>
      </c>
      <c r="BS19" s="14">
        <v>1</v>
      </c>
      <c r="BT19" s="14">
        <v>0</v>
      </c>
      <c r="BU19" s="14">
        <v>2</v>
      </c>
      <c r="BV19" s="14">
        <v>2</v>
      </c>
      <c r="BW19" s="14">
        <v>1</v>
      </c>
      <c r="BX19" s="14">
        <v>1</v>
      </c>
      <c r="BY19" s="14">
        <v>1</v>
      </c>
      <c r="BZ19" s="14">
        <v>1</v>
      </c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>
        <v>1</v>
      </c>
      <c r="CP19" s="14">
        <v>1</v>
      </c>
      <c r="CQ19" s="14">
        <v>1</v>
      </c>
      <c r="CR19" s="14">
        <v>1</v>
      </c>
      <c r="CS19" s="14">
        <v>1</v>
      </c>
      <c r="CT19" s="14">
        <v>1</v>
      </c>
      <c r="CU19" s="14">
        <v>1</v>
      </c>
      <c r="CV19" s="14">
        <v>1</v>
      </c>
      <c r="CW19" s="14"/>
      <c r="CX19" s="14"/>
      <c r="CY19" s="14"/>
      <c r="CZ19" s="14"/>
      <c r="DA19" s="14"/>
      <c r="DB19" s="14"/>
      <c r="DC19" s="14"/>
      <c r="DD19" s="14"/>
      <c r="DE19" s="14"/>
      <c r="DF19" s="14">
        <v>1</v>
      </c>
      <c r="DG19" s="14">
        <v>1</v>
      </c>
      <c r="DH19" s="14">
        <v>1</v>
      </c>
      <c r="DI19" s="14">
        <v>1</v>
      </c>
      <c r="DJ19" s="14">
        <v>1</v>
      </c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>
        <v>1</v>
      </c>
      <c r="DY19" s="14">
        <v>1</v>
      </c>
      <c r="DZ19" s="14">
        <v>1</v>
      </c>
      <c r="EA19" s="14"/>
      <c r="EB19" s="14"/>
      <c r="EC19" s="14"/>
      <c r="ED19" s="14">
        <v>1</v>
      </c>
      <c r="EE19" s="14">
        <v>1</v>
      </c>
      <c r="EF19" s="14">
        <v>1</v>
      </c>
      <c r="EG19" s="14">
        <v>1</v>
      </c>
      <c r="EH19" s="14">
        <v>2</v>
      </c>
      <c r="EI19" s="14">
        <v>2</v>
      </c>
      <c r="EJ19" s="14">
        <v>2</v>
      </c>
      <c r="EK19" s="14">
        <v>2</v>
      </c>
      <c r="EL19" s="14">
        <v>3</v>
      </c>
      <c r="EM19" s="14">
        <v>4</v>
      </c>
      <c r="EN19" s="14">
        <v>2</v>
      </c>
      <c r="EO19" s="14">
        <v>2</v>
      </c>
      <c r="EP19" s="14">
        <v>2</v>
      </c>
      <c r="EQ19" s="14">
        <v>2</v>
      </c>
      <c r="ER19" s="14">
        <v>2</v>
      </c>
      <c r="ES19" s="14">
        <v>2</v>
      </c>
      <c r="ET19" s="14">
        <v>2</v>
      </c>
      <c r="EU19" s="14">
        <v>2</v>
      </c>
      <c r="EV19" s="14">
        <v>1</v>
      </c>
      <c r="EW19" s="14">
        <v>1</v>
      </c>
      <c r="EX19" s="14">
        <v>1</v>
      </c>
      <c r="EY19" s="14">
        <v>1</v>
      </c>
      <c r="EZ19" s="14">
        <v>1</v>
      </c>
      <c r="FA19" s="14">
        <v>1</v>
      </c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>
        <v>1</v>
      </c>
      <c r="FR19" s="14">
        <v>2</v>
      </c>
      <c r="FS19" s="14"/>
      <c r="FT19" s="14"/>
      <c r="FU19" s="14"/>
      <c r="FV19" s="14"/>
      <c r="FW19" s="14"/>
      <c r="FX19" s="14"/>
      <c r="FY19" s="14"/>
      <c r="FZ19" s="14"/>
      <c r="GA19" s="14">
        <v>1</v>
      </c>
      <c r="GB19" s="14">
        <v>1</v>
      </c>
      <c r="GC19" s="14">
        <v>1</v>
      </c>
      <c r="GD19" s="14">
        <v>1</v>
      </c>
      <c r="GE19" s="14">
        <v>1</v>
      </c>
      <c r="GF19" s="14">
        <v>1</v>
      </c>
      <c r="GG19" s="14">
        <v>1</v>
      </c>
      <c r="GH19" s="14">
        <v>1</v>
      </c>
      <c r="GI19" s="14">
        <v>1</v>
      </c>
      <c r="GJ19" s="14">
        <v>1</v>
      </c>
      <c r="GK19" s="14">
        <v>1</v>
      </c>
      <c r="GL19" s="14"/>
      <c r="GM19" s="14"/>
      <c r="GN19" s="14">
        <v>1</v>
      </c>
      <c r="GO19" s="14">
        <v>1</v>
      </c>
      <c r="GP19" s="14">
        <v>1</v>
      </c>
      <c r="GQ19" s="14">
        <v>1</v>
      </c>
      <c r="GR19" s="14">
        <v>2</v>
      </c>
      <c r="GS19" s="14">
        <v>1</v>
      </c>
      <c r="GT19" s="14">
        <v>1</v>
      </c>
      <c r="GU19" s="14">
        <v>1</v>
      </c>
      <c r="GV19" s="14">
        <v>1</v>
      </c>
      <c r="GW19" s="14">
        <v>1</v>
      </c>
      <c r="GX19" s="14">
        <v>1</v>
      </c>
      <c r="GY19" s="14">
        <v>1</v>
      </c>
      <c r="GZ19" s="14">
        <v>1</v>
      </c>
      <c r="HA19" s="14"/>
      <c r="HB19" s="14"/>
      <c r="HC19" s="14"/>
      <c r="HD19" s="14"/>
      <c r="HE19" s="14"/>
      <c r="HF19" s="14"/>
      <c r="HG19" s="14">
        <v>1</v>
      </c>
      <c r="HH19" s="14">
        <v>1</v>
      </c>
      <c r="HI19" s="14">
        <v>1</v>
      </c>
      <c r="HJ19" s="14">
        <v>1</v>
      </c>
      <c r="HK19" s="14">
        <v>1</v>
      </c>
      <c r="HL19" s="14">
        <v>1</v>
      </c>
      <c r="HM19" s="14">
        <v>1</v>
      </c>
      <c r="HN19" s="14">
        <v>3</v>
      </c>
      <c r="HO19" s="14">
        <v>3</v>
      </c>
      <c r="HP19" s="14">
        <v>3</v>
      </c>
      <c r="HQ19" s="14">
        <v>4</v>
      </c>
      <c r="HR19" s="14">
        <v>4</v>
      </c>
      <c r="HS19" s="14">
        <v>4</v>
      </c>
      <c r="HT19" s="14">
        <v>4</v>
      </c>
      <c r="HU19" s="14">
        <v>3</v>
      </c>
      <c r="HV19" s="14"/>
      <c r="HW19" s="14"/>
      <c r="HX19" s="14"/>
      <c r="HY19" s="14"/>
      <c r="HZ19" s="14"/>
      <c r="IA19" s="14"/>
      <c r="IB19" s="14"/>
      <c r="IC19" s="14"/>
    </row>
    <row r="20" spans="1:237" s="2" customFormat="1" x14ac:dyDescent="0.35">
      <c r="A20" s="2" t="s">
        <v>41</v>
      </c>
      <c r="BN20" s="2">
        <f>BN19*20</f>
        <v>120</v>
      </c>
      <c r="BO20" s="2">
        <f>BO19*20</f>
        <v>120</v>
      </c>
      <c r="BP20" s="2">
        <f t="shared" ref="BP20:BV20" si="209">BP19*20</f>
        <v>20</v>
      </c>
      <c r="BQ20" s="2">
        <f t="shared" si="209"/>
        <v>20</v>
      </c>
      <c r="BR20" s="2">
        <f t="shared" si="209"/>
        <v>40</v>
      </c>
      <c r="BS20" s="17">
        <f t="shared" si="209"/>
        <v>20</v>
      </c>
      <c r="BT20" s="17">
        <f t="shared" si="209"/>
        <v>0</v>
      </c>
      <c r="BU20" s="17">
        <f t="shared" si="209"/>
        <v>40</v>
      </c>
      <c r="BV20" s="17">
        <f t="shared" si="209"/>
        <v>40</v>
      </c>
      <c r="BW20" s="17">
        <f t="shared" ref="BW20:CC20" si="210">BW19*20</f>
        <v>20</v>
      </c>
      <c r="BX20" s="17">
        <f t="shared" si="210"/>
        <v>20</v>
      </c>
      <c r="BY20" s="17">
        <f t="shared" si="210"/>
        <v>20</v>
      </c>
      <c r="BZ20" s="17">
        <f t="shared" si="210"/>
        <v>20</v>
      </c>
      <c r="CA20" s="17">
        <f t="shared" si="210"/>
        <v>0</v>
      </c>
      <c r="CB20" s="17">
        <f t="shared" si="210"/>
        <v>0</v>
      </c>
      <c r="CC20" s="17">
        <f t="shared" si="210"/>
        <v>0</v>
      </c>
      <c r="CD20" s="17">
        <f t="shared" ref="CD20:CJ20" si="211">CD19*20</f>
        <v>0</v>
      </c>
      <c r="CE20" s="17">
        <f t="shared" si="211"/>
        <v>0</v>
      </c>
      <c r="CF20" s="17">
        <f t="shared" si="211"/>
        <v>0</v>
      </c>
      <c r="CG20" s="17">
        <f t="shared" si="211"/>
        <v>0</v>
      </c>
      <c r="CH20" s="17">
        <f t="shared" si="211"/>
        <v>0</v>
      </c>
      <c r="CI20" s="17">
        <f t="shared" si="211"/>
        <v>0</v>
      </c>
      <c r="CJ20" s="17">
        <f t="shared" si="211"/>
        <v>0</v>
      </c>
      <c r="CK20" s="17">
        <f t="shared" ref="CK20:CQ20" si="212">CK19*20</f>
        <v>0</v>
      </c>
      <c r="CL20" s="17">
        <f t="shared" si="212"/>
        <v>0</v>
      </c>
      <c r="CM20" s="17">
        <f t="shared" si="212"/>
        <v>0</v>
      </c>
      <c r="CN20" s="17">
        <f t="shared" si="212"/>
        <v>0</v>
      </c>
      <c r="CO20" s="17">
        <f t="shared" si="212"/>
        <v>20</v>
      </c>
      <c r="CP20" s="17">
        <f t="shared" si="212"/>
        <v>20</v>
      </c>
      <c r="CQ20" s="17">
        <f t="shared" si="212"/>
        <v>20</v>
      </c>
      <c r="CR20" s="17">
        <f t="shared" ref="CR20:CX20" si="213">CR19*20</f>
        <v>20</v>
      </c>
      <c r="CS20" s="17">
        <f t="shared" si="213"/>
        <v>20</v>
      </c>
      <c r="CT20" s="17">
        <f t="shared" si="213"/>
        <v>20</v>
      </c>
      <c r="CU20" s="17">
        <f t="shared" si="213"/>
        <v>20</v>
      </c>
      <c r="CV20" s="17">
        <f t="shared" si="213"/>
        <v>20</v>
      </c>
      <c r="CW20" s="17">
        <f t="shared" si="213"/>
        <v>0</v>
      </c>
      <c r="CX20" s="17">
        <f t="shared" si="213"/>
        <v>0</v>
      </c>
      <c r="CY20" s="17">
        <f t="shared" ref="CY20:DE20" si="214">CY19*20</f>
        <v>0</v>
      </c>
      <c r="CZ20" s="17">
        <f t="shared" si="214"/>
        <v>0</v>
      </c>
      <c r="DA20" s="17">
        <f t="shared" si="214"/>
        <v>0</v>
      </c>
      <c r="DB20" s="17">
        <f t="shared" si="214"/>
        <v>0</v>
      </c>
      <c r="DC20" s="17">
        <f t="shared" si="214"/>
        <v>0</v>
      </c>
      <c r="DD20" s="17">
        <f t="shared" si="214"/>
        <v>0</v>
      </c>
      <c r="DE20" s="17">
        <f t="shared" si="214"/>
        <v>0</v>
      </c>
      <c r="DF20" s="17">
        <f t="shared" ref="DF20:DM20" si="215">DF19*20</f>
        <v>20</v>
      </c>
      <c r="DG20" s="17">
        <f t="shared" si="215"/>
        <v>20</v>
      </c>
      <c r="DH20" s="17">
        <f t="shared" si="215"/>
        <v>20</v>
      </c>
      <c r="DI20" s="17">
        <f t="shared" si="215"/>
        <v>20</v>
      </c>
      <c r="DJ20" s="17">
        <f t="shared" si="215"/>
        <v>20</v>
      </c>
      <c r="DK20" s="17">
        <f t="shared" si="215"/>
        <v>0</v>
      </c>
      <c r="DL20" s="17">
        <f t="shared" si="215"/>
        <v>0</v>
      </c>
      <c r="DM20" s="17">
        <f t="shared" si="215"/>
        <v>0</v>
      </c>
      <c r="DN20" s="17">
        <f t="shared" ref="DN20:DS20" si="216">DN19*20</f>
        <v>0</v>
      </c>
      <c r="DO20" s="17">
        <f t="shared" si="216"/>
        <v>0</v>
      </c>
      <c r="DP20" s="17">
        <f t="shared" si="216"/>
        <v>0</v>
      </c>
      <c r="DQ20" s="17">
        <f t="shared" si="216"/>
        <v>0</v>
      </c>
      <c r="DR20" s="17">
        <f t="shared" si="216"/>
        <v>0</v>
      </c>
      <c r="DS20" s="17">
        <f t="shared" si="216"/>
        <v>0</v>
      </c>
      <c r="DT20" s="17">
        <f t="shared" ref="DT20:DZ20" si="217">DT19*20</f>
        <v>0</v>
      </c>
      <c r="DU20" s="17">
        <f t="shared" si="217"/>
        <v>0</v>
      </c>
      <c r="DV20" s="17">
        <f t="shared" si="217"/>
        <v>0</v>
      </c>
      <c r="DW20" s="17">
        <f t="shared" si="217"/>
        <v>0</v>
      </c>
      <c r="DX20" s="17">
        <f t="shared" si="217"/>
        <v>20</v>
      </c>
      <c r="DY20" s="17">
        <f t="shared" si="217"/>
        <v>20</v>
      </c>
      <c r="DZ20" s="17">
        <f t="shared" si="217"/>
        <v>20</v>
      </c>
      <c r="EA20" s="17">
        <f t="shared" ref="EA20:EG20" si="218">EA19*20</f>
        <v>0</v>
      </c>
      <c r="EB20" s="17">
        <f t="shared" si="218"/>
        <v>0</v>
      </c>
      <c r="EC20" s="17">
        <f t="shared" si="218"/>
        <v>0</v>
      </c>
      <c r="ED20" s="17">
        <f t="shared" si="218"/>
        <v>20</v>
      </c>
      <c r="EE20" s="17">
        <f t="shared" si="218"/>
        <v>20</v>
      </c>
      <c r="EF20" s="17">
        <f t="shared" si="218"/>
        <v>20</v>
      </c>
      <c r="EG20" s="17">
        <f t="shared" si="218"/>
        <v>20</v>
      </c>
      <c r="EH20" s="17">
        <f t="shared" ref="EH20:EN20" si="219">EH19*20</f>
        <v>40</v>
      </c>
      <c r="EI20" s="17">
        <f t="shared" si="219"/>
        <v>40</v>
      </c>
      <c r="EJ20" s="17">
        <f t="shared" si="219"/>
        <v>40</v>
      </c>
      <c r="EK20" s="17">
        <f t="shared" si="219"/>
        <v>40</v>
      </c>
      <c r="EL20" s="17">
        <f t="shared" si="219"/>
        <v>60</v>
      </c>
      <c r="EM20" s="17">
        <f t="shared" si="219"/>
        <v>80</v>
      </c>
      <c r="EN20" s="17">
        <f t="shared" si="219"/>
        <v>40</v>
      </c>
      <c r="EO20" s="17">
        <f t="shared" ref="EO20:EU20" si="220">EO19*20</f>
        <v>40</v>
      </c>
      <c r="EP20" s="17">
        <f t="shared" si="220"/>
        <v>40</v>
      </c>
      <c r="EQ20" s="17">
        <f t="shared" si="220"/>
        <v>40</v>
      </c>
      <c r="ER20" s="17">
        <f t="shared" si="220"/>
        <v>40</v>
      </c>
      <c r="ES20" s="17">
        <f t="shared" si="220"/>
        <v>40</v>
      </c>
      <c r="ET20" s="17">
        <f t="shared" si="220"/>
        <v>40</v>
      </c>
      <c r="EU20" s="17">
        <f t="shared" si="220"/>
        <v>40</v>
      </c>
      <c r="EV20" s="17">
        <f t="shared" ref="EV20:FD20" si="221">EV19*20</f>
        <v>20</v>
      </c>
      <c r="EW20" s="17">
        <f t="shared" si="221"/>
        <v>20</v>
      </c>
      <c r="EX20" s="17">
        <f t="shared" si="221"/>
        <v>20</v>
      </c>
      <c r="EY20" s="17">
        <f t="shared" si="221"/>
        <v>20</v>
      </c>
      <c r="EZ20" s="17">
        <f t="shared" si="221"/>
        <v>20</v>
      </c>
      <c r="FA20" s="17">
        <f t="shared" si="221"/>
        <v>20</v>
      </c>
      <c r="FB20" s="17">
        <f t="shared" si="221"/>
        <v>0</v>
      </c>
      <c r="FC20" s="17">
        <f t="shared" si="221"/>
        <v>0</v>
      </c>
      <c r="FD20" s="17">
        <f t="shared" si="221"/>
        <v>0</v>
      </c>
      <c r="FE20" s="17">
        <f t="shared" ref="FE20:FR20" si="222">FE19*20</f>
        <v>0</v>
      </c>
      <c r="FF20" s="17">
        <f t="shared" si="222"/>
        <v>0</v>
      </c>
      <c r="FG20" s="17">
        <f t="shared" si="222"/>
        <v>0</v>
      </c>
      <c r="FH20" s="17">
        <f t="shared" si="222"/>
        <v>0</v>
      </c>
      <c r="FI20" s="17">
        <f t="shared" si="222"/>
        <v>0</v>
      </c>
      <c r="FJ20" s="17">
        <f t="shared" si="222"/>
        <v>0</v>
      </c>
      <c r="FK20" s="17">
        <f t="shared" si="222"/>
        <v>0</v>
      </c>
      <c r="FL20" s="17">
        <f t="shared" si="222"/>
        <v>0</v>
      </c>
      <c r="FM20" s="17">
        <f t="shared" si="222"/>
        <v>0</v>
      </c>
      <c r="FN20" s="17">
        <f t="shared" si="222"/>
        <v>0</v>
      </c>
      <c r="FO20" s="17">
        <f t="shared" si="222"/>
        <v>0</v>
      </c>
      <c r="FP20" s="17">
        <f t="shared" si="222"/>
        <v>0</v>
      </c>
      <c r="FQ20" s="17">
        <f t="shared" si="222"/>
        <v>20</v>
      </c>
      <c r="FR20" s="17">
        <f t="shared" si="222"/>
        <v>40</v>
      </c>
      <c r="FS20" s="17">
        <f t="shared" ref="FS20:FY20" si="223">FS19*20</f>
        <v>0</v>
      </c>
      <c r="FT20" s="17">
        <f t="shared" si="223"/>
        <v>0</v>
      </c>
      <c r="FU20" s="17">
        <f t="shared" si="223"/>
        <v>0</v>
      </c>
      <c r="FV20" s="17">
        <f t="shared" si="223"/>
        <v>0</v>
      </c>
      <c r="FW20" s="17">
        <f t="shared" si="223"/>
        <v>0</v>
      </c>
      <c r="FX20" s="17">
        <f t="shared" si="223"/>
        <v>0</v>
      </c>
      <c r="FY20" s="17">
        <f t="shared" si="223"/>
        <v>0</v>
      </c>
      <c r="FZ20" s="17">
        <f t="shared" ref="FZ20:GF20" si="224">FZ19*20</f>
        <v>0</v>
      </c>
      <c r="GA20" s="17">
        <f t="shared" si="224"/>
        <v>20</v>
      </c>
      <c r="GB20" s="17">
        <f t="shared" si="224"/>
        <v>20</v>
      </c>
      <c r="GC20" s="17">
        <f t="shared" si="224"/>
        <v>20</v>
      </c>
      <c r="GD20" s="17">
        <f t="shared" si="224"/>
        <v>20</v>
      </c>
      <c r="GE20" s="17">
        <f t="shared" si="224"/>
        <v>20</v>
      </c>
      <c r="GF20" s="17">
        <f t="shared" si="224"/>
        <v>20</v>
      </c>
      <c r="GG20" s="17">
        <f t="shared" ref="GG20:GK20" si="225">GG19*20</f>
        <v>20</v>
      </c>
      <c r="GH20" s="17">
        <f t="shared" si="225"/>
        <v>20</v>
      </c>
      <c r="GI20" s="17">
        <f t="shared" si="225"/>
        <v>20</v>
      </c>
      <c r="GJ20" s="17">
        <f t="shared" si="225"/>
        <v>20</v>
      </c>
      <c r="GK20" s="17">
        <f t="shared" si="225"/>
        <v>20</v>
      </c>
      <c r="GL20" s="17">
        <f t="shared" ref="GL20:GR20" si="226">GL19*20</f>
        <v>0</v>
      </c>
      <c r="GM20" s="17">
        <f t="shared" si="226"/>
        <v>0</v>
      </c>
      <c r="GN20" s="17">
        <f t="shared" si="226"/>
        <v>20</v>
      </c>
      <c r="GO20" s="17">
        <f t="shared" si="226"/>
        <v>20</v>
      </c>
      <c r="GP20" s="17">
        <f t="shared" si="226"/>
        <v>20</v>
      </c>
      <c r="GQ20" s="17">
        <f t="shared" si="226"/>
        <v>20</v>
      </c>
      <c r="GR20" s="17">
        <f t="shared" si="226"/>
        <v>40</v>
      </c>
      <c r="GS20" s="17">
        <f t="shared" ref="GS20:GT20" si="227">GS19*20</f>
        <v>20</v>
      </c>
      <c r="GT20" s="17">
        <f t="shared" si="227"/>
        <v>20</v>
      </c>
      <c r="GU20" s="17">
        <f t="shared" ref="GU20:GY20" si="228">GU19*20</f>
        <v>20</v>
      </c>
      <c r="GV20" s="17">
        <f t="shared" si="228"/>
        <v>20</v>
      </c>
      <c r="GW20" s="17">
        <f t="shared" si="228"/>
        <v>20</v>
      </c>
      <c r="GX20" s="17">
        <f t="shared" si="228"/>
        <v>20</v>
      </c>
      <c r="GY20" s="17">
        <f t="shared" si="228"/>
        <v>20</v>
      </c>
      <c r="GZ20" s="17">
        <f t="shared" ref="GZ20:HF20" si="229">GZ19*20</f>
        <v>20</v>
      </c>
      <c r="HA20" s="17">
        <f t="shared" si="229"/>
        <v>0</v>
      </c>
      <c r="HB20" s="17">
        <f t="shared" si="229"/>
        <v>0</v>
      </c>
      <c r="HC20" s="17">
        <f t="shared" si="229"/>
        <v>0</v>
      </c>
      <c r="HD20" s="17">
        <f t="shared" si="229"/>
        <v>0</v>
      </c>
      <c r="HE20" s="17">
        <f t="shared" si="229"/>
        <v>0</v>
      </c>
      <c r="HF20" s="17">
        <f t="shared" si="229"/>
        <v>0</v>
      </c>
      <c r="HG20" s="17">
        <f t="shared" ref="HG20:HM20" si="230">HG19*20</f>
        <v>20</v>
      </c>
      <c r="HH20" s="17">
        <f t="shared" si="230"/>
        <v>20</v>
      </c>
      <c r="HI20" s="17">
        <f t="shared" si="230"/>
        <v>20</v>
      </c>
      <c r="HJ20" s="17">
        <f t="shared" si="230"/>
        <v>20</v>
      </c>
      <c r="HK20" s="17">
        <f t="shared" si="230"/>
        <v>20</v>
      </c>
      <c r="HL20" s="17">
        <f t="shared" si="230"/>
        <v>20</v>
      </c>
      <c r="HM20" s="17">
        <f t="shared" si="230"/>
        <v>20</v>
      </c>
      <c r="HN20" s="17">
        <f t="shared" ref="HN20:HT20" si="231">HN19*20</f>
        <v>60</v>
      </c>
      <c r="HO20" s="17">
        <f t="shared" si="231"/>
        <v>60</v>
      </c>
      <c r="HP20" s="17">
        <f t="shared" si="231"/>
        <v>60</v>
      </c>
      <c r="HQ20" s="17">
        <f t="shared" si="231"/>
        <v>80</v>
      </c>
      <c r="HR20" s="17">
        <f t="shared" si="231"/>
        <v>80</v>
      </c>
      <c r="HS20" s="17">
        <f t="shared" si="231"/>
        <v>80</v>
      </c>
      <c r="HT20" s="17">
        <f t="shared" si="231"/>
        <v>80</v>
      </c>
      <c r="HU20" s="17">
        <f t="shared" ref="HU20:IC20" si="232">HU19*20</f>
        <v>60</v>
      </c>
      <c r="HV20" s="17">
        <f t="shared" si="232"/>
        <v>0</v>
      </c>
      <c r="HW20" s="17">
        <f t="shared" si="232"/>
        <v>0</v>
      </c>
      <c r="HX20" s="17">
        <f t="shared" si="232"/>
        <v>0</v>
      </c>
      <c r="HY20" s="17">
        <f t="shared" si="232"/>
        <v>0</v>
      </c>
      <c r="HZ20" s="17">
        <f t="shared" si="232"/>
        <v>0</v>
      </c>
      <c r="IA20" s="17">
        <f t="shared" si="232"/>
        <v>0</v>
      </c>
      <c r="IB20" s="17">
        <f t="shared" si="232"/>
        <v>0</v>
      </c>
      <c r="IC20" s="17">
        <f t="shared" si="232"/>
        <v>0</v>
      </c>
    </row>
    <row r="21" spans="1:237" s="10" customFormat="1" x14ac:dyDescent="0.35">
      <c r="A21" s="10" t="s">
        <v>55</v>
      </c>
      <c r="AD21" s="10">
        <f>SUM(AD15:AD19)*33.3</f>
        <v>99.899999999999991</v>
      </c>
      <c r="AE21" s="10">
        <f>SUM(AE15:AE19)*33.3</f>
        <v>99.899999999999991</v>
      </c>
      <c r="AG21" s="16">
        <f t="shared" ref="AG21:AR21" si="233">SUM(AG15:AG19)*33.3</f>
        <v>99.899999999999991</v>
      </c>
      <c r="AH21" s="16">
        <f t="shared" si="233"/>
        <v>99.899999999999991</v>
      </c>
      <c r="AI21" s="16">
        <f t="shared" si="233"/>
        <v>66.599999999999994</v>
      </c>
      <c r="AJ21" s="16">
        <f t="shared" si="233"/>
        <v>66.599999999999994</v>
      </c>
      <c r="AK21" s="16">
        <f t="shared" si="233"/>
        <v>66.599999999999994</v>
      </c>
      <c r="AL21" s="16">
        <f t="shared" si="233"/>
        <v>99.899999999999991</v>
      </c>
      <c r="AM21" s="16">
        <f t="shared" si="233"/>
        <v>99.899999999999991</v>
      </c>
      <c r="AN21" s="16">
        <f t="shared" si="233"/>
        <v>66.599999999999994</v>
      </c>
      <c r="AO21" s="16">
        <f t="shared" si="233"/>
        <v>66.599999999999994</v>
      </c>
      <c r="AP21" s="16">
        <f t="shared" si="233"/>
        <v>66.599999999999994</v>
      </c>
      <c r="AQ21" s="16">
        <f t="shared" si="233"/>
        <v>66.599999999999994</v>
      </c>
      <c r="AR21" s="16">
        <f t="shared" si="233"/>
        <v>66.599999999999994</v>
      </c>
      <c r="AS21" s="16">
        <f t="shared" ref="AS21:BM21" si="234">SUM(AS15:AS19)*20</f>
        <v>40</v>
      </c>
      <c r="AT21" s="16">
        <f t="shared" si="234"/>
        <v>40</v>
      </c>
      <c r="AU21" s="16">
        <f t="shared" si="234"/>
        <v>60</v>
      </c>
      <c r="AV21" s="16">
        <f t="shared" si="234"/>
        <v>60</v>
      </c>
      <c r="AW21" s="16">
        <f t="shared" si="234"/>
        <v>60</v>
      </c>
      <c r="AX21" s="16">
        <f t="shared" si="234"/>
        <v>60</v>
      </c>
      <c r="AY21" s="16">
        <f t="shared" si="234"/>
        <v>40</v>
      </c>
      <c r="AZ21" s="16">
        <f t="shared" si="234"/>
        <v>60</v>
      </c>
      <c r="BA21" s="16">
        <f t="shared" si="234"/>
        <v>100</v>
      </c>
      <c r="BB21" s="16">
        <f t="shared" si="234"/>
        <v>60</v>
      </c>
      <c r="BC21" s="16">
        <f t="shared" si="234"/>
        <v>60</v>
      </c>
      <c r="BD21" s="16">
        <f t="shared" si="234"/>
        <v>60</v>
      </c>
      <c r="BE21" s="16">
        <f t="shared" si="234"/>
        <v>60</v>
      </c>
      <c r="BF21" s="16">
        <f t="shared" si="234"/>
        <v>60</v>
      </c>
      <c r="BG21" s="16">
        <f t="shared" si="234"/>
        <v>120</v>
      </c>
      <c r="BH21" s="16">
        <f t="shared" si="234"/>
        <v>120</v>
      </c>
      <c r="BI21" s="16">
        <f t="shared" si="234"/>
        <v>140</v>
      </c>
      <c r="BJ21" s="16">
        <f t="shared" si="234"/>
        <v>140</v>
      </c>
      <c r="BK21" s="16">
        <f t="shared" si="234"/>
        <v>160</v>
      </c>
      <c r="BL21" s="16">
        <f t="shared" si="234"/>
        <v>160</v>
      </c>
      <c r="BM21" s="16">
        <f t="shared" si="234"/>
        <v>140</v>
      </c>
      <c r="BN21" s="16">
        <f>SUM(BN16,BN18,BN20,)</f>
        <v>120</v>
      </c>
      <c r="BO21" s="16">
        <f t="shared" ref="BO21:BV21" si="235">SUM(BO16,BO18,BO20,)</f>
        <v>160</v>
      </c>
      <c r="BP21" s="16">
        <f t="shared" si="235"/>
        <v>60</v>
      </c>
      <c r="BQ21" s="16">
        <f t="shared" si="235"/>
        <v>60</v>
      </c>
      <c r="BR21" s="16">
        <f t="shared" si="235"/>
        <v>60</v>
      </c>
      <c r="BS21" s="16">
        <f t="shared" si="235"/>
        <v>40</v>
      </c>
      <c r="BT21" s="16">
        <f t="shared" si="235"/>
        <v>20</v>
      </c>
      <c r="BU21" s="16">
        <f t="shared" si="235"/>
        <v>60</v>
      </c>
      <c r="BV21" s="16">
        <f t="shared" si="235"/>
        <v>60</v>
      </c>
      <c r="BW21" s="16">
        <f t="shared" ref="BW21:CC21" si="236">SUM(BW16,BW18,BW20,)</f>
        <v>40</v>
      </c>
      <c r="BX21" s="16">
        <f t="shared" si="236"/>
        <v>40</v>
      </c>
      <c r="BY21" s="16">
        <f t="shared" si="236"/>
        <v>40</v>
      </c>
      <c r="BZ21" s="16">
        <f t="shared" si="236"/>
        <v>40</v>
      </c>
      <c r="CA21" s="16">
        <f t="shared" si="236"/>
        <v>0</v>
      </c>
      <c r="CB21" s="16">
        <f t="shared" si="236"/>
        <v>20</v>
      </c>
      <c r="CC21" s="16">
        <f t="shared" si="236"/>
        <v>20</v>
      </c>
      <c r="CD21" s="16">
        <f t="shared" ref="CD21:CJ21" si="237">SUM(CD16,CD18,CD20,)</f>
        <v>0</v>
      </c>
      <c r="CE21" s="16">
        <f t="shared" si="237"/>
        <v>0</v>
      </c>
      <c r="CF21" s="16">
        <f t="shared" si="237"/>
        <v>0</v>
      </c>
      <c r="CG21" s="16">
        <f t="shared" si="237"/>
        <v>0</v>
      </c>
      <c r="CH21" s="16">
        <f t="shared" si="237"/>
        <v>0</v>
      </c>
      <c r="CI21" s="16">
        <f t="shared" si="237"/>
        <v>0</v>
      </c>
      <c r="CJ21" s="16">
        <f t="shared" si="237"/>
        <v>0</v>
      </c>
      <c r="CK21" s="16">
        <f t="shared" ref="CK21:CQ21" si="238">SUM(CK16,CK18,CK20,)</f>
        <v>0</v>
      </c>
      <c r="CL21" s="16">
        <f t="shared" si="238"/>
        <v>0</v>
      </c>
      <c r="CM21" s="16">
        <f t="shared" si="238"/>
        <v>0</v>
      </c>
      <c r="CN21" s="16">
        <f t="shared" si="238"/>
        <v>0</v>
      </c>
      <c r="CO21" s="16">
        <f t="shared" si="238"/>
        <v>60</v>
      </c>
      <c r="CP21" s="16">
        <f t="shared" si="238"/>
        <v>60</v>
      </c>
      <c r="CQ21" s="16">
        <f t="shared" si="238"/>
        <v>60</v>
      </c>
      <c r="CR21" s="16">
        <f t="shared" ref="CR21:CX21" si="239">SUM(CR16,CR18,CR20,)</f>
        <v>20</v>
      </c>
      <c r="CS21" s="16">
        <f t="shared" si="239"/>
        <v>20</v>
      </c>
      <c r="CT21" s="16">
        <f t="shared" si="239"/>
        <v>20</v>
      </c>
      <c r="CU21" s="16">
        <f t="shared" si="239"/>
        <v>20</v>
      </c>
      <c r="CV21" s="16">
        <f t="shared" si="239"/>
        <v>20</v>
      </c>
      <c r="CW21" s="16">
        <f t="shared" si="239"/>
        <v>20</v>
      </c>
      <c r="CX21" s="16">
        <f t="shared" si="239"/>
        <v>20</v>
      </c>
      <c r="CY21" s="16">
        <f t="shared" ref="CY21:DE21" si="240">SUM(CY16,CY18,CY20,)</f>
        <v>60</v>
      </c>
      <c r="CZ21" s="16">
        <f t="shared" si="240"/>
        <v>60</v>
      </c>
      <c r="DA21" s="16">
        <f t="shared" si="240"/>
        <v>40</v>
      </c>
      <c r="DB21" s="16">
        <f t="shared" si="240"/>
        <v>40</v>
      </c>
      <c r="DC21" s="16">
        <f t="shared" si="240"/>
        <v>40</v>
      </c>
      <c r="DD21" s="16">
        <f t="shared" si="240"/>
        <v>20</v>
      </c>
      <c r="DE21" s="16">
        <f t="shared" si="240"/>
        <v>20</v>
      </c>
      <c r="DF21" s="16">
        <f t="shared" ref="DF21:DM21" si="241">SUM(DF16,DF18,DF20,)</f>
        <v>40</v>
      </c>
      <c r="DG21" s="16">
        <f t="shared" si="241"/>
        <v>40</v>
      </c>
      <c r="DH21" s="16">
        <f t="shared" si="241"/>
        <v>40</v>
      </c>
      <c r="DI21" s="16">
        <f t="shared" si="241"/>
        <v>40</v>
      </c>
      <c r="DJ21" s="16">
        <f t="shared" si="241"/>
        <v>40</v>
      </c>
      <c r="DK21" s="16">
        <f t="shared" si="241"/>
        <v>0</v>
      </c>
      <c r="DL21" s="16">
        <f t="shared" si="241"/>
        <v>0</v>
      </c>
      <c r="DM21" s="16">
        <f t="shared" si="241"/>
        <v>20</v>
      </c>
      <c r="DN21" s="16">
        <f t="shared" ref="DN21:DS21" si="242">SUM(DN16,DN18,DN20,)</f>
        <v>20</v>
      </c>
      <c r="DO21" s="16">
        <f t="shared" si="242"/>
        <v>20</v>
      </c>
      <c r="DP21" s="16">
        <f t="shared" si="242"/>
        <v>20</v>
      </c>
      <c r="DQ21" s="16">
        <f t="shared" si="242"/>
        <v>20</v>
      </c>
      <c r="DR21" s="16">
        <f t="shared" si="242"/>
        <v>0</v>
      </c>
      <c r="DS21" s="16">
        <f t="shared" si="242"/>
        <v>0</v>
      </c>
      <c r="DT21" s="16">
        <f t="shared" ref="DT21:DZ21" si="243">SUM(DT16,DT18,DT20,)</f>
        <v>40</v>
      </c>
      <c r="DU21" s="16">
        <f t="shared" si="243"/>
        <v>40</v>
      </c>
      <c r="DV21" s="16">
        <f t="shared" si="243"/>
        <v>40</v>
      </c>
      <c r="DW21" s="16">
        <f t="shared" si="243"/>
        <v>40</v>
      </c>
      <c r="DX21" s="16">
        <f t="shared" si="243"/>
        <v>40</v>
      </c>
      <c r="DY21" s="16">
        <f t="shared" si="243"/>
        <v>40</v>
      </c>
      <c r="DZ21" s="16">
        <f t="shared" si="243"/>
        <v>40</v>
      </c>
      <c r="EA21" s="16">
        <f t="shared" ref="EA21:EG21" si="244">SUM(EA16,EA18,EA20,)</f>
        <v>0</v>
      </c>
      <c r="EB21" s="16">
        <f t="shared" si="244"/>
        <v>0</v>
      </c>
      <c r="EC21" s="16">
        <f t="shared" si="244"/>
        <v>0</v>
      </c>
      <c r="ED21" s="16">
        <f t="shared" si="244"/>
        <v>40</v>
      </c>
      <c r="EE21" s="16">
        <f t="shared" si="244"/>
        <v>40</v>
      </c>
      <c r="EF21" s="16">
        <f t="shared" si="244"/>
        <v>40</v>
      </c>
      <c r="EG21" s="16">
        <f t="shared" si="244"/>
        <v>40</v>
      </c>
      <c r="EH21" s="16">
        <f t="shared" ref="EH21:EN21" si="245">SUM(EH16,EH18,EH20,)</f>
        <v>60</v>
      </c>
      <c r="EI21" s="16">
        <f t="shared" si="245"/>
        <v>60</v>
      </c>
      <c r="EJ21" s="16">
        <f t="shared" si="245"/>
        <v>60</v>
      </c>
      <c r="EK21" s="16">
        <f t="shared" si="245"/>
        <v>60</v>
      </c>
      <c r="EL21" s="16">
        <f t="shared" si="245"/>
        <v>60</v>
      </c>
      <c r="EM21" s="16">
        <f t="shared" si="245"/>
        <v>80</v>
      </c>
      <c r="EN21" s="16">
        <f t="shared" si="245"/>
        <v>40</v>
      </c>
      <c r="EO21" s="16">
        <f t="shared" ref="EO21:EU21" si="246">SUM(EO16,EO18,EO20,)</f>
        <v>80</v>
      </c>
      <c r="EP21" s="16">
        <f t="shared" si="246"/>
        <v>80</v>
      </c>
      <c r="EQ21" s="16">
        <f t="shared" si="246"/>
        <v>80</v>
      </c>
      <c r="ER21" s="16">
        <f t="shared" si="246"/>
        <v>80</v>
      </c>
      <c r="ES21" s="16">
        <f t="shared" si="246"/>
        <v>80</v>
      </c>
      <c r="ET21" s="16">
        <f t="shared" si="246"/>
        <v>80</v>
      </c>
      <c r="EU21" s="16">
        <f t="shared" si="246"/>
        <v>80</v>
      </c>
      <c r="EV21" s="16">
        <f t="shared" ref="EV21:FD21" si="247">SUM(EV16,EV18,EV20,)</f>
        <v>20</v>
      </c>
      <c r="EW21" s="16">
        <f t="shared" si="247"/>
        <v>20</v>
      </c>
      <c r="EX21" s="16">
        <f t="shared" si="247"/>
        <v>60</v>
      </c>
      <c r="EY21" s="16">
        <f t="shared" si="247"/>
        <v>60</v>
      </c>
      <c r="EZ21" s="16">
        <f t="shared" si="247"/>
        <v>60</v>
      </c>
      <c r="FA21" s="16">
        <f t="shared" si="247"/>
        <v>60</v>
      </c>
      <c r="FB21" s="16">
        <f t="shared" si="247"/>
        <v>40</v>
      </c>
      <c r="FC21" s="16">
        <f t="shared" si="247"/>
        <v>0</v>
      </c>
      <c r="FD21" s="16">
        <f t="shared" si="247"/>
        <v>0</v>
      </c>
      <c r="FE21" s="16">
        <f t="shared" ref="FE21:FR21" si="248">SUM(FE16,FE18,FE20,)</f>
        <v>0</v>
      </c>
      <c r="FF21" s="16">
        <f t="shared" si="248"/>
        <v>0</v>
      </c>
      <c r="FG21" s="16">
        <f t="shared" si="248"/>
        <v>0</v>
      </c>
      <c r="FH21" s="16">
        <f t="shared" si="248"/>
        <v>0</v>
      </c>
      <c r="FI21" s="16">
        <f t="shared" si="248"/>
        <v>0</v>
      </c>
      <c r="FJ21" s="16">
        <f t="shared" si="248"/>
        <v>40</v>
      </c>
      <c r="FK21" s="16">
        <f t="shared" si="248"/>
        <v>40</v>
      </c>
      <c r="FL21" s="16">
        <f t="shared" si="248"/>
        <v>40</v>
      </c>
      <c r="FM21" s="16">
        <f t="shared" si="248"/>
        <v>40</v>
      </c>
      <c r="FN21" s="16">
        <f t="shared" si="248"/>
        <v>40</v>
      </c>
      <c r="FO21" s="16">
        <f t="shared" si="248"/>
        <v>40</v>
      </c>
      <c r="FP21" s="16">
        <f t="shared" si="248"/>
        <v>40</v>
      </c>
      <c r="FQ21" s="16">
        <f t="shared" si="248"/>
        <v>60</v>
      </c>
      <c r="FR21" s="16">
        <f t="shared" si="248"/>
        <v>60</v>
      </c>
      <c r="FS21" s="16">
        <f t="shared" ref="FS21:FY21" si="249">SUM(FS16,FS18,FS20,)</f>
        <v>0</v>
      </c>
      <c r="FT21" s="16">
        <f t="shared" si="249"/>
        <v>0</v>
      </c>
      <c r="FU21" s="16">
        <f t="shared" si="249"/>
        <v>0</v>
      </c>
      <c r="FV21" s="16">
        <f t="shared" si="249"/>
        <v>0</v>
      </c>
      <c r="FW21" s="16">
        <f t="shared" si="249"/>
        <v>0</v>
      </c>
      <c r="FX21" s="16">
        <f t="shared" si="249"/>
        <v>20</v>
      </c>
      <c r="FY21" s="16">
        <f t="shared" si="249"/>
        <v>20</v>
      </c>
      <c r="FZ21" s="16">
        <f t="shared" ref="FZ21:GF21" si="250">SUM(FZ16,FZ18,FZ20,)</f>
        <v>20</v>
      </c>
      <c r="GA21" s="16">
        <f t="shared" si="250"/>
        <v>20</v>
      </c>
      <c r="GB21" s="16">
        <f t="shared" si="250"/>
        <v>20</v>
      </c>
      <c r="GC21" s="16">
        <f t="shared" si="250"/>
        <v>20</v>
      </c>
      <c r="GD21" s="16">
        <f t="shared" si="250"/>
        <v>20</v>
      </c>
      <c r="GE21" s="16">
        <f t="shared" si="250"/>
        <v>20</v>
      </c>
      <c r="GF21" s="16">
        <f t="shared" si="250"/>
        <v>20</v>
      </c>
      <c r="GG21" s="16">
        <f t="shared" ref="GG21:GK21" si="251">SUM(GG16,GG18,GG20,)</f>
        <v>20</v>
      </c>
      <c r="GH21" s="16">
        <f t="shared" si="251"/>
        <v>20</v>
      </c>
      <c r="GI21" s="16">
        <f t="shared" si="251"/>
        <v>20</v>
      </c>
      <c r="GJ21" s="16">
        <f t="shared" si="251"/>
        <v>20</v>
      </c>
      <c r="GK21" s="16">
        <f t="shared" si="251"/>
        <v>20</v>
      </c>
      <c r="GL21" s="16">
        <f t="shared" ref="GL21:GR21" si="252">SUM(GL16,GL18,GL20,)</f>
        <v>0</v>
      </c>
      <c r="GM21" s="16">
        <f t="shared" si="252"/>
        <v>0</v>
      </c>
      <c r="GN21" s="16">
        <f t="shared" si="252"/>
        <v>40</v>
      </c>
      <c r="GO21" s="16">
        <f t="shared" si="252"/>
        <v>40</v>
      </c>
      <c r="GP21" s="16">
        <f t="shared" si="252"/>
        <v>40</v>
      </c>
      <c r="GQ21" s="16">
        <f t="shared" si="252"/>
        <v>60</v>
      </c>
      <c r="GR21" s="16">
        <f t="shared" si="252"/>
        <v>60</v>
      </c>
      <c r="GS21" s="16">
        <f t="shared" ref="GS21:GT21" si="253">SUM(GS16,GS18,GS20,)</f>
        <v>60</v>
      </c>
      <c r="GT21" s="16">
        <f t="shared" si="253"/>
        <v>40</v>
      </c>
      <c r="GU21" s="16">
        <f t="shared" ref="GU21:GY21" si="254">SUM(GU16,GU18,GU20,)</f>
        <v>40</v>
      </c>
      <c r="GV21" s="16">
        <f t="shared" si="254"/>
        <v>40</v>
      </c>
      <c r="GW21" s="16">
        <f t="shared" si="254"/>
        <v>40</v>
      </c>
      <c r="GX21" s="16">
        <f t="shared" si="254"/>
        <v>120</v>
      </c>
      <c r="GY21" s="16">
        <f t="shared" si="254"/>
        <v>120</v>
      </c>
      <c r="GZ21" s="16">
        <f t="shared" ref="GZ21:HF21" si="255">SUM(GZ16,GZ18,GZ20,)</f>
        <v>60</v>
      </c>
      <c r="HA21" s="16">
        <f t="shared" si="255"/>
        <v>40</v>
      </c>
      <c r="HB21" s="16">
        <f t="shared" si="255"/>
        <v>40</v>
      </c>
      <c r="HC21" s="16">
        <f t="shared" si="255"/>
        <v>40</v>
      </c>
      <c r="HD21" s="16">
        <f t="shared" si="255"/>
        <v>20</v>
      </c>
      <c r="HE21" s="16">
        <f t="shared" si="255"/>
        <v>0</v>
      </c>
      <c r="HF21" s="16">
        <f t="shared" si="255"/>
        <v>0</v>
      </c>
      <c r="HG21" s="16">
        <f t="shared" ref="HG21:HM21" si="256">SUM(HG16,HG18,HG20,)</f>
        <v>60</v>
      </c>
      <c r="HH21" s="16">
        <f t="shared" si="256"/>
        <v>60</v>
      </c>
      <c r="HI21" s="16">
        <f t="shared" si="256"/>
        <v>60</v>
      </c>
      <c r="HJ21" s="16">
        <f t="shared" si="256"/>
        <v>20</v>
      </c>
      <c r="HK21" s="16">
        <f t="shared" si="256"/>
        <v>20</v>
      </c>
      <c r="HL21" s="16">
        <f t="shared" si="256"/>
        <v>20</v>
      </c>
      <c r="HM21" s="16">
        <f t="shared" si="256"/>
        <v>20</v>
      </c>
      <c r="HN21" s="16">
        <f t="shared" ref="HN21:HT21" si="257">SUM(HN16,HN18,HN20,)</f>
        <v>60</v>
      </c>
      <c r="HO21" s="16">
        <f t="shared" si="257"/>
        <v>60</v>
      </c>
      <c r="HP21" s="16">
        <f t="shared" si="257"/>
        <v>60</v>
      </c>
      <c r="HQ21" s="16">
        <f t="shared" si="257"/>
        <v>100</v>
      </c>
      <c r="HR21" s="16">
        <f t="shared" si="257"/>
        <v>100</v>
      </c>
      <c r="HS21" s="16">
        <f t="shared" si="257"/>
        <v>100</v>
      </c>
      <c r="HT21" s="16">
        <f t="shared" si="257"/>
        <v>100</v>
      </c>
      <c r="HU21" s="16">
        <f t="shared" ref="HU21:IC21" si="258">SUM(HU16,HU18,HU20,)</f>
        <v>60</v>
      </c>
      <c r="HV21" s="16">
        <f t="shared" si="258"/>
        <v>0</v>
      </c>
      <c r="HW21" s="16">
        <f t="shared" si="258"/>
        <v>80</v>
      </c>
      <c r="HX21" s="16">
        <f t="shared" si="258"/>
        <v>100</v>
      </c>
      <c r="HY21" s="16">
        <f t="shared" si="258"/>
        <v>120</v>
      </c>
      <c r="HZ21" s="16">
        <f t="shared" si="258"/>
        <v>140</v>
      </c>
      <c r="IA21" s="16">
        <f t="shared" si="258"/>
        <v>160</v>
      </c>
      <c r="IB21" s="16">
        <f t="shared" si="258"/>
        <v>180</v>
      </c>
      <c r="IC21" s="16">
        <f t="shared" si="258"/>
        <v>200</v>
      </c>
    </row>
    <row r="22" spans="1:237" s="11" customFormat="1" x14ac:dyDescent="0.35">
      <c r="A22" s="11" t="s">
        <v>56</v>
      </c>
      <c r="AD22" s="11" t="e">
        <f>AD14+AD32+AD21</f>
        <v>#REF!</v>
      </c>
      <c r="AE22" s="11" t="e">
        <f>AE14+AE32+AE21</f>
        <v>#REF!</v>
      </c>
      <c r="AG22" s="13" t="e">
        <f>AG14+AG32+AG21</f>
        <v>#REF!</v>
      </c>
      <c r="AH22" s="13" t="e">
        <f>AH14+AH32+AH21</f>
        <v>#REF!</v>
      </c>
      <c r="AI22" s="13" t="e">
        <f>AI14+AI32+AI21</f>
        <v>#REF!</v>
      </c>
      <c r="AJ22" s="13" t="e">
        <f>AJ14+AJ32+AJ21</f>
        <v>#REF!</v>
      </c>
      <c r="AK22" s="13" t="e">
        <f>AK14+AK32+AK21</f>
        <v>#REF!</v>
      </c>
      <c r="AL22" s="13" t="e">
        <f>AL14+AL32+AL21</f>
        <v>#REF!</v>
      </c>
      <c r="AM22" s="13" t="e">
        <f>AM14+AM32+AM21</f>
        <v>#REF!</v>
      </c>
      <c r="AN22" s="13" t="e">
        <f>AN14+AN32+AN21</f>
        <v>#REF!</v>
      </c>
      <c r="AO22" s="13" t="e">
        <f>AO14+AO32+AO21</f>
        <v>#REF!</v>
      </c>
      <c r="AP22" s="13" t="e">
        <f>AP14+AP32+AP21</f>
        <v>#REF!</v>
      </c>
      <c r="AQ22" s="13" t="e">
        <f>AQ14+AQ32+AQ21</f>
        <v>#REF!</v>
      </c>
      <c r="AR22" s="13" t="e">
        <f>AR14+AR32+AR21</f>
        <v>#REF!</v>
      </c>
      <c r="AS22" s="13" t="e">
        <f>AS14+AS32+AS21</f>
        <v>#REF!</v>
      </c>
      <c r="AT22" s="13" t="e">
        <f>AT14+AT32+AT21</f>
        <v>#REF!</v>
      </c>
      <c r="AU22" s="13" t="e">
        <f>AU14+AU32+AU21</f>
        <v>#REF!</v>
      </c>
      <c r="AV22" s="13" t="e">
        <f>AV14+AV32+AV21</f>
        <v>#REF!</v>
      </c>
      <c r="AW22" s="13" t="e">
        <f>AW14+AW32+AW21</f>
        <v>#REF!</v>
      </c>
      <c r="AX22" s="13" t="e">
        <f>AX14+AX32+AX21</f>
        <v>#REF!</v>
      </c>
      <c r="AY22" s="13" t="e">
        <f>AY14+AY32+AY21</f>
        <v>#REF!</v>
      </c>
      <c r="AZ22" s="13" t="e">
        <f>AZ14+AZ32+AZ21</f>
        <v>#REF!</v>
      </c>
      <c r="BA22" s="13" t="e">
        <f>BA14+BA32+BA21</f>
        <v>#REF!</v>
      </c>
      <c r="BB22" s="13" t="e">
        <f>BB14+BB32+BB21</f>
        <v>#REF!</v>
      </c>
      <c r="BC22" s="13" t="e">
        <f>BC14+BC32+BC21</f>
        <v>#REF!</v>
      </c>
      <c r="BD22" s="13" t="e">
        <f>BD14+BD32+BD21</f>
        <v>#REF!</v>
      </c>
      <c r="BE22" s="13" t="e">
        <f>BE14+BE32+BE21</f>
        <v>#REF!</v>
      </c>
      <c r="BF22" s="13" t="e">
        <f>BF14+BF32+BF21</f>
        <v>#REF!</v>
      </c>
      <c r="BG22" s="13" t="e">
        <f>BG14+BG32+BG21</f>
        <v>#REF!</v>
      </c>
      <c r="BH22" s="13" t="e">
        <f>BH14+BH32+BH21</f>
        <v>#REF!</v>
      </c>
      <c r="BI22" s="13" t="e">
        <f>BI14+BI32+BI21</f>
        <v>#REF!</v>
      </c>
      <c r="BJ22" s="13" t="e">
        <f>BJ14+BJ32+BJ21</f>
        <v>#REF!</v>
      </c>
      <c r="BK22" s="13" t="e">
        <f>BK14+BK32+BK21</f>
        <v>#REF!</v>
      </c>
      <c r="BL22" s="13" t="e">
        <f>BL14+BL32+BL21</f>
        <v>#REF!</v>
      </c>
      <c r="BM22" s="13" t="e">
        <f>BM14+BM32+BM21</f>
        <v>#REF!</v>
      </c>
      <c r="BN22" s="13">
        <f>BN14+BN32+BN21</f>
        <v>1020.1800000000001</v>
      </c>
      <c r="BO22" s="13">
        <f>BO14+BO32+BO21</f>
        <v>1064.1400000000001</v>
      </c>
      <c r="BP22" s="13">
        <f>BP14+BP32+BP21</f>
        <v>1062.42</v>
      </c>
      <c r="BQ22" s="13">
        <f>BQ14+BQ32+BQ21</f>
        <v>1062.42</v>
      </c>
      <c r="BR22" s="13">
        <f>BR14+BR32+BR21</f>
        <v>1062.42</v>
      </c>
      <c r="BS22" s="13">
        <f>BS14+BS32+BS21</f>
        <v>1096.5999999999999</v>
      </c>
      <c r="BT22" s="13">
        <f>BT14+BT32+BT21</f>
        <v>1072.6400000000001</v>
      </c>
      <c r="BU22" s="13">
        <f>BU14+BU32+BU21</f>
        <v>1096.26</v>
      </c>
      <c r="BV22" s="13">
        <f>BV14+BV32+BV21</f>
        <v>1125.06</v>
      </c>
      <c r="BW22" s="13">
        <f>BW14+BW32+BW21</f>
        <v>1084.72</v>
      </c>
      <c r="BX22" s="13">
        <f>BX14+BX32+BX21</f>
        <v>1084.72</v>
      </c>
      <c r="BY22" s="13">
        <f>BY14+BY32+BY21</f>
        <v>1019.2</v>
      </c>
      <c r="BZ22" s="13">
        <f>BZ14+BZ32+BZ21</f>
        <v>1019.2</v>
      </c>
      <c r="CA22" s="13">
        <f>CA14+CA32+CA21</f>
        <v>1008</v>
      </c>
      <c r="CB22" s="13">
        <f>CB14+CB32+CB21</f>
        <v>846.74</v>
      </c>
      <c r="CC22" s="13">
        <f>CC14+CC32+CC21</f>
        <v>846.74</v>
      </c>
      <c r="CD22" s="13">
        <f>CD14+CD32+CD21</f>
        <v>843.12</v>
      </c>
      <c r="CE22" s="13">
        <f>CE14+CE32+CE21</f>
        <v>843.12</v>
      </c>
      <c r="CF22" s="13">
        <f>CF14+CF32+CF21</f>
        <v>843.12</v>
      </c>
      <c r="CG22" s="13">
        <f>CG14+CG32+CG21</f>
        <v>843.12</v>
      </c>
      <c r="CH22" s="13">
        <f>CH14+CH32+CH21</f>
        <v>843.12</v>
      </c>
      <c r="CI22" s="13">
        <f>CI14+CI32+CI21</f>
        <v>843.12</v>
      </c>
      <c r="CJ22" s="13">
        <f>CJ14+CJ32+CJ21</f>
        <v>843.12</v>
      </c>
      <c r="CK22" s="13">
        <f>CK14+CK32+CK21</f>
        <v>843.12</v>
      </c>
      <c r="CL22" s="13">
        <f>CL14+CL32+CL21</f>
        <v>843.12</v>
      </c>
      <c r="CM22" s="13">
        <f>CM14+CM32+CM21</f>
        <v>843.12</v>
      </c>
      <c r="CN22" s="13">
        <f>CN14+CN32+CN21</f>
        <v>843.12</v>
      </c>
      <c r="CO22" s="13">
        <f>CO14+CO32+CO21</f>
        <v>701.52</v>
      </c>
      <c r="CP22" s="13">
        <f>CP14+CP32+CP21</f>
        <v>701.52</v>
      </c>
      <c r="CQ22" s="13">
        <f>CQ14+CQ32+CQ21</f>
        <v>701.52</v>
      </c>
      <c r="CR22" s="13">
        <f>CR14+CR32+CR21</f>
        <v>719.12</v>
      </c>
      <c r="CS22" s="13">
        <f>CS14+CS32+CS21</f>
        <v>719.12</v>
      </c>
      <c r="CT22" s="13">
        <f>CT14+CT32+CT21</f>
        <v>719.12</v>
      </c>
      <c r="CU22" s="13">
        <f>CU14+CU32+CU21</f>
        <v>719.12</v>
      </c>
      <c r="CV22" s="13">
        <f>CV14+CV32+CV21</f>
        <v>719.12</v>
      </c>
      <c r="CW22" s="13">
        <f>CW14+CW32+CW21</f>
        <v>661.52</v>
      </c>
      <c r="CX22" s="13">
        <f>CX14+CX32+CX21</f>
        <v>719.12</v>
      </c>
      <c r="CY22" s="13">
        <f>CY14+CY32+CY21</f>
        <v>845.5200000000001</v>
      </c>
      <c r="CZ22" s="13">
        <f>CZ14+CZ32+CZ21</f>
        <v>845.5200000000001</v>
      </c>
      <c r="DA22" s="13">
        <f>DA14+DA32+DA21</f>
        <v>825.52</v>
      </c>
      <c r="DB22" s="13">
        <f>DB14+DB32+DB21</f>
        <v>883.12</v>
      </c>
      <c r="DC22" s="13">
        <f>DC14+DC32+DC21</f>
        <v>652.72</v>
      </c>
      <c r="DD22" s="13">
        <f>DD14+DD32+DD21</f>
        <v>632.72</v>
      </c>
      <c r="DE22" s="13">
        <f>DE14+DE32+DE21</f>
        <v>632.72</v>
      </c>
      <c r="DF22" s="13">
        <f>DF14+DF32+DF21</f>
        <v>636.34</v>
      </c>
      <c r="DG22" s="13">
        <f>DG14+DG32+DG21</f>
        <v>636.34</v>
      </c>
      <c r="DH22" s="13">
        <f>DH14+DH32+DH21</f>
        <v>636.34</v>
      </c>
      <c r="DI22" s="13">
        <f>DI14+DI32+DI21</f>
        <v>636.34</v>
      </c>
      <c r="DJ22" s="13">
        <f>DJ14+DJ32+DJ21</f>
        <v>636.34</v>
      </c>
      <c r="DK22" s="13">
        <f>DK14+DK32+DK21</f>
        <v>653.94000000000005</v>
      </c>
      <c r="DL22" s="13">
        <f>DL14+DL32+DL21</f>
        <v>653.94000000000005</v>
      </c>
      <c r="DM22" s="13">
        <f>DM14+DM32+DM21</f>
        <v>682.40000000000009</v>
      </c>
      <c r="DN22" s="13">
        <f>DN14+DN32+DN21</f>
        <v>682.40000000000009</v>
      </c>
      <c r="DO22" s="13">
        <f>DO14+DO32+DO21</f>
        <v>682.40000000000009</v>
      </c>
      <c r="DP22" s="13">
        <f>DP14+DP32+DP21</f>
        <v>682.40000000000009</v>
      </c>
      <c r="DQ22" s="13">
        <f>DQ14+DQ32+DQ21</f>
        <v>682.40000000000009</v>
      </c>
      <c r="DR22" s="13">
        <f>DR14+DR32+DR21</f>
        <v>691.2</v>
      </c>
      <c r="DS22" s="13">
        <f>DS14+DS32+DS21</f>
        <v>691.2</v>
      </c>
      <c r="DT22" s="13">
        <f>DT14+DT32+DT21</f>
        <v>879.16000000000008</v>
      </c>
      <c r="DU22" s="13">
        <f>DU14+DU32+DU21</f>
        <v>879.16000000000008</v>
      </c>
      <c r="DV22" s="13">
        <f>DV14+DV32+DV21</f>
        <v>879.16000000000008</v>
      </c>
      <c r="DW22" s="13">
        <f>DW14+DW32+DW21</f>
        <v>879.16000000000008</v>
      </c>
      <c r="DX22" s="13">
        <f>DX14+DX32+DX21</f>
        <v>879.16000000000008</v>
      </c>
      <c r="DY22" s="13">
        <f>DY14+DY32+DY21</f>
        <v>883.12000000000012</v>
      </c>
      <c r="DZ22" s="13">
        <f>DZ14+DZ32+DZ21</f>
        <v>883.12000000000012</v>
      </c>
      <c r="EA22" s="13">
        <f>EA14+EA32+EA21</f>
        <v>0</v>
      </c>
      <c r="EB22" s="13">
        <f>EB14+EB32+EB21</f>
        <v>0</v>
      </c>
      <c r="EC22" s="13">
        <f>EC14+EC32+EC21</f>
        <v>0</v>
      </c>
      <c r="ED22" s="13">
        <f>ED14+ED32+ED21</f>
        <v>879.16000000000008</v>
      </c>
      <c r="EE22" s="13">
        <f>EE14+EE32+EE21</f>
        <v>879.16000000000008</v>
      </c>
      <c r="EF22" s="13">
        <f>EF14+EF32+EF21</f>
        <v>879.16000000000008</v>
      </c>
      <c r="EG22" s="13">
        <f>EG14+EG32+EG21</f>
        <v>879.16000000000008</v>
      </c>
      <c r="EH22" s="13">
        <f>EH14+EH32+EH21</f>
        <v>895.19999999999993</v>
      </c>
      <c r="EI22" s="13">
        <f>EI14+EI32+EI21</f>
        <v>895.19999999999993</v>
      </c>
      <c r="EJ22" s="13">
        <f>EJ14+EJ32+EJ21</f>
        <v>895.2</v>
      </c>
      <c r="EK22" s="13">
        <f>EK14+EK32+EK21</f>
        <v>895.2</v>
      </c>
      <c r="EL22" s="13">
        <f>EL14+EL32+EL21</f>
        <v>895.2</v>
      </c>
      <c r="EM22" s="13">
        <f>EM14+EM32+EM21</f>
        <v>886.4</v>
      </c>
      <c r="EN22" s="13">
        <f>EN14+EN32+EN21</f>
        <v>846.4</v>
      </c>
      <c r="EO22" s="13">
        <f>EO14+EO32+EO21</f>
        <v>857.59999999999991</v>
      </c>
      <c r="EP22" s="13">
        <f>EP14+EP32+EP21</f>
        <v>857.59999999999991</v>
      </c>
      <c r="EQ22" s="13">
        <f>EQ14+EQ32+EQ21</f>
        <v>857.6</v>
      </c>
      <c r="ER22" s="13">
        <f>ER14+ER32+ER21</f>
        <v>857.6</v>
      </c>
      <c r="ES22" s="13">
        <f>ES14+ES32+ES21</f>
        <v>857.6</v>
      </c>
      <c r="ET22" s="13">
        <f>ET14+ET32+ET21</f>
        <v>857.59999999999991</v>
      </c>
      <c r="EU22" s="13">
        <f>EU14+EU32+EU21</f>
        <v>857.59999999999991</v>
      </c>
      <c r="EV22" s="13">
        <f>EV14+EV32+EV21</f>
        <v>830.36</v>
      </c>
      <c r="EW22" s="13">
        <f>EW14+EW32+EW21</f>
        <v>830.36</v>
      </c>
      <c r="EX22" s="13">
        <f>EX14+EX32+EX21</f>
        <v>841.56</v>
      </c>
      <c r="EY22" s="13">
        <f>EY14+EY32+EY21</f>
        <v>812.76</v>
      </c>
      <c r="EZ22" s="13">
        <f>EZ14+EZ32+EZ21</f>
        <v>812.76</v>
      </c>
      <c r="FA22" s="13">
        <f>FA14+FA32+FA21</f>
        <v>812.76</v>
      </c>
      <c r="FB22" s="13">
        <f>FB14+FB32+FB21</f>
        <v>792.76</v>
      </c>
      <c r="FC22" s="13">
        <f>FC14+FC32+FC21</f>
        <v>723.96</v>
      </c>
      <c r="FD22" s="13">
        <f>FD14+FD32+FD21</f>
        <v>723.96</v>
      </c>
      <c r="FE22" s="13">
        <f>FE14+FE32+FE21</f>
        <v>781.56</v>
      </c>
      <c r="FF22" s="13">
        <f>FF14+FF32+FF21</f>
        <v>839.16000000000008</v>
      </c>
      <c r="FG22" s="13">
        <f>FG14+FG32+FG21</f>
        <v>896.76</v>
      </c>
      <c r="FH22" s="13">
        <f>FH14+FH32+FH21</f>
        <v>954.3599999999999</v>
      </c>
      <c r="FI22" s="13">
        <f>FI14+FI32+FI21</f>
        <v>1011.96</v>
      </c>
      <c r="FJ22" s="13">
        <f>FJ14+FJ32+FJ21</f>
        <v>854.32</v>
      </c>
      <c r="FK22" s="13">
        <f>FK14+FK32+FK21</f>
        <v>854.31999999999994</v>
      </c>
      <c r="FL22" s="13">
        <f>FL14+FL32+FL21</f>
        <v>854.31999999999994</v>
      </c>
      <c r="FM22" s="13">
        <f>FM14+FM32+FM21</f>
        <v>854.32</v>
      </c>
      <c r="FN22" s="13">
        <f>FN14+FN32+FN21</f>
        <v>854.32</v>
      </c>
      <c r="FO22" s="13">
        <f>FO14+FO32+FO21</f>
        <v>854.32</v>
      </c>
      <c r="FP22" s="13">
        <f>FP14+FP32+FP21</f>
        <v>854.31999999999994</v>
      </c>
      <c r="FQ22" s="13">
        <f>FQ14+FQ32+FQ21</f>
        <v>829.14</v>
      </c>
      <c r="FR22" s="13">
        <f>FR14+FR32+FR21</f>
        <v>829.14</v>
      </c>
      <c r="FS22" s="13">
        <f>FS14+FS32+FS21</f>
        <v>625.14</v>
      </c>
      <c r="FT22" s="13">
        <f>FT14+FT32+FT21</f>
        <v>625.14</v>
      </c>
      <c r="FU22" s="13">
        <f>FU14+FU32+FU21</f>
        <v>625.14</v>
      </c>
      <c r="FV22" s="13">
        <f>FV14+FV32+FV21</f>
        <v>653.94000000000005</v>
      </c>
      <c r="FW22" s="13">
        <f>FW14+FW32+FW21</f>
        <v>653.94000000000005</v>
      </c>
      <c r="FX22" s="13">
        <f>FX14+FX32+FX21</f>
        <v>645.1400000000001</v>
      </c>
      <c r="FY22" s="13">
        <f>FY14+FY32+FY21</f>
        <v>645.1400000000001</v>
      </c>
      <c r="FZ22" s="13">
        <f>FZ14+FZ32+FZ21</f>
        <v>645.1400000000001</v>
      </c>
      <c r="GA22" s="13">
        <f>GA14+GA32+GA21</f>
        <v>645.1400000000001</v>
      </c>
      <c r="GB22" s="13">
        <f>GB14+GB32+GB21</f>
        <v>645.1400000000001</v>
      </c>
      <c r="GC22" s="13">
        <f>GC14+GC32+GC21</f>
        <v>645.1400000000001</v>
      </c>
      <c r="GD22" s="13">
        <f>GD14+GD32+GD21</f>
        <v>645.1400000000001</v>
      </c>
      <c r="GE22" s="13">
        <f>GE14+GE32+GE21</f>
        <v>657.56</v>
      </c>
      <c r="GF22" s="13">
        <f>GF14+GF32+GF21</f>
        <v>657.56</v>
      </c>
      <c r="GG22" s="13">
        <f>GG14+GG32+GG21</f>
        <v>657.56</v>
      </c>
      <c r="GH22" s="13">
        <f>GH14+GH32+GH21</f>
        <v>657.56</v>
      </c>
      <c r="GI22" s="13">
        <f>GI14+GI32+GI21</f>
        <v>657.56</v>
      </c>
      <c r="GJ22" s="13">
        <f>GJ14+GJ32+GJ21</f>
        <v>657.56</v>
      </c>
      <c r="GK22" s="13">
        <f>GK14+GK32+GK21</f>
        <v>657.56</v>
      </c>
      <c r="GL22" s="13">
        <f>GL14+GL32+GL21</f>
        <v>604.80000000000007</v>
      </c>
      <c r="GM22" s="13">
        <f>GM14+GM32+GM21</f>
        <v>604.80000000000007</v>
      </c>
      <c r="GN22" s="13">
        <f>GN14+GN32+GN21</f>
        <v>405.94</v>
      </c>
      <c r="GO22" s="13">
        <f>GO14+GO32+GO21</f>
        <v>434.74</v>
      </c>
      <c r="GP22" s="13">
        <f>GP14+GP32+GP21</f>
        <v>434.74</v>
      </c>
      <c r="GQ22" s="13">
        <f>GQ14+GQ32+GQ21</f>
        <v>425.94</v>
      </c>
      <c r="GR22" s="13">
        <f>GR14+GR32+GR21</f>
        <v>425.94</v>
      </c>
      <c r="GS22" s="13">
        <f>GS14+GS32+GS21</f>
        <v>524.76</v>
      </c>
      <c r="GT22" s="13">
        <f>GT14+GT32+GT21</f>
        <v>504.76000000000005</v>
      </c>
      <c r="GU22" s="13">
        <f>GU14+GU32+GU21</f>
        <v>504.76000000000005</v>
      </c>
      <c r="GV22" s="13">
        <f>GV14+GV32+GV21</f>
        <v>533.55999999999995</v>
      </c>
      <c r="GW22" s="13">
        <f>GW14+GW32+GW21</f>
        <v>533.55999999999995</v>
      </c>
      <c r="GX22" s="13">
        <f>GX14+GX32+GX21</f>
        <v>629.94000000000005</v>
      </c>
      <c r="GY22" s="13">
        <f>GY14+GY32+GY21</f>
        <v>629.94000000000005</v>
      </c>
      <c r="GZ22" s="13">
        <f>GZ14+GZ32+GZ21</f>
        <v>816.72</v>
      </c>
      <c r="HA22" s="13">
        <f>HA14+HA32+HA21</f>
        <v>796.72</v>
      </c>
      <c r="HB22" s="13">
        <f>HB14+HB32+HB21</f>
        <v>796.72</v>
      </c>
      <c r="HC22" s="13">
        <f>HC14+HC32+HC21</f>
        <v>883.12</v>
      </c>
      <c r="HD22" s="13">
        <f>HD14+HD32+HD21</f>
        <v>863.12</v>
      </c>
      <c r="HE22" s="13">
        <f>HE14+HE32+HE21</f>
        <v>826.74</v>
      </c>
      <c r="HF22" s="13">
        <f>HF14+HF32+HF21</f>
        <v>797.94</v>
      </c>
      <c r="HG22" s="13">
        <f>HG14+HG32+HG21</f>
        <v>730.31999999999994</v>
      </c>
      <c r="HH22" s="13">
        <f>HH14+HH32+HH21</f>
        <v>759.12</v>
      </c>
      <c r="HI22" s="13">
        <f>HI14+HI32+HI21</f>
        <v>759.12</v>
      </c>
      <c r="HJ22" s="13">
        <f>HJ14+HJ32+HJ21</f>
        <v>891.92000000000007</v>
      </c>
      <c r="HK22" s="13">
        <f>HK14+HK32+HK21</f>
        <v>891.92000000000007</v>
      </c>
      <c r="HL22" s="13">
        <f>HL14+HL32+HL21</f>
        <v>891.92000000000007</v>
      </c>
      <c r="HM22" s="13">
        <f>HM14+HM32+HM21</f>
        <v>891.92000000000007</v>
      </c>
      <c r="HN22" s="13">
        <f>HN14+HN32+HN21</f>
        <v>874.32</v>
      </c>
      <c r="HO22" s="13">
        <f>HO14+HO32+HO21</f>
        <v>874.32</v>
      </c>
      <c r="HP22" s="13">
        <f>HP14+HP32+HP21</f>
        <v>874.31999999999994</v>
      </c>
      <c r="HQ22" s="13">
        <f>HQ14+HQ32+HQ21</f>
        <v>655.12</v>
      </c>
      <c r="HR22" s="13">
        <f>HR14+HR32+HR21</f>
        <v>655.12</v>
      </c>
      <c r="HS22" s="13">
        <f>HS14+HS32+HS21</f>
        <v>655.12</v>
      </c>
      <c r="HT22" s="13">
        <f>HT14+HT32+HT21</f>
        <v>655.12</v>
      </c>
      <c r="HU22" s="13">
        <f>HU14+HU32+HU21</f>
        <v>615.12</v>
      </c>
      <c r="HV22" s="13">
        <f>HV14+HV32+HV21</f>
        <v>555.12</v>
      </c>
      <c r="HW22" s="13">
        <f>HW14+HW32+HW21</f>
        <v>618.74</v>
      </c>
      <c r="HX22" s="13">
        <f>HX14+HX32+HX21</f>
        <v>638.74</v>
      </c>
      <c r="HY22" s="13">
        <f>HY14+HY32+HY21</f>
        <v>658.74</v>
      </c>
      <c r="HZ22" s="13">
        <f>HZ14+HZ32+HZ21</f>
        <v>678.74</v>
      </c>
      <c r="IA22" s="13">
        <f>IA14+IA32+IA21</f>
        <v>698.74</v>
      </c>
      <c r="IB22" s="13">
        <f>IB14+IB32+IB21</f>
        <v>718.74</v>
      </c>
      <c r="IC22" s="13">
        <f>IC14+IC32+IC21</f>
        <v>709.94</v>
      </c>
    </row>
    <row r="23" spans="1:237" x14ac:dyDescent="0.35">
      <c r="AZ23">
        <f>AZ19*20</f>
        <v>20</v>
      </c>
      <c r="BA23">
        <f>BA19*20</f>
        <v>20</v>
      </c>
      <c r="BB23">
        <f>BB19*20</f>
        <v>40</v>
      </c>
      <c r="BC23">
        <f>BC19*20</f>
        <v>40</v>
      </c>
      <c r="BD23">
        <f>BD19*20</f>
        <v>40</v>
      </c>
      <c r="BE23">
        <f>BE19*20</f>
        <v>40</v>
      </c>
      <c r="BF23">
        <f>BF19*20</f>
        <v>40</v>
      </c>
      <c r="BG23">
        <f>BG19*20</f>
        <v>80</v>
      </c>
      <c r="BH23">
        <f>BH19*20</f>
        <v>80</v>
      </c>
      <c r="BI23">
        <f>BI19*20</f>
        <v>120</v>
      </c>
      <c r="BJ23">
        <f>BJ19*20</f>
        <v>120</v>
      </c>
      <c r="BK23">
        <f>BK19*20</f>
        <v>120</v>
      </c>
      <c r="BL23">
        <f>BL19*20</f>
        <v>120</v>
      </c>
      <c r="BM23">
        <f>BM19*20</f>
        <v>120</v>
      </c>
    </row>
    <row r="24" spans="1:237" x14ac:dyDescent="0.35">
      <c r="A24" s="39" t="s">
        <v>165</v>
      </c>
    </row>
    <row r="25" spans="1:237" x14ac:dyDescent="0.35">
      <c r="A25" s="39" t="s">
        <v>57</v>
      </c>
      <c r="HL25">
        <v>5</v>
      </c>
      <c r="HM25">
        <v>5</v>
      </c>
      <c r="HN25">
        <v>8</v>
      </c>
      <c r="HO25">
        <v>8</v>
      </c>
      <c r="HP25">
        <v>8</v>
      </c>
      <c r="HQ25">
        <v>8</v>
      </c>
    </row>
    <row r="26" spans="1:237" x14ac:dyDescent="0.35">
      <c r="A26" t="s">
        <v>50</v>
      </c>
      <c r="HL26">
        <v>3</v>
      </c>
      <c r="HM26">
        <v>3</v>
      </c>
      <c r="HN26">
        <v>3</v>
      </c>
      <c r="HO26">
        <v>3</v>
      </c>
      <c r="HP26">
        <v>3</v>
      </c>
      <c r="HQ26">
        <v>3</v>
      </c>
    </row>
    <row r="28" spans="1:237" x14ac:dyDescent="0.35">
      <c r="A28" t="s">
        <v>48</v>
      </c>
      <c r="AF28" t="s">
        <v>43</v>
      </c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</row>
    <row r="29" spans="1:237" s="18" customFormat="1" x14ac:dyDescent="0.35">
      <c r="A29" t="s">
        <v>49</v>
      </c>
      <c r="I29" s="18">
        <v>3</v>
      </c>
      <c r="J29" s="18">
        <v>3</v>
      </c>
      <c r="P29" s="18">
        <v>4</v>
      </c>
      <c r="Q29" s="18">
        <v>3</v>
      </c>
      <c r="R29" s="18">
        <v>6</v>
      </c>
      <c r="S29" s="18">
        <v>5</v>
      </c>
      <c r="T29" s="18">
        <v>6</v>
      </c>
    </row>
    <row r="30" spans="1:237" s="18" customFormat="1" x14ac:dyDescent="0.35">
      <c r="A30" t="s">
        <v>50</v>
      </c>
      <c r="K30" s="18">
        <v>3</v>
      </c>
      <c r="L30" s="18">
        <v>3</v>
      </c>
      <c r="M30" s="18">
        <v>3</v>
      </c>
      <c r="N30" s="18">
        <v>3</v>
      </c>
      <c r="O30" s="18">
        <v>3</v>
      </c>
      <c r="P30" s="18">
        <v>2</v>
      </c>
      <c r="Q30" s="18">
        <v>3</v>
      </c>
      <c r="U30" s="18">
        <v>6</v>
      </c>
      <c r="V30" s="18">
        <v>6</v>
      </c>
      <c r="W30" s="18">
        <v>7</v>
      </c>
    </row>
    <row r="31" spans="1:237" s="18" customFormat="1" x14ac:dyDescent="0.35">
      <c r="A31" t="s">
        <v>35</v>
      </c>
    </row>
    <row r="32" spans="1:237" s="18" customFormat="1" x14ac:dyDescent="0.35">
      <c r="A32" s="16" t="s">
        <v>51</v>
      </c>
      <c r="G32" s="18">
        <f>33.3*G29+G30*33.3</f>
        <v>0</v>
      </c>
      <c r="H32" s="18">
        <f>33.3*H29+H30*33.3</f>
        <v>0</v>
      </c>
      <c r="I32" s="18">
        <v>99.899999999999991</v>
      </c>
      <c r="J32" s="18">
        <v>99.899999999999991</v>
      </c>
      <c r="K32" s="18">
        <v>99.899999999999991</v>
      </c>
      <c r="L32" s="18">
        <v>99.899999999999991</v>
      </c>
      <c r="M32" s="18">
        <v>99.899999999999991</v>
      </c>
      <c r="N32" s="18">
        <v>99.899999999999991</v>
      </c>
      <c r="O32" s="18">
        <v>99.899999999999991</v>
      </c>
      <c r="P32" s="18">
        <f t="shared" ref="P32:AE32" si="259">33.3*P29+P30*33.3</f>
        <v>199.79999999999998</v>
      </c>
      <c r="Q32" s="18">
        <f t="shared" si="259"/>
        <v>199.79999999999998</v>
      </c>
      <c r="R32" s="18">
        <f t="shared" si="259"/>
        <v>199.79999999999998</v>
      </c>
      <c r="S32" s="18">
        <f t="shared" si="259"/>
        <v>166.5</v>
      </c>
      <c r="T32" s="18">
        <f t="shared" si="259"/>
        <v>199.79999999999998</v>
      </c>
      <c r="U32" s="18">
        <f t="shared" si="259"/>
        <v>199.79999999999998</v>
      </c>
      <c r="V32" s="18">
        <f t="shared" si="259"/>
        <v>199.79999999999998</v>
      </c>
      <c r="W32" s="18">
        <f t="shared" si="259"/>
        <v>233.09999999999997</v>
      </c>
      <c r="X32" s="18">
        <f t="shared" si="259"/>
        <v>0</v>
      </c>
      <c r="Y32" s="18">
        <f t="shared" si="259"/>
        <v>0</v>
      </c>
      <c r="Z32" s="18">
        <f t="shared" si="259"/>
        <v>0</v>
      </c>
      <c r="AA32" s="18">
        <f t="shared" si="259"/>
        <v>0</v>
      </c>
      <c r="AB32" s="18">
        <f t="shared" si="259"/>
        <v>0</v>
      </c>
      <c r="AC32" s="18">
        <f t="shared" si="259"/>
        <v>0</v>
      </c>
      <c r="AD32" s="18">
        <f t="shared" si="259"/>
        <v>0</v>
      </c>
      <c r="AE32" s="18">
        <f t="shared" si="259"/>
        <v>0</v>
      </c>
      <c r="AG32" s="18">
        <f t="shared" ref="AG32:AT32" si="260">33.3*AG29+AG30*33.3</f>
        <v>0</v>
      </c>
      <c r="AH32" s="18">
        <f t="shared" si="260"/>
        <v>0</v>
      </c>
      <c r="AI32" s="18">
        <f t="shared" si="260"/>
        <v>0</v>
      </c>
      <c r="AJ32" s="18">
        <f t="shared" si="260"/>
        <v>0</v>
      </c>
      <c r="AK32" s="18">
        <f t="shared" si="260"/>
        <v>0</v>
      </c>
      <c r="AL32" s="18">
        <f t="shared" si="260"/>
        <v>0</v>
      </c>
      <c r="AM32" s="18">
        <f t="shared" si="260"/>
        <v>0</v>
      </c>
      <c r="AN32" s="18">
        <f t="shared" si="260"/>
        <v>0</v>
      </c>
      <c r="AO32" s="18">
        <f t="shared" si="260"/>
        <v>0</v>
      </c>
      <c r="AP32" s="18">
        <f t="shared" si="260"/>
        <v>0</v>
      </c>
      <c r="AQ32" s="18">
        <f t="shared" si="260"/>
        <v>0</v>
      </c>
      <c r="AR32" s="18">
        <f t="shared" si="260"/>
        <v>0</v>
      </c>
      <c r="AS32" s="18">
        <f t="shared" si="260"/>
        <v>0</v>
      </c>
      <c r="AT32" s="18">
        <f t="shared" si="260"/>
        <v>0</v>
      </c>
    </row>
    <row r="33" spans="1:227" s="18" customFormat="1" x14ac:dyDescent="0.35"/>
    <row r="34" spans="1:227" s="18" customFormat="1" x14ac:dyDescent="0.35">
      <c r="A34" t="s">
        <v>92</v>
      </c>
      <c r="AF34" s="18" t="s">
        <v>93</v>
      </c>
      <c r="BG34" s="18">
        <v>46044</v>
      </c>
      <c r="BH34" s="18">
        <v>46045</v>
      </c>
      <c r="BI34" s="16">
        <v>46046</v>
      </c>
      <c r="BJ34" s="16">
        <v>46047</v>
      </c>
      <c r="BK34" s="18">
        <v>46048</v>
      </c>
      <c r="BL34" s="18">
        <v>46049</v>
      </c>
      <c r="BM34" s="18">
        <v>46050</v>
      </c>
      <c r="BN34" s="18">
        <v>46051</v>
      </c>
      <c r="BO34" s="18">
        <v>46052</v>
      </c>
      <c r="BP34" s="16">
        <v>46053</v>
      </c>
      <c r="CD34" s="18" t="s">
        <v>73</v>
      </c>
      <c r="DK34" s="18">
        <v>3</v>
      </c>
      <c r="DL34" s="18">
        <v>3</v>
      </c>
      <c r="DM34" s="18">
        <v>3</v>
      </c>
      <c r="DN34" s="18">
        <v>3</v>
      </c>
      <c r="DO34" s="18">
        <v>3</v>
      </c>
      <c r="DP34" s="18">
        <v>3</v>
      </c>
      <c r="DQ34" s="18">
        <v>3</v>
      </c>
      <c r="DR34" s="18">
        <v>3</v>
      </c>
      <c r="DS34" s="18">
        <v>3</v>
      </c>
    </row>
    <row r="35" spans="1:227" s="18" customFormat="1" x14ac:dyDescent="0.35">
      <c r="A35" t="s">
        <v>57</v>
      </c>
      <c r="G35" s="18">
        <v>3</v>
      </c>
      <c r="H35" s="18">
        <v>3</v>
      </c>
      <c r="I35" s="32">
        <v>3</v>
      </c>
      <c r="J35" s="32">
        <v>3</v>
      </c>
      <c r="K35" s="32">
        <v>3</v>
      </c>
      <c r="L35" s="32">
        <v>2</v>
      </c>
      <c r="M35" s="32">
        <v>2</v>
      </c>
      <c r="N35" s="32">
        <v>2</v>
      </c>
      <c r="O35" s="32">
        <v>2</v>
      </c>
      <c r="T35" s="18">
        <v>3</v>
      </c>
      <c r="U35" s="18">
        <v>3</v>
      </c>
      <c r="V35" s="18">
        <v>3</v>
      </c>
      <c r="AQ35" s="18">
        <v>5</v>
      </c>
      <c r="AR35" s="18">
        <v>6</v>
      </c>
      <c r="BG35" s="18">
        <v>1</v>
      </c>
      <c r="BH35" s="18">
        <v>2</v>
      </c>
      <c r="CD35" s="18">
        <v>5</v>
      </c>
      <c r="CE35" s="18">
        <v>5</v>
      </c>
      <c r="CF35" s="18">
        <v>6</v>
      </c>
      <c r="CG35" s="18">
        <v>4</v>
      </c>
      <c r="DD35" s="18">
        <v>4</v>
      </c>
      <c r="DE35" s="18">
        <v>2</v>
      </c>
    </row>
    <row r="36" spans="1:227" s="18" customFormat="1" x14ac:dyDescent="0.35">
      <c r="A36" t="s">
        <v>58</v>
      </c>
      <c r="I36" s="32"/>
      <c r="J36" s="32"/>
      <c r="K36" s="32"/>
      <c r="L36" s="32"/>
      <c r="M36" s="32"/>
      <c r="N36" s="32"/>
      <c r="O36" s="32"/>
      <c r="P36" s="18">
        <v>1</v>
      </c>
      <c r="Q36" s="18">
        <v>1</v>
      </c>
      <c r="R36" s="18">
        <v>1</v>
      </c>
      <c r="S36" s="18">
        <v>2</v>
      </c>
      <c r="U36" s="18">
        <v>1</v>
      </c>
      <c r="V36" s="18">
        <v>1</v>
      </c>
    </row>
    <row r="37" spans="1:227" s="18" customFormat="1" x14ac:dyDescent="0.35">
      <c r="A37" t="s">
        <v>59</v>
      </c>
      <c r="G37" s="18">
        <v>1</v>
      </c>
      <c r="H37" s="18">
        <v>1</v>
      </c>
      <c r="L37" s="18">
        <v>1</v>
      </c>
      <c r="M37" s="18">
        <v>1</v>
      </c>
      <c r="N37" s="18">
        <v>1</v>
      </c>
      <c r="O37" s="18">
        <v>1</v>
      </c>
    </row>
    <row r="38" spans="1:227" s="18" customFormat="1" x14ac:dyDescent="0.35">
      <c r="A38" t="s">
        <v>60</v>
      </c>
      <c r="G38" s="18">
        <v>2</v>
      </c>
      <c r="H38" s="18">
        <v>2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S38" s="18">
        <v>3</v>
      </c>
      <c r="T38" s="18">
        <v>2</v>
      </c>
      <c r="U38" s="18">
        <v>3</v>
      </c>
      <c r="V38" s="18">
        <v>3</v>
      </c>
      <c r="AQ38" s="18">
        <v>2</v>
      </c>
      <c r="AR38" s="18">
        <v>1</v>
      </c>
      <c r="BH38" s="18">
        <v>1</v>
      </c>
      <c r="DE38" s="18">
        <v>2</v>
      </c>
    </row>
    <row r="39" spans="1:227" s="18" customFormat="1" x14ac:dyDescent="0.35"/>
    <row r="40" spans="1:227" s="18" customFormat="1" x14ac:dyDescent="0.35">
      <c r="S40" s="18">
        <f>SUM(S35:S38)*33.3</f>
        <v>166.5</v>
      </c>
      <c r="T40" s="18">
        <f>SUM(T35:T38)*33.3</f>
        <v>166.5</v>
      </c>
      <c r="U40" s="18">
        <f>SUM(U35:U38)*33.3</f>
        <v>233.09999999999997</v>
      </c>
      <c r="V40" s="18">
        <f>SUM(V35:V38)*33.3</f>
        <v>233.09999999999997</v>
      </c>
      <c r="CR40" s="16">
        <v>46081</v>
      </c>
      <c r="CS40" s="16">
        <v>46082</v>
      </c>
      <c r="CT40" s="18">
        <v>46083</v>
      </c>
      <c r="CU40" s="18">
        <v>46084</v>
      </c>
      <c r="CV40" s="18">
        <v>46085</v>
      </c>
      <c r="CW40" s="18">
        <v>46086</v>
      </c>
      <c r="CX40" s="18">
        <v>46087</v>
      </c>
      <c r="CY40" s="16">
        <v>46088</v>
      </c>
      <c r="CZ40" s="16">
        <v>46089</v>
      </c>
      <c r="DA40" s="18">
        <v>46090</v>
      </c>
      <c r="DB40" s="18">
        <v>46091</v>
      </c>
      <c r="DC40" s="18">
        <v>46092</v>
      </c>
      <c r="DD40" s="18">
        <v>46093</v>
      </c>
      <c r="DE40" s="18">
        <v>46094</v>
      </c>
      <c r="DF40" s="16">
        <v>46095</v>
      </c>
      <c r="DG40" s="16">
        <v>46096</v>
      </c>
      <c r="DH40" s="18">
        <v>46097</v>
      </c>
      <c r="DI40" s="18">
        <v>46098</v>
      </c>
      <c r="DJ40" s="18">
        <v>46099</v>
      </c>
      <c r="DK40" s="18">
        <v>46100</v>
      </c>
      <c r="DL40" s="18">
        <v>46101</v>
      </c>
      <c r="DM40" s="16">
        <v>46102</v>
      </c>
      <c r="DN40" s="16">
        <v>46103</v>
      </c>
      <c r="DO40" s="18">
        <v>46104</v>
      </c>
      <c r="DP40" s="18">
        <v>46105</v>
      </c>
      <c r="DQ40" s="18">
        <v>46106</v>
      </c>
      <c r="DR40" s="18">
        <v>46107</v>
      </c>
      <c r="DS40" s="18">
        <v>46108</v>
      </c>
      <c r="DT40" s="16">
        <v>46109</v>
      </c>
      <c r="DU40" s="16">
        <v>46110</v>
      </c>
      <c r="DV40" s="18">
        <v>46111</v>
      </c>
      <c r="DW40" s="18">
        <v>46112</v>
      </c>
      <c r="DX40" s="18">
        <v>46113</v>
      </c>
      <c r="DY40" s="18">
        <v>46114</v>
      </c>
      <c r="DZ40" s="18">
        <v>46115</v>
      </c>
      <c r="EA40" s="16">
        <v>46116</v>
      </c>
      <c r="EB40" s="16">
        <v>46117</v>
      </c>
      <c r="EC40" s="18">
        <v>46118</v>
      </c>
      <c r="ED40" s="18">
        <v>46119</v>
      </c>
      <c r="EE40" s="18">
        <v>46120</v>
      </c>
      <c r="EF40" s="18">
        <v>46121</v>
      </c>
      <c r="EG40" s="18">
        <v>46122</v>
      </c>
    </row>
    <row r="41" spans="1:227" s="18" customFormat="1" x14ac:dyDescent="0.35">
      <c r="A41" s="18" t="s">
        <v>89</v>
      </c>
      <c r="G41" s="18">
        <f t="shared" ref="G41:O41" si="261">SUM(G35:G37)*33</f>
        <v>132</v>
      </c>
      <c r="H41" s="18">
        <f t="shared" si="261"/>
        <v>132</v>
      </c>
      <c r="I41" s="18">
        <f t="shared" si="261"/>
        <v>99</v>
      </c>
      <c r="J41" s="18">
        <f t="shared" si="261"/>
        <v>99</v>
      </c>
      <c r="K41" s="18">
        <f t="shared" si="261"/>
        <v>99</v>
      </c>
      <c r="L41" s="18">
        <f t="shared" si="261"/>
        <v>99</v>
      </c>
      <c r="M41" s="18">
        <f t="shared" si="261"/>
        <v>99</v>
      </c>
      <c r="N41" s="18">
        <f t="shared" si="261"/>
        <v>99</v>
      </c>
      <c r="O41" s="18">
        <f t="shared" si="261"/>
        <v>99</v>
      </c>
    </row>
    <row r="42" spans="1:227" s="18" customFormat="1" x14ac:dyDescent="0.35">
      <c r="A42" t="s">
        <v>53</v>
      </c>
      <c r="P42" s="18">
        <v>1</v>
      </c>
      <c r="Q42" s="18">
        <v>1</v>
      </c>
      <c r="R42" s="18">
        <v>1</v>
      </c>
      <c r="AF42" s="18" t="s">
        <v>90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</row>
    <row r="43" spans="1:227" s="18" customFormat="1" x14ac:dyDescent="0.35">
      <c r="A43" t="s">
        <v>91</v>
      </c>
      <c r="AF43" s="18" t="s">
        <v>90</v>
      </c>
      <c r="CY43" s="18">
        <v>1</v>
      </c>
      <c r="CZ43" s="18">
        <v>1</v>
      </c>
      <c r="DA43" s="18">
        <v>1</v>
      </c>
      <c r="DB43" s="18">
        <v>1</v>
      </c>
      <c r="DC43" s="18">
        <v>1</v>
      </c>
      <c r="DD43" s="18">
        <v>1</v>
      </c>
      <c r="DE43" s="18">
        <v>1</v>
      </c>
    </row>
    <row r="44" spans="1:227" s="18" customFormat="1" x14ac:dyDescent="0.35">
      <c r="A44" s="18" t="s">
        <v>76</v>
      </c>
    </row>
    <row r="45" spans="1:227" s="18" customFormat="1" x14ac:dyDescent="0.35">
      <c r="A45" t="s">
        <v>75</v>
      </c>
      <c r="U45" s="18">
        <v>1</v>
      </c>
      <c r="AF45" s="18" t="s">
        <v>9</v>
      </c>
      <c r="CO45" s="18">
        <v>17</v>
      </c>
      <c r="CR45" s="18">
        <v>1</v>
      </c>
      <c r="CS45" s="18">
        <v>1</v>
      </c>
      <c r="CT45" s="18">
        <v>1</v>
      </c>
      <c r="CU45" s="18">
        <v>1</v>
      </c>
      <c r="CV45" s="18">
        <v>2</v>
      </c>
      <c r="CW45" s="18">
        <v>2</v>
      </c>
      <c r="CX45" s="18">
        <v>2</v>
      </c>
      <c r="CY45" s="18">
        <v>1</v>
      </c>
      <c r="CZ45" s="18">
        <v>1</v>
      </c>
      <c r="DA45" s="18">
        <v>1</v>
      </c>
      <c r="DB45" s="18">
        <v>1</v>
      </c>
    </row>
    <row r="46" spans="1:227" s="18" customFormat="1" x14ac:dyDescent="0.35">
      <c r="A46" t="s">
        <v>78</v>
      </c>
      <c r="AF46" s="18" t="s">
        <v>65</v>
      </c>
      <c r="CR46" s="18">
        <v>2</v>
      </c>
      <c r="CS46" s="18">
        <v>2</v>
      </c>
      <c r="CT46" s="18">
        <v>2</v>
      </c>
      <c r="CU46" s="18">
        <v>2</v>
      </c>
      <c r="CV46" s="18">
        <v>2</v>
      </c>
      <c r="CW46" s="18">
        <v>2</v>
      </c>
      <c r="CX46" s="18">
        <v>2</v>
      </c>
      <c r="CY46" s="18">
        <v>2</v>
      </c>
      <c r="CZ46" s="18">
        <v>2</v>
      </c>
      <c r="DA46" s="18">
        <v>2</v>
      </c>
      <c r="DB46" s="18">
        <v>2</v>
      </c>
      <c r="DC46" s="18">
        <v>2</v>
      </c>
      <c r="DD46" s="18">
        <v>2</v>
      </c>
      <c r="DE46" s="18">
        <v>2</v>
      </c>
      <c r="DK46" s="18">
        <v>3</v>
      </c>
      <c r="DL46" s="18">
        <v>3</v>
      </c>
      <c r="DM46" s="18">
        <v>3</v>
      </c>
      <c r="DN46" s="18">
        <v>2</v>
      </c>
      <c r="DO46" s="18">
        <v>2</v>
      </c>
      <c r="DP46" s="18">
        <v>2</v>
      </c>
      <c r="DQ46" s="18">
        <v>2</v>
      </c>
      <c r="DR46" s="18">
        <v>2</v>
      </c>
      <c r="DS46" s="18">
        <v>2</v>
      </c>
      <c r="DT46" s="18">
        <v>1</v>
      </c>
      <c r="DU46" s="18">
        <v>1</v>
      </c>
      <c r="DV46" s="18">
        <v>1</v>
      </c>
      <c r="DW46" s="18">
        <v>1</v>
      </c>
      <c r="DX46" s="18">
        <v>1</v>
      </c>
      <c r="DY46" s="18">
        <v>1</v>
      </c>
      <c r="DZ46" s="18">
        <v>1</v>
      </c>
      <c r="ED46" s="18">
        <v>2</v>
      </c>
      <c r="EE46" s="18">
        <v>2</v>
      </c>
      <c r="EF46" s="18">
        <v>2</v>
      </c>
      <c r="EG46" s="18">
        <v>2</v>
      </c>
      <c r="EO46" s="18">
        <v>2</v>
      </c>
      <c r="EP46" s="18">
        <v>2</v>
      </c>
      <c r="EQ46" s="18">
        <v>2</v>
      </c>
      <c r="ER46" s="18">
        <v>2</v>
      </c>
      <c r="ES46" s="18">
        <v>2</v>
      </c>
      <c r="ET46" s="18">
        <v>2</v>
      </c>
      <c r="EU46" s="18">
        <v>2</v>
      </c>
      <c r="EV46" s="18">
        <v>2</v>
      </c>
      <c r="EW46" s="18">
        <v>2</v>
      </c>
      <c r="EX46" s="18">
        <v>2</v>
      </c>
      <c r="FJ46" s="18">
        <v>3</v>
      </c>
      <c r="FK46" s="18">
        <v>3</v>
      </c>
      <c r="FL46" s="18">
        <v>3</v>
      </c>
      <c r="FM46" s="18">
        <v>3</v>
      </c>
      <c r="FN46" s="18">
        <v>3</v>
      </c>
      <c r="FO46" s="18">
        <v>3</v>
      </c>
      <c r="FP46" s="18">
        <v>3</v>
      </c>
      <c r="FQ46" s="18">
        <v>2</v>
      </c>
      <c r="FR46" s="18">
        <v>2</v>
      </c>
      <c r="FS46" s="18">
        <v>2</v>
      </c>
      <c r="FT46" s="18">
        <v>2</v>
      </c>
      <c r="FU46" s="18">
        <v>2</v>
      </c>
      <c r="FV46" s="18">
        <v>2</v>
      </c>
      <c r="FW46" s="18">
        <v>2</v>
      </c>
      <c r="FX46" s="18">
        <v>1</v>
      </c>
      <c r="FY46" s="18">
        <v>1</v>
      </c>
      <c r="FZ46" s="18">
        <v>1</v>
      </c>
      <c r="GA46" s="18">
        <v>1</v>
      </c>
      <c r="GB46" s="18">
        <v>1</v>
      </c>
      <c r="GC46" s="18">
        <v>1</v>
      </c>
      <c r="GD46" s="18">
        <v>1</v>
      </c>
      <c r="GE46" s="18">
        <v>2</v>
      </c>
      <c r="GF46" s="18">
        <v>2</v>
      </c>
      <c r="GG46" s="18">
        <v>2</v>
      </c>
      <c r="GH46" s="18">
        <v>2</v>
      </c>
      <c r="GI46" s="18">
        <v>2</v>
      </c>
      <c r="GJ46" s="18">
        <v>2</v>
      </c>
      <c r="GK46" s="18">
        <v>2</v>
      </c>
      <c r="GL46" s="18">
        <v>2</v>
      </c>
      <c r="GM46" s="18">
        <v>2</v>
      </c>
      <c r="GN46" s="18">
        <v>2</v>
      </c>
      <c r="GO46" s="18">
        <v>2</v>
      </c>
      <c r="GP46" s="18">
        <v>2</v>
      </c>
      <c r="GQ46" s="18">
        <v>2</v>
      </c>
      <c r="GR46" s="18">
        <v>2</v>
      </c>
      <c r="GS46" s="18">
        <v>4</v>
      </c>
      <c r="GT46" s="18">
        <v>4</v>
      </c>
      <c r="GU46" s="18">
        <v>4</v>
      </c>
      <c r="GV46" s="18">
        <v>4</v>
      </c>
      <c r="GW46" s="18">
        <v>4</v>
      </c>
      <c r="GX46" s="18">
        <v>4</v>
      </c>
      <c r="GY46" s="18">
        <v>4</v>
      </c>
      <c r="GZ46" s="18">
        <v>4</v>
      </c>
      <c r="HA46" s="18">
        <v>4</v>
      </c>
      <c r="HB46" s="18">
        <v>4</v>
      </c>
      <c r="HC46" s="18">
        <v>4</v>
      </c>
      <c r="HD46" s="18">
        <v>4</v>
      </c>
      <c r="HE46" s="18">
        <v>4</v>
      </c>
      <c r="HF46" s="18">
        <v>4</v>
      </c>
      <c r="HG46" s="18">
        <v>4</v>
      </c>
      <c r="HH46" s="18">
        <v>4</v>
      </c>
      <c r="HI46" s="18">
        <v>4</v>
      </c>
      <c r="HJ46" s="18">
        <v>4</v>
      </c>
      <c r="HK46" s="18">
        <v>4</v>
      </c>
      <c r="HL46" s="18">
        <v>4</v>
      </c>
      <c r="HM46" s="18">
        <v>4</v>
      </c>
      <c r="HN46" s="18">
        <v>4</v>
      </c>
      <c r="HO46" s="18">
        <v>4</v>
      </c>
      <c r="HP46" s="18">
        <v>4</v>
      </c>
      <c r="HQ46" s="18">
        <v>4</v>
      </c>
      <c r="HR46" s="18">
        <v>4</v>
      </c>
      <c r="HS46" s="18">
        <v>4</v>
      </c>
    </row>
    <row r="47" spans="1:227" s="37" customFormat="1" x14ac:dyDescent="0.35">
      <c r="A47" s="37" t="s">
        <v>115</v>
      </c>
      <c r="GN47" s="37">
        <v>1</v>
      </c>
      <c r="GO47" s="37">
        <v>1</v>
      </c>
      <c r="GP47" s="37">
        <v>1</v>
      </c>
      <c r="GQ47" s="37">
        <v>1</v>
      </c>
      <c r="GR47" s="37">
        <v>1</v>
      </c>
    </row>
    <row r="48" spans="1:227" s="18" customFormat="1" x14ac:dyDescent="0.35">
      <c r="A48" s="18" t="s">
        <v>9</v>
      </c>
    </row>
    <row r="49" spans="1:144" s="18" customFormat="1" x14ac:dyDescent="0.35">
      <c r="A49" t="s">
        <v>77</v>
      </c>
      <c r="U49" s="18">
        <v>1</v>
      </c>
      <c r="CO49" s="18">
        <v>7</v>
      </c>
      <c r="CS49" s="18">
        <v>1</v>
      </c>
      <c r="CT49" s="18">
        <v>1</v>
      </c>
      <c r="CW49" s="18">
        <v>1</v>
      </c>
      <c r="CX49" s="18">
        <v>1</v>
      </c>
      <c r="CY49" s="18">
        <v>1</v>
      </c>
      <c r="CZ49" s="18">
        <v>1</v>
      </c>
      <c r="DA49" s="18">
        <v>1</v>
      </c>
      <c r="DB49" s="18">
        <v>1</v>
      </c>
      <c r="DC49" s="18">
        <v>1</v>
      </c>
      <c r="DD49" s="18">
        <v>1</v>
      </c>
      <c r="DE49" s="18">
        <v>1</v>
      </c>
    </row>
    <row r="50" spans="1:144" s="18" customFormat="1" x14ac:dyDescent="0.35">
      <c r="A50" t="s">
        <v>72</v>
      </c>
      <c r="AF50" s="18" t="s">
        <v>83</v>
      </c>
      <c r="CO50" s="18">
        <v>11</v>
      </c>
      <c r="CR50" s="18">
        <v>2</v>
      </c>
      <c r="CS50" s="18">
        <v>2</v>
      </c>
      <c r="CT50" s="18">
        <v>2</v>
      </c>
      <c r="CU50" s="18">
        <v>2</v>
      </c>
      <c r="CV50" s="18">
        <v>1</v>
      </c>
      <c r="DT50" s="18">
        <v>1</v>
      </c>
      <c r="DU50" s="18">
        <v>1</v>
      </c>
      <c r="DV50" s="18">
        <v>1</v>
      </c>
      <c r="DW50" s="18">
        <v>1</v>
      </c>
      <c r="DX50" s="18">
        <v>1</v>
      </c>
      <c r="DY50" s="18">
        <v>1</v>
      </c>
      <c r="DZ50" s="18">
        <v>1</v>
      </c>
    </row>
    <row r="51" spans="1:144" s="18" customFormat="1" x14ac:dyDescent="0.35">
      <c r="A51" t="s">
        <v>71</v>
      </c>
      <c r="AF51" s="18" t="s">
        <v>83</v>
      </c>
      <c r="CO51" s="18">
        <v>6</v>
      </c>
      <c r="CR51" s="18">
        <v>1</v>
      </c>
      <c r="CS51" s="18">
        <v>1</v>
      </c>
      <c r="CT51" s="18">
        <v>1</v>
      </c>
      <c r="CU51" s="18">
        <v>1</v>
      </c>
      <c r="CV51" s="18">
        <v>1</v>
      </c>
      <c r="CW51" s="18">
        <v>1</v>
      </c>
      <c r="CX51" s="18">
        <v>1</v>
      </c>
      <c r="DT51" s="18">
        <v>1</v>
      </c>
      <c r="DU51" s="18">
        <v>1</v>
      </c>
      <c r="DV51" s="18">
        <v>1</v>
      </c>
      <c r="DW51" s="18">
        <v>1</v>
      </c>
      <c r="DX51" s="18">
        <v>1</v>
      </c>
      <c r="DY51" s="18">
        <v>1</v>
      </c>
      <c r="DZ51" s="18">
        <v>1</v>
      </c>
    </row>
    <row r="52" spans="1:144" s="18" customFormat="1" x14ac:dyDescent="0.35">
      <c r="DP52" s="33"/>
    </row>
    <row r="53" spans="1:144" s="18" customFormat="1" x14ac:dyDescent="0.35">
      <c r="A53" s="18" t="s">
        <v>7</v>
      </c>
    </row>
    <row r="54" spans="1:144" s="18" customFormat="1" x14ac:dyDescent="0.35">
      <c r="A54" t="s">
        <v>82</v>
      </c>
      <c r="AF54" s="18" t="s">
        <v>9</v>
      </c>
      <c r="CR54" s="18">
        <v>1</v>
      </c>
      <c r="CS54" s="18">
        <v>1</v>
      </c>
      <c r="CT54" s="18">
        <v>1</v>
      </c>
      <c r="CU54" s="18">
        <v>1</v>
      </c>
      <c r="CV54" s="18">
        <v>1</v>
      </c>
      <c r="CW54" s="18">
        <v>1</v>
      </c>
      <c r="CX54" s="18">
        <v>1</v>
      </c>
    </row>
    <row r="55" spans="1:144" s="18" customFormat="1" x14ac:dyDescent="0.35">
      <c r="A55" t="s">
        <v>84</v>
      </c>
      <c r="AF55" s="18" t="s">
        <v>9</v>
      </c>
      <c r="CW55" s="18">
        <v>1</v>
      </c>
      <c r="CX55" s="18">
        <v>1</v>
      </c>
      <c r="CY55" s="18">
        <v>1</v>
      </c>
      <c r="CZ55" s="18">
        <v>1</v>
      </c>
    </row>
    <row r="56" spans="1:144" s="18" customFormat="1" x14ac:dyDescent="0.35">
      <c r="A56" t="s">
        <v>85</v>
      </c>
      <c r="AF56" s="18" t="s">
        <v>9</v>
      </c>
      <c r="CY56" s="18">
        <v>1</v>
      </c>
      <c r="CZ56" s="18">
        <v>1</v>
      </c>
      <c r="DA56" s="18">
        <v>1</v>
      </c>
      <c r="DB56" s="18">
        <v>1</v>
      </c>
      <c r="DC56" s="18">
        <v>1</v>
      </c>
      <c r="DD56" s="18">
        <v>1</v>
      </c>
      <c r="DE56" s="18">
        <v>1</v>
      </c>
    </row>
    <row r="57" spans="1:144" s="18" customFormat="1" x14ac:dyDescent="0.35">
      <c r="A57" t="s">
        <v>87</v>
      </c>
      <c r="AF57" s="18" t="s">
        <v>9</v>
      </c>
      <c r="CY57" s="18">
        <v>1</v>
      </c>
      <c r="CZ57" s="18">
        <v>1</v>
      </c>
      <c r="DA57" s="18">
        <v>1</v>
      </c>
      <c r="DB57" s="18">
        <v>1</v>
      </c>
      <c r="DC57" s="18">
        <v>2</v>
      </c>
      <c r="DD57" s="18">
        <v>2</v>
      </c>
      <c r="DE57" s="18">
        <v>2</v>
      </c>
      <c r="DF57" s="18">
        <v>2</v>
      </c>
      <c r="DG57" s="18">
        <v>2</v>
      </c>
      <c r="DH57" s="18">
        <v>2</v>
      </c>
      <c r="DI57" s="18">
        <v>2</v>
      </c>
      <c r="DJ57" s="18">
        <v>2</v>
      </c>
      <c r="DK57" s="18">
        <v>2</v>
      </c>
      <c r="DL57" s="18">
        <v>2</v>
      </c>
      <c r="DM57" s="18">
        <v>2</v>
      </c>
      <c r="DT57" s="18">
        <v>1</v>
      </c>
      <c r="DU57" s="18">
        <v>1</v>
      </c>
      <c r="DV57" s="18">
        <v>1</v>
      </c>
      <c r="ED57" s="18">
        <v>1</v>
      </c>
      <c r="EE57" s="18">
        <v>1</v>
      </c>
      <c r="EF57" s="18">
        <v>1</v>
      </c>
      <c r="EG57" s="18">
        <v>1</v>
      </c>
    </row>
    <row r="58" spans="1:144" s="18" customFormat="1" x14ac:dyDescent="0.35">
      <c r="A58" t="s">
        <v>74</v>
      </c>
      <c r="AF58" s="18" t="s">
        <v>9</v>
      </c>
      <c r="ED58" s="18">
        <v>1</v>
      </c>
      <c r="EE58" s="18">
        <v>1</v>
      </c>
      <c r="EF58" s="18">
        <v>1</v>
      </c>
      <c r="EG58" s="18">
        <v>1</v>
      </c>
    </row>
    <row r="59" spans="1:144" s="18" customFormat="1" x14ac:dyDescent="0.35">
      <c r="A59" t="s">
        <v>86</v>
      </c>
      <c r="AF59" s="18" t="s">
        <v>9</v>
      </c>
      <c r="CY59" s="18">
        <v>1</v>
      </c>
      <c r="CZ59" s="18">
        <v>1</v>
      </c>
      <c r="DA59" s="18">
        <v>1</v>
      </c>
      <c r="DO59" s="18">
        <v>1</v>
      </c>
      <c r="DP59" s="18">
        <v>1</v>
      </c>
    </row>
    <row r="60" spans="1:144" s="18" customFormat="1" x14ac:dyDescent="0.35">
      <c r="A60" t="s">
        <v>88</v>
      </c>
      <c r="AF60" s="18" t="s">
        <v>65</v>
      </c>
      <c r="CR60" s="18">
        <v>1</v>
      </c>
      <c r="CS60" s="18">
        <v>1</v>
      </c>
      <c r="CT60" s="18">
        <v>1</v>
      </c>
      <c r="CU60" s="18">
        <v>1</v>
      </c>
      <c r="CV60" s="18">
        <v>1</v>
      </c>
      <c r="CW60" s="18">
        <v>1</v>
      </c>
      <c r="CX60" s="18">
        <v>1</v>
      </c>
      <c r="CY60" s="18">
        <v>1</v>
      </c>
      <c r="CZ60" s="18">
        <v>1</v>
      </c>
      <c r="DF60" s="18">
        <v>1</v>
      </c>
      <c r="DG60" s="18">
        <v>1</v>
      </c>
      <c r="DH60" s="18">
        <v>1</v>
      </c>
      <c r="DI60" s="18">
        <v>1</v>
      </c>
      <c r="DJ60" s="18">
        <v>1</v>
      </c>
      <c r="DK60" s="18">
        <v>1</v>
      </c>
      <c r="DL60" s="18">
        <v>1</v>
      </c>
      <c r="DM60" s="18">
        <v>1</v>
      </c>
      <c r="DN60" s="18">
        <v>1</v>
      </c>
      <c r="DT60" s="18">
        <v>2</v>
      </c>
      <c r="DU60" s="18">
        <v>2</v>
      </c>
      <c r="DV60" s="18">
        <v>2</v>
      </c>
      <c r="DW60" s="18">
        <v>2</v>
      </c>
      <c r="DX60" s="18">
        <v>2</v>
      </c>
      <c r="DY60" s="18">
        <v>2</v>
      </c>
      <c r="DZ60" s="18">
        <v>1</v>
      </c>
      <c r="ED60" s="18">
        <v>4</v>
      </c>
      <c r="EE60" s="18">
        <v>4</v>
      </c>
      <c r="EF60" s="18">
        <v>4</v>
      </c>
      <c r="EG60" s="18">
        <v>4</v>
      </c>
      <c r="EH60" s="18">
        <v>4</v>
      </c>
      <c r="EI60" s="18">
        <v>4</v>
      </c>
      <c r="EJ60" s="18">
        <v>4</v>
      </c>
      <c r="EK60" s="18">
        <v>4</v>
      </c>
      <c r="EL60" s="18">
        <v>4</v>
      </c>
      <c r="EM60" s="18">
        <v>4</v>
      </c>
      <c r="EN60" s="18">
        <v>4</v>
      </c>
    </row>
    <row r="61" spans="1:144" s="18" customFormat="1" x14ac:dyDescent="0.35">
      <c r="A61" t="s">
        <v>94</v>
      </c>
      <c r="AF61" s="18" t="s">
        <v>9</v>
      </c>
      <c r="DQ61" s="18">
        <v>1</v>
      </c>
      <c r="DR61" s="18">
        <v>1</v>
      </c>
      <c r="EH61" s="18">
        <v>2</v>
      </c>
      <c r="EI61" s="18">
        <v>2</v>
      </c>
      <c r="EJ61" s="18">
        <v>2</v>
      </c>
    </row>
    <row r="62" spans="1:144" s="18" customFormat="1" x14ac:dyDescent="0.35">
      <c r="A62" t="s">
        <v>81</v>
      </c>
      <c r="AF62" s="18" t="s">
        <v>65</v>
      </c>
      <c r="CR62" s="18">
        <v>1</v>
      </c>
      <c r="CS62" s="18">
        <v>1</v>
      </c>
      <c r="CT62" s="18">
        <v>1</v>
      </c>
      <c r="CU62" s="18">
        <v>1</v>
      </c>
      <c r="CV62" s="18">
        <v>1</v>
      </c>
      <c r="CW62" s="18">
        <v>1</v>
      </c>
      <c r="CX62" s="18">
        <v>1</v>
      </c>
      <c r="CY62" s="18">
        <v>1</v>
      </c>
      <c r="CZ62" s="18">
        <v>1</v>
      </c>
      <c r="DA62" s="18">
        <v>1</v>
      </c>
      <c r="DB62" s="18">
        <v>1</v>
      </c>
      <c r="DC62" s="18">
        <v>1</v>
      </c>
      <c r="DD62" s="18">
        <v>1</v>
      </c>
      <c r="DE62" s="18">
        <v>1</v>
      </c>
      <c r="DF62" s="18">
        <v>1</v>
      </c>
      <c r="DG62" s="18">
        <v>1</v>
      </c>
      <c r="DH62" s="18">
        <v>1</v>
      </c>
      <c r="DI62" s="18">
        <v>1</v>
      </c>
      <c r="DJ62" s="18">
        <v>1</v>
      </c>
      <c r="DK62" s="18">
        <v>1</v>
      </c>
      <c r="DL62" s="18">
        <v>1</v>
      </c>
      <c r="DY62" s="18">
        <v>1</v>
      </c>
      <c r="DZ62" s="18">
        <v>1</v>
      </c>
      <c r="ED62" s="18">
        <v>2</v>
      </c>
      <c r="EE62" s="18">
        <v>2</v>
      </c>
      <c r="EF62" s="18">
        <v>2</v>
      </c>
      <c r="EG62" s="18">
        <v>2</v>
      </c>
    </row>
    <row r="63" spans="1:144" s="18" customFormat="1" x14ac:dyDescent="0.35">
      <c r="A63" s="34"/>
      <c r="CY63" s="18">
        <v>1</v>
      </c>
      <c r="CZ63" s="18">
        <v>1</v>
      </c>
      <c r="DA63" s="18">
        <v>1</v>
      </c>
      <c r="DB63" s="18">
        <v>1</v>
      </c>
      <c r="DC63" s="18">
        <v>1</v>
      </c>
      <c r="DD63" s="18">
        <v>1</v>
      </c>
      <c r="DE63" s="18">
        <v>1</v>
      </c>
    </row>
    <row r="64" spans="1:144" s="18" customFormat="1" x14ac:dyDescent="0.35"/>
    <row r="65" spans="1:117" s="18" customFormat="1" x14ac:dyDescent="0.35"/>
    <row r="66" spans="1:117" s="18" customFormat="1" x14ac:dyDescent="0.35"/>
    <row r="67" spans="1:117" s="18" customFormat="1" x14ac:dyDescent="0.35">
      <c r="A67" s="18" t="s">
        <v>95</v>
      </c>
    </row>
    <row r="68" spans="1:117" s="18" customFormat="1" x14ac:dyDescent="0.35">
      <c r="A68" s="18" t="s">
        <v>96</v>
      </c>
      <c r="DM68" s="18">
        <v>1</v>
      </c>
    </row>
    <row r="69" spans="1:117" s="18" customFormat="1" x14ac:dyDescent="0.35"/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5B440-D408-46F9-9965-210AEB1D6CD1}">
  <dimension ref="A1:Y8"/>
  <sheetViews>
    <sheetView workbookViewId="0">
      <selection activeCell="Q18" sqref="Q18"/>
    </sheetView>
  </sheetViews>
  <sheetFormatPr defaultRowHeight="15.5" x14ac:dyDescent="0.35"/>
  <cols>
    <col min="1" max="1" width="28.83203125" customWidth="1"/>
    <col min="3" max="16" width="14.5" hidden="1" customWidth="1"/>
    <col min="17" max="18" width="14.5" customWidth="1"/>
  </cols>
  <sheetData>
    <row r="1" spans="1:25" x14ac:dyDescent="0.35">
      <c r="A1" t="s">
        <v>70</v>
      </c>
      <c r="C1" s="9">
        <v>46123</v>
      </c>
      <c r="D1" s="9">
        <v>46124</v>
      </c>
      <c r="E1" s="8">
        <v>46125</v>
      </c>
      <c r="F1" s="8">
        <v>46126</v>
      </c>
      <c r="G1" s="8">
        <v>46127</v>
      </c>
      <c r="H1" s="8">
        <v>46128</v>
      </c>
      <c r="I1" s="8">
        <v>46129</v>
      </c>
      <c r="J1" s="9">
        <v>46130</v>
      </c>
      <c r="K1" s="9">
        <v>46131</v>
      </c>
      <c r="L1" s="8">
        <v>46132</v>
      </c>
      <c r="M1" s="35">
        <v>46133</v>
      </c>
      <c r="N1" s="35">
        <v>46134</v>
      </c>
      <c r="O1" s="35">
        <v>46135</v>
      </c>
      <c r="P1" s="35">
        <v>46136</v>
      </c>
      <c r="Q1" s="9">
        <v>46137</v>
      </c>
      <c r="R1" s="9">
        <v>46138</v>
      </c>
      <c r="S1" s="8">
        <v>46139</v>
      </c>
      <c r="T1" s="35">
        <v>46140</v>
      </c>
      <c r="U1" s="35">
        <v>46141</v>
      </c>
      <c r="V1" s="35">
        <v>46142</v>
      </c>
      <c r="W1" s="35">
        <v>46143</v>
      </c>
      <c r="X1" s="9">
        <v>46144</v>
      </c>
      <c r="Y1" s="9">
        <v>46145</v>
      </c>
    </row>
    <row r="2" spans="1:25" x14ac:dyDescent="0.35">
      <c r="A2" t="s">
        <v>100</v>
      </c>
      <c r="M2" s="36"/>
      <c r="N2" s="36"/>
      <c r="O2" s="36"/>
      <c r="P2" s="36"/>
    </row>
    <row r="3" spans="1:25" x14ac:dyDescent="0.35">
      <c r="A3" t="s">
        <v>109</v>
      </c>
      <c r="F3" t="s">
        <v>101</v>
      </c>
      <c r="J3">
        <v>2</v>
      </c>
      <c r="K3">
        <v>2</v>
      </c>
      <c r="L3">
        <v>2</v>
      </c>
      <c r="M3" s="36">
        <v>1</v>
      </c>
      <c r="N3" s="36">
        <v>1</v>
      </c>
      <c r="O3" s="36">
        <v>1</v>
      </c>
      <c r="P3" s="36">
        <v>1</v>
      </c>
    </row>
    <row r="4" spans="1:25" x14ac:dyDescent="0.35">
      <c r="A4" t="s">
        <v>108</v>
      </c>
      <c r="H4">
        <v>2</v>
      </c>
      <c r="I4">
        <v>2</v>
      </c>
      <c r="J4">
        <v>1</v>
      </c>
      <c r="K4">
        <v>1</v>
      </c>
      <c r="L4">
        <v>1</v>
      </c>
      <c r="M4" s="36">
        <v>1</v>
      </c>
      <c r="N4" s="36">
        <v>1</v>
      </c>
      <c r="O4" s="36">
        <v>1</v>
      </c>
      <c r="P4" s="36">
        <v>1</v>
      </c>
    </row>
    <row r="5" spans="1:25" x14ac:dyDescent="0.35">
      <c r="A5" t="s">
        <v>102</v>
      </c>
      <c r="C5">
        <v>1</v>
      </c>
      <c r="D5">
        <v>1</v>
      </c>
      <c r="E5">
        <v>2</v>
      </c>
      <c r="F5">
        <v>2</v>
      </c>
      <c r="G5">
        <v>2</v>
      </c>
      <c r="H5">
        <v>4</v>
      </c>
      <c r="I5">
        <v>3</v>
      </c>
      <c r="J5">
        <v>2</v>
      </c>
      <c r="K5">
        <v>2</v>
      </c>
      <c r="L5">
        <v>1</v>
      </c>
      <c r="M5" s="36">
        <v>1</v>
      </c>
      <c r="N5" s="36">
        <v>1</v>
      </c>
      <c r="O5" s="36">
        <v>1</v>
      </c>
      <c r="P5" s="36">
        <v>1</v>
      </c>
    </row>
    <row r="6" spans="1:25" x14ac:dyDescent="0.35">
      <c r="A6" t="s">
        <v>99</v>
      </c>
      <c r="C6">
        <v>4</v>
      </c>
      <c r="D6">
        <v>4</v>
      </c>
      <c r="E6">
        <v>4</v>
      </c>
      <c r="F6">
        <v>4</v>
      </c>
      <c r="G6">
        <v>4</v>
      </c>
      <c r="H6">
        <v>3</v>
      </c>
      <c r="I6">
        <v>3</v>
      </c>
      <c r="J6">
        <v>7</v>
      </c>
      <c r="K6">
        <v>7</v>
      </c>
      <c r="L6">
        <v>8</v>
      </c>
      <c r="M6" s="36">
        <v>8</v>
      </c>
      <c r="N6" s="36">
        <v>8</v>
      </c>
      <c r="O6" s="36">
        <v>8</v>
      </c>
      <c r="P6" s="36">
        <v>8</v>
      </c>
      <c r="Q6" s="36">
        <v>8</v>
      </c>
      <c r="R6" s="36">
        <v>8</v>
      </c>
      <c r="S6" s="36">
        <v>8</v>
      </c>
      <c r="T6" s="36">
        <v>8</v>
      </c>
      <c r="U6" s="36">
        <v>8</v>
      </c>
      <c r="V6" s="36">
        <v>8</v>
      </c>
      <c r="W6" s="36">
        <v>8</v>
      </c>
      <c r="X6" s="36">
        <v>8</v>
      </c>
      <c r="Y6" s="36">
        <v>8</v>
      </c>
    </row>
    <row r="7" spans="1:25" x14ac:dyDescent="0.35">
      <c r="A7" t="s">
        <v>103</v>
      </c>
      <c r="C7">
        <v>2</v>
      </c>
      <c r="D7">
        <v>2</v>
      </c>
      <c r="E7">
        <v>1</v>
      </c>
      <c r="F7">
        <v>1</v>
      </c>
      <c r="G7">
        <v>2</v>
      </c>
      <c r="H7">
        <v>2</v>
      </c>
      <c r="I7">
        <v>3</v>
      </c>
      <c r="M7" s="36"/>
      <c r="N7" s="36"/>
      <c r="O7" s="36"/>
      <c r="P7" s="36"/>
    </row>
    <row r="8" spans="1:25" x14ac:dyDescent="0.35">
      <c r="A8" t="s">
        <v>104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M8" s="36"/>
      <c r="N8" s="36"/>
      <c r="O8" s="36"/>
      <c r="P8" s="3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E5EBF-E51D-4D73-805E-AD7A7C768E11}">
  <dimension ref="A2:I39"/>
  <sheetViews>
    <sheetView topLeftCell="A4" workbookViewId="0">
      <selection activeCell="C2" sqref="C2"/>
    </sheetView>
  </sheetViews>
  <sheetFormatPr defaultRowHeight="15.5" x14ac:dyDescent="0.35"/>
  <cols>
    <col min="1" max="1" width="11.6640625" customWidth="1"/>
    <col min="2" max="3" width="22.75" customWidth="1"/>
    <col min="4" max="4" width="13.83203125" bestFit="1" customWidth="1"/>
    <col min="5" max="5" width="21.83203125" style="8" bestFit="1" customWidth="1"/>
    <col min="6" max="6" width="13.5" bestFit="1" customWidth="1"/>
  </cols>
  <sheetData>
    <row r="2" spans="1:9" x14ac:dyDescent="0.35">
      <c r="A2" t="s">
        <v>121</v>
      </c>
      <c r="B2" t="s">
        <v>132</v>
      </c>
      <c r="C2" t="s">
        <v>122</v>
      </c>
      <c r="D2" t="s">
        <v>123</v>
      </c>
      <c r="E2" s="4">
        <v>46200</v>
      </c>
      <c r="F2">
        <v>8414</v>
      </c>
      <c r="G2" t="s">
        <v>124</v>
      </c>
      <c r="H2" t="s">
        <v>119</v>
      </c>
      <c r="I2" t="s">
        <v>125</v>
      </c>
    </row>
    <row r="3" spans="1:9" x14ac:dyDescent="0.35">
      <c r="A3" t="s">
        <v>126</v>
      </c>
      <c r="B3" t="s">
        <v>132</v>
      </c>
      <c r="C3" t="s">
        <v>122</v>
      </c>
      <c r="D3" t="s">
        <v>123</v>
      </c>
      <c r="E3" s="4">
        <v>46200</v>
      </c>
      <c r="F3">
        <v>8500</v>
      </c>
      <c r="G3" t="s">
        <v>127</v>
      </c>
      <c r="H3" t="s">
        <v>119</v>
      </c>
      <c r="I3" t="s">
        <v>125</v>
      </c>
    </row>
    <row r="4" spans="1:9" x14ac:dyDescent="0.35">
      <c r="A4" t="s">
        <v>128</v>
      </c>
      <c r="B4" t="s">
        <v>132</v>
      </c>
      <c r="C4" t="s">
        <v>122</v>
      </c>
      <c r="D4" t="s">
        <v>123</v>
      </c>
      <c r="E4" s="4">
        <v>46200</v>
      </c>
      <c r="F4">
        <v>8459</v>
      </c>
      <c r="G4" t="s">
        <v>127</v>
      </c>
      <c r="H4" t="s">
        <v>119</v>
      </c>
      <c r="I4" t="s">
        <v>125</v>
      </c>
    </row>
    <row r="5" spans="1:9" x14ac:dyDescent="0.35">
      <c r="A5" t="s">
        <v>129</v>
      </c>
      <c r="B5" t="s">
        <v>132</v>
      </c>
      <c r="C5" t="s">
        <v>122</v>
      </c>
      <c r="D5" t="s">
        <v>123</v>
      </c>
      <c r="E5" s="4">
        <v>46200</v>
      </c>
      <c r="F5">
        <v>8500</v>
      </c>
      <c r="G5" t="s">
        <v>127</v>
      </c>
      <c r="H5" t="s">
        <v>119</v>
      </c>
      <c r="I5" t="s">
        <v>125</v>
      </c>
    </row>
    <row r="6" spans="1:9" x14ac:dyDescent="0.35">
      <c r="A6" t="s">
        <v>130</v>
      </c>
      <c r="B6" t="s">
        <v>132</v>
      </c>
      <c r="C6" t="s">
        <v>122</v>
      </c>
      <c r="D6" t="s">
        <v>123</v>
      </c>
      <c r="E6" s="4">
        <v>46200</v>
      </c>
      <c r="F6">
        <v>8485</v>
      </c>
      <c r="G6" t="s">
        <v>127</v>
      </c>
      <c r="H6" t="s">
        <v>119</v>
      </c>
      <c r="I6" t="s">
        <v>125</v>
      </c>
    </row>
    <row r="7" spans="1:9" x14ac:dyDescent="0.35">
      <c r="A7" t="s">
        <v>131</v>
      </c>
      <c r="B7" t="s">
        <v>132</v>
      </c>
      <c r="C7" t="s">
        <v>122</v>
      </c>
      <c r="D7" t="s">
        <v>123</v>
      </c>
      <c r="E7" s="4">
        <v>46200</v>
      </c>
      <c r="F7">
        <v>7683</v>
      </c>
      <c r="G7" t="s">
        <v>127</v>
      </c>
      <c r="H7" t="s">
        <v>119</v>
      </c>
      <c r="I7" t="s">
        <v>125</v>
      </c>
    </row>
    <row r="10" spans="1:9" x14ac:dyDescent="0.35">
      <c r="A10" t="s">
        <v>133</v>
      </c>
      <c r="B10" t="s">
        <v>134</v>
      </c>
      <c r="C10" t="s">
        <v>41</v>
      </c>
      <c r="D10" t="s">
        <v>135</v>
      </c>
      <c r="E10" s="8" t="s">
        <v>136</v>
      </c>
      <c r="F10" t="s">
        <v>137</v>
      </c>
    </row>
    <row r="11" spans="1:9" x14ac:dyDescent="0.35">
      <c r="A11" t="s">
        <v>138</v>
      </c>
      <c r="B11" t="s">
        <v>139</v>
      </c>
      <c r="C11">
        <v>38610</v>
      </c>
      <c r="D11" t="s">
        <v>140</v>
      </c>
      <c r="E11" s="8" t="s">
        <v>141</v>
      </c>
      <c r="F11" t="s">
        <v>123</v>
      </c>
    </row>
    <row r="12" spans="1:9" x14ac:dyDescent="0.35">
      <c r="A12" t="s">
        <v>142</v>
      </c>
      <c r="B12" t="s">
        <v>139</v>
      </c>
      <c r="C12">
        <v>39960</v>
      </c>
      <c r="D12" t="s">
        <v>140</v>
      </c>
      <c r="E12" s="8" t="s">
        <v>141</v>
      </c>
      <c r="F12" t="s">
        <v>123</v>
      </c>
    </row>
    <row r="13" spans="1:9" x14ac:dyDescent="0.35">
      <c r="A13" t="s">
        <v>143</v>
      </c>
      <c r="B13" t="s">
        <v>139</v>
      </c>
      <c r="C13">
        <v>39723</v>
      </c>
      <c r="D13" t="s">
        <v>140</v>
      </c>
      <c r="E13" s="8" t="s">
        <v>141</v>
      </c>
      <c r="F13" t="s">
        <v>123</v>
      </c>
    </row>
    <row r="14" spans="1:9" x14ac:dyDescent="0.35">
      <c r="A14" t="s">
        <v>144</v>
      </c>
      <c r="B14" t="s">
        <v>139</v>
      </c>
      <c r="C14">
        <v>39494</v>
      </c>
      <c r="D14" t="s">
        <v>140</v>
      </c>
      <c r="E14" s="8" t="s">
        <v>141</v>
      </c>
      <c r="F14" t="s">
        <v>123</v>
      </c>
    </row>
    <row r="15" spans="1:9" x14ac:dyDescent="0.35">
      <c r="A15" t="s">
        <v>145</v>
      </c>
      <c r="B15" t="s">
        <v>139</v>
      </c>
      <c r="C15">
        <v>39457</v>
      </c>
      <c r="D15" t="s">
        <v>140</v>
      </c>
      <c r="E15" s="8" t="s">
        <v>141</v>
      </c>
      <c r="F15" t="s">
        <v>123</v>
      </c>
    </row>
    <row r="16" spans="1:9" x14ac:dyDescent="0.35">
      <c r="A16" t="s">
        <v>146</v>
      </c>
      <c r="B16" t="s">
        <v>139</v>
      </c>
      <c r="C16">
        <v>39960</v>
      </c>
      <c r="D16" t="s">
        <v>140</v>
      </c>
      <c r="E16" s="8" t="s">
        <v>141</v>
      </c>
      <c r="F16" t="s">
        <v>123</v>
      </c>
    </row>
    <row r="17" spans="1:6" x14ac:dyDescent="0.35">
      <c r="A17" t="s">
        <v>147</v>
      </c>
      <c r="B17" t="s">
        <v>139</v>
      </c>
      <c r="C17">
        <v>39926</v>
      </c>
      <c r="D17" t="s">
        <v>140</v>
      </c>
      <c r="E17" s="8" t="s">
        <v>141</v>
      </c>
      <c r="F17" t="s">
        <v>123</v>
      </c>
    </row>
    <row r="18" spans="1:6" x14ac:dyDescent="0.35">
      <c r="A18" t="s">
        <v>148</v>
      </c>
      <c r="B18" t="s">
        <v>139</v>
      </c>
      <c r="C18">
        <v>39730</v>
      </c>
      <c r="D18" t="s">
        <v>140</v>
      </c>
      <c r="E18" s="8" t="s">
        <v>141</v>
      </c>
      <c r="F18" t="s">
        <v>123</v>
      </c>
    </row>
    <row r="19" spans="1:6" x14ac:dyDescent="0.35">
      <c r="A19" t="s">
        <v>149</v>
      </c>
      <c r="B19" t="s">
        <v>139</v>
      </c>
      <c r="C19">
        <v>39960</v>
      </c>
      <c r="D19" t="s">
        <v>140</v>
      </c>
      <c r="E19" s="8" t="s">
        <v>141</v>
      </c>
      <c r="F19" t="s">
        <v>123</v>
      </c>
    </row>
    <row r="20" spans="1:6" x14ac:dyDescent="0.35">
      <c r="A20" t="s">
        <v>150</v>
      </c>
      <c r="B20" t="s">
        <v>139</v>
      </c>
      <c r="C20">
        <v>39960</v>
      </c>
      <c r="D20" t="s">
        <v>140</v>
      </c>
      <c r="E20" s="8" t="s">
        <v>141</v>
      </c>
      <c r="F20" t="s">
        <v>123</v>
      </c>
    </row>
    <row r="21" spans="1:6" x14ac:dyDescent="0.35">
      <c r="A21" t="s">
        <v>151</v>
      </c>
      <c r="B21" t="s">
        <v>139</v>
      </c>
      <c r="C21">
        <v>39960</v>
      </c>
      <c r="D21" t="s">
        <v>140</v>
      </c>
      <c r="E21" s="8" t="s">
        <v>141</v>
      </c>
      <c r="F21" t="s">
        <v>123</v>
      </c>
    </row>
    <row r="22" spans="1:6" x14ac:dyDescent="0.35">
      <c r="A22" t="s">
        <v>152</v>
      </c>
      <c r="B22" t="s">
        <v>139</v>
      </c>
      <c r="C22">
        <v>39950</v>
      </c>
      <c r="D22" t="s">
        <v>140</v>
      </c>
      <c r="E22" s="8" t="s">
        <v>141</v>
      </c>
      <c r="F22" t="s">
        <v>123</v>
      </c>
    </row>
    <row r="23" spans="1:6" x14ac:dyDescent="0.35">
      <c r="A23" t="s">
        <v>153</v>
      </c>
      <c r="B23" t="s">
        <v>139</v>
      </c>
      <c r="C23">
        <v>39925</v>
      </c>
      <c r="D23" t="s">
        <v>140</v>
      </c>
      <c r="E23" s="8" t="s">
        <v>141</v>
      </c>
      <c r="F23" t="s">
        <v>123</v>
      </c>
    </row>
    <row r="24" spans="1:6" x14ac:dyDescent="0.35">
      <c r="A24" t="s">
        <v>154</v>
      </c>
      <c r="B24" t="s">
        <v>139</v>
      </c>
      <c r="C24">
        <v>39928</v>
      </c>
      <c r="D24" t="s">
        <v>140</v>
      </c>
      <c r="E24" s="8" t="s">
        <v>141</v>
      </c>
      <c r="F24" t="s">
        <v>123</v>
      </c>
    </row>
    <row r="25" spans="1:6" x14ac:dyDescent="0.35">
      <c r="A25" t="s">
        <v>155</v>
      </c>
      <c r="B25" t="s">
        <v>139</v>
      </c>
      <c r="C25">
        <v>38814</v>
      </c>
      <c r="D25" t="s">
        <v>140</v>
      </c>
      <c r="E25" s="8" t="s">
        <v>141</v>
      </c>
      <c r="F25" t="s">
        <v>123</v>
      </c>
    </row>
    <row r="26" spans="1:6" x14ac:dyDescent="0.35">
      <c r="A26" t="s">
        <v>156</v>
      </c>
      <c r="B26" t="s">
        <v>139</v>
      </c>
      <c r="C26">
        <v>39960</v>
      </c>
      <c r="D26" t="s">
        <v>140</v>
      </c>
      <c r="E26" s="8" t="s">
        <v>141</v>
      </c>
      <c r="F26" t="s">
        <v>123</v>
      </c>
    </row>
    <row r="27" spans="1:6" x14ac:dyDescent="0.35">
      <c r="A27" t="s">
        <v>157</v>
      </c>
      <c r="B27" t="s">
        <v>139</v>
      </c>
      <c r="C27">
        <v>39960</v>
      </c>
      <c r="D27" t="s">
        <v>140</v>
      </c>
      <c r="E27" s="8" t="s">
        <v>141</v>
      </c>
      <c r="F27" t="s">
        <v>123</v>
      </c>
    </row>
    <row r="28" spans="1:6" x14ac:dyDescent="0.35">
      <c r="A28" t="s">
        <v>158</v>
      </c>
      <c r="B28" t="s">
        <v>139</v>
      </c>
      <c r="C28">
        <v>39929</v>
      </c>
      <c r="D28" t="s">
        <v>140</v>
      </c>
      <c r="E28" s="8" t="s">
        <v>141</v>
      </c>
      <c r="F28" t="s">
        <v>123</v>
      </c>
    </row>
    <row r="29" spans="1:6" x14ac:dyDescent="0.35">
      <c r="A29" t="s">
        <v>159</v>
      </c>
      <c r="B29" t="s">
        <v>139</v>
      </c>
      <c r="C29">
        <v>39792</v>
      </c>
      <c r="D29" t="s">
        <v>140</v>
      </c>
      <c r="E29" s="8" t="s">
        <v>141</v>
      </c>
      <c r="F29" t="s">
        <v>123</v>
      </c>
    </row>
    <row r="30" spans="1:6" x14ac:dyDescent="0.35">
      <c r="A30" t="s">
        <v>160</v>
      </c>
      <c r="B30" t="s">
        <v>161</v>
      </c>
      <c r="C30">
        <v>28724</v>
      </c>
      <c r="D30" t="s">
        <v>140</v>
      </c>
      <c r="E30" s="8" t="s">
        <v>162</v>
      </c>
      <c r="F30" t="s">
        <v>123</v>
      </c>
    </row>
    <row r="31" spans="1:6" x14ac:dyDescent="0.35">
      <c r="A31" t="s">
        <v>163</v>
      </c>
      <c r="B31" t="s">
        <v>161</v>
      </c>
      <c r="C31">
        <v>28446</v>
      </c>
      <c r="D31" t="s">
        <v>140</v>
      </c>
      <c r="E31" s="8" t="s">
        <v>162</v>
      </c>
      <c r="F31" t="s">
        <v>123</v>
      </c>
    </row>
    <row r="32" spans="1:6" x14ac:dyDescent="0.35">
      <c r="A32" t="s">
        <v>164</v>
      </c>
      <c r="B32" t="s">
        <v>161</v>
      </c>
      <c r="C32">
        <v>28739</v>
      </c>
      <c r="D32" t="s">
        <v>140</v>
      </c>
      <c r="E32" s="8" t="s">
        <v>162</v>
      </c>
      <c r="F32" t="s">
        <v>123</v>
      </c>
    </row>
    <row r="36" spans="1:8" x14ac:dyDescent="0.35">
      <c r="A36" t="s">
        <v>166</v>
      </c>
      <c r="B36" t="s">
        <v>170</v>
      </c>
      <c r="C36" t="s">
        <v>167</v>
      </c>
      <c r="D36" t="s">
        <v>168</v>
      </c>
      <c r="E36" s="8">
        <v>46205</v>
      </c>
      <c r="F36">
        <v>33595</v>
      </c>
      <c r="G36" t="s">
        <v>169</v>
      </c>
      <c r="H36" t="s">
        <v>119</v>
      </c>
    </row>
    <row r="37" spans="1:8" x14ac:dyDescent="0.35">
      <c r="A37" t="s">
        <v>160</v>
      </c>
      <c r="B37" t="s">
        <v>88</v>
      </c>
      <c r="C37" s="8" t="s">
        <v>162</v>
      </c>
      <c r="D37" t="s">
        <v>123</v>
      </c>
      <c r="E37" s="8">
        <v>46206</v>
      </c>
      <c r="F37">
        <v>28724</v>
      </c>
    </row>
    <row r="38" spans="1:8" x14ac:dyDescent="0.35">
      <c r="A38" t="s">
        <v>163</v>
      </c>
      <c r="B38" t="s">
        <v>88</v>
      </c>
      <c r="C38" s="8" t="s">
        <v>162</v>
      </c>
      <c r="D38" t="s">
        <v>123</v>
      </c>
      <c r="E38" s="8">
        <v>46206</v>
      </c>
      <c r="F38">
        <v>28446</v>
      </c>
    </row>
    <row r="39" spans="1:8" x14ac:dyDescent="0.35">
      <c r="A39" t="s">
        <v>164</v>
      </c>
      <c r="B39" t="s">
        <v>88</v>
      </c>
      <c r="C39" s="8" t="s">
        <v>162</v>
      </c>
      <c r="D39" t="s">
        <v>123</v>
      </c>
      <c r="E39" s="8">
        <v>46206</v>
      </c>
      <c r="F39">
        <v>28739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687</vt:lpstr>
      <vt:lpstr>D</vt:lpstr>
      <vt:lpstr>Rest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 Li (李佩盈)</dc:creator>
  <cp:lastModifiedBy>Esme Li (李佩盈)</cp:lastModifiedBy>
  <dcterms:created xsi:type="dcterms:W3CDTF">2026-01-08T09:31:04Z</dcterms:created>
  <dcterms:modified xsi:type="dcterms:W3CDTF">2026-07-01T09:22:42Z</dcterms:modified>
</cp:coreProperties>
</file>