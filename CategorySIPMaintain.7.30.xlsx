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XLSZ4\Desktop\Monica\Daily Plan\7.31\"/>
    </mc:Choice>
  </mc:AlternateContent>
  <xr:revisionPtr revIDLastSave="0" documentId="13_ncr:1_{5CBE8CC9-CBFE-4A98-82D8-9673CD86464B}" xr6:coauthVersionLast="47" xr6:coauthVersionMax="47" xr10:uidLastSave="{00000000-0000-0000-0000-000000000000}"/>
  <bookViews>
    <workbookView xWindow="28680" yWindow="-120" windowWidth="21840" windowHeight="13020" activeTab="2" xr2:uid="{00000000-000D-0000-FFFF-FFFF00000000}"/>
  </bookViews>
  <sheets>
    <sheet name="Summary" sheetId="6" r:id="rId1"/>
    <sheet name="687" sheetId="2" r:id="rId2"/>
    <sheet name="D" sheetId="3" r:id="rId3"/>
    <sheet name="Rest" sheetId="5" r:id="rId4"/>
    <sheet name="Sheet1" sheetId="10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4" hidden="1">Sheet1!$F$1:$F$20</definedName>
    <definedName name="_xlnm._FilterDatabase" localSheetId="0" hidden="1">Summary!$A$1:$S$44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K5" i="3" l="1"/>
  <c r="JL5" i="3"/>
  <c r="JM5" i="3"/>
  <c r="JN5" i="3"/>
  <c r="JO5" i="3"/>
  <c r="JP5" i="3"/>
  <c r="JQ5" i="3"/>
  <c r="JQ14" i="3" s="1"/>
  <c r="JR5" i="3"/>
  <c r="JR14" i="3" s="1"/>
  <c r="JS5" i="3"/>
  <c r="JS14" i="3" s="1"/>
  <c r="JT5" i="3"/>
  <c r="JT14" i="3" s="1"/>
  <c r="JK7" i="3"/>
  <c r="JK14" i="3" s="1"/>
  <c r="JL7" i="3"/>
  <c r="JM7" i="3"/>
  <c r="JM14" i="3" s="1"/>
  <c r="JN7" i="3"/>
  <c r="JN14" i="3" s="1"/>
  <c r="JO7" i="3"/>
  <c r="JP7" i="3"/>
  <c r="JQ7" i="3"/>
  <c r="JR7" i="3"/>
  <c r="JS7" i="3"/>
  <c r="JT7" i="3"/>
  <c r="JK9" i="3"/>
  <c r="JL9" i="3"/>
  <c r="JM9" i="3"/>
  <c r="JN9" i="3"/>
  <c r="JO9" i="3"/>
  <c r="JP9" i="3"/>
  <c r="JQ9" i="3"/>
  <c r="JR9" i="3"/>
  <c r="JS9" i="3"/>
  <c r="JT9" i="3"/>
  <c r="JK11" i="3"/>
  <c r="JL11" i="3"/>
  <c r="JM11" i="3"/>
  <c r="JN11" i="3"/>
  <c r="JO11" i="3"/>
  <c r="JP11" i="3"/>
  <c r="JQ11" i="3"/>
  <c r="JR11" i="3"/>
  <c r="JS11" i="3"/>
  <c r="JT11" i="3"/>
  <c r="JK13" i="3"/>
  <c r="JL13" i="3"/>
  <c r="JM13" i="3"/>
  <c r="JN13" i="3"/>
  <c r="JO13" i="3"/>
  <c r="JP13" i="3"/>
  <c r="JQ13" i="3"/>
  <c r="JR13" i="3"/>
  <c r="JS13" i="3"/>
  <c r="JT13" i="3"/>
  <c r="JO14" i="3"/>
  <c r="JO31" i="3" s="1"/>
  <c r="JP14" i="3"/>
  <c r="JK16" i="3"/>
  <c r="JK23" i="3" s="1"/>
  <c r="JL16" i="3"/>
  <c r="JL23" i="3" s="1"/>
  <c r="JM16" i="3"/>
  <c r="JM23" i="3" s="1"/>
  <c r="JN16" i="3"/>
  <c r="JN23" i="3" s="1"/>
  <c r="JO16" i="3"/>
  <c r="JO23" i="3" s="1"/>
  <c r="JP16" i="3"/>
  <c r="JP23" i="3" s="1"/>
  <c r="JQ16" i="3"/>
  <c r="JQ23" i="3" s="1"/>
  <c r="JR16" i="3"/>
  <c r="JR23" i="3" s="1"/>
  <c r="JS16" i="3"/>
  <c r="JS23" i="3" s="1"/>
  <c r="JT16" i="3"/>
  <c r="JT23" i="3" s="1"/>
  <c r="JK18" i="3"/>
  <c r="JL18" i="3"/>
  <c r="JM18" i="3"/>
  <c r="JN18" i="3"/>
  <c r="JO18" i="3"/>
  <c r="JP18" i="3"/>
  <c r="JQ18" i="3"/>
  <c r="JR18" i="3"/>
  <c r="JS18" i="3"/>
  <c r="JT18" i="3"/>
  <c r="JK20" i="3"/>
  <c r="JL20" i="3"/>
  <c r="JM20" i="3"/>
  <c r="JN20" i="3"/>
  <c r="JO20" i="3"/>
  <c r="JP20" i="3"/>
  <c r="JQ20" i="3"/>
  <c r="JR20" i="3"/>
  <c r="JS20" i="3"/>
  <c r="JT20" i="3"/>
  <c r="JK22" i="3"/>
  <c r="JL22" i="3"/>
  <c r="JM22" i="3"/>
  <c r="JN22" i="3"/>
  <c r="JO22" i="3"/>
  <c r="JP22" i="3"/>
  <c r="JQ22" i="3"/>
  <c r="JR22" i="3"/>
  <c r="JS22" i="3"/>
  <c r="JT22" i="3"/>
  <c r="JK25" i="3"/>
  <c r="JL25" i="3"/>
  <c r="JM25" i="3"/>
  <c r="JN25" i="3"/>
  <c r="JO25" i="3"/>
  <c r="JP25" i="3"/>
  <c r="JQ25" i="3"/>
  <c r="JR25" i="3"/>
  <c r="JS25" i="3"/>
  <c r="JT25" i="3"/>
  <c r="JK27" i="3"/>
  <c r="JK30" i="3" s="1"/>
  <c r="JL27" i="3"/>
  <c r="JL30" i="3" s="1"/>
  <c r="JM27" i="3"/>
  <c r="JM30" i="3" s="1"/>
  <c r="JN27" i="3"/>
  <c r="JN30" i="3" s="1"/>
  <c r="JO27" i="3"/>
  <c r="JO30" i="3" s="1"/>
  <c r="JP27" i="3"/>
  <c r="JP30" i="3" s="1"/>
  <c r="JQ27" i="3"/>
  <c r="JR27" i="3"/>
  <c r="JS27" i="3"/>
  <c r="JT27" i="3"/>
  <c r="JK29" i="3"/>
  <c r="JL29" i="3"/>
  <c r="JM29" i="3"/>
  <c r="JN29" i="3"/>
  <c r="JO29" i="3"/>
  <c r="JP29" i="3"/>
  <c r="JQ29" i="3"/>
  <c r="JQ30" i="3" s="1"/>
  <c r="JR29" i="3"/>
  <c r="JR30" i="3" s="1"/>
  <c r="JS29" i="3"/>
  <c r="JS30" i="3" s="1"/>
  <c r="JT29" i="3"/>
  <c r="JT30" i="3" s="1"/>
  <c r="F24" i="6"/>
  <c r="E24" i="6"/>
  <c r="I24" i="6"/>
  <c r="J24" i="6"/>
  <c r="H24" i="6"/>
  <c r="D24" i="6"/>
  <c r="D20" i="6"/>
  <c r="D3" i="6"/>
  <c r="D4" i="6"/>
  <c r="D5" i="6"/>
  <c r="D6" i="6"/>
  <c r="D7" i="6"/>
  <c r="D8" i="6"/>
  <c r="D9" i="6"/>
  <c r="D10" i="6"/>
  <c r="D11" i="6"/>
  <c r="D13" i="6"/>
  <c r="D14" i="6"/>
  <c r="D15" i="6"/>
  <c r="D16" i="6"/>
  <c r="D17" i="6"/>
  <c r="D18" i="6"/>
  <c r="D21" i="6"/>
  <c r="D22" i="6"/>
  <c r="D23" i="6"/>
  <c r="D25" i="6"/>
  <c r="D26" i="6"/>
  <c r="D27" i="6"/>
  <c r="D28" i="6"/>
  <c r="D29" i="6"/>
  <c r="D30" i="6"/>
  <c r="D2" i="6"/>
  <c r="JL14" i="3" l="1"/>
  <c r="JN31" i="3"/>
  <c r="JM31" i="3"/>
  <c r="JL31" i="3"/>
  <c r="JK31" i="3"/>
  <c r="JP31" i="3"/>
  <c r="JT31" i="3"/>
  <c r="JS31" i="3"/>
  <c r="JR31" i="3"/>
  <c r="JQ31" i="3"/>
  <c r="Q3" i="6" l="1"/>
  <c r="R3" i="6"/>
  <c r="R4" i="6"/>
  <c r="Q5" i="6"/>
  <c r="R5" i="6"/>
  <c r="Q6" i="6"/>
  <c r="R6" i="6"/>
  <c r="Q7" i="6"/>
  <c r="R7" i="6"/>
  <c r="Q8" i="6"/>
  <c r="R8" i="6"/>
  <c r="Q9" i="6"/>
  <c r="R9" i="6"/>
  <c r="Q10" i="6"/>
  <c r="R10" i="6"/>
  <c r="Q11" i="6"/>
  <c r="R11" i="6"/>
  <c r="Q12" i="6"/>
  <c r="R12" i="6"/>
  <c r="Q13" i="6"/>
  <c r="R13" i="6"/>
  <c r="Q14" i="6"/>
  <c r="R14" i="6"/>
  <c r="Q15" i="6"/>
  <c r="R15" i="6"/>
  <c r="Q16" i="6"/>
  <c r="R16" i="6"/>
  <c r="Q17" i="6"/>
  <c r="R17" i="6"/>
  <c r="Q18" i="6"/>
  <c r="R18" i="6"/>
  <c r="Q19" i="6"/>
  <c r="R19" i="6"/>
  <c r="Q20" i="6"/>
  <c r="R20" i="6"/>
  <c r="Q21" i="6"/>
  <c r="R21" i="6"/>
  <c r="Q22" i="6"/>
  <c r="R22" i="6"/>
  <c r="Q23" i="6"/>
  <c r="R23" i="6"/>
  <c r="Q24" i="6"/>
  <c r="R24" i="6"/>
  <c r="Q25" i="6"/>
  <c r="R25" i="6"/>
  <c r="Q26" i="6"/>
  <c r="R26" i="6"/>
  <c r="Q27" i="6"/>
  <c r="R27" i="6"/>
  <c r="Q28" i="6"/>
  <c r="R28" i="6"/>
  <c r="Q29" i="6"/>
  <c r="R29" i="6"/>
  <c r="Q30" i="6"/>
  <c r="R30" i="6"/>
  <c r="R2" i="6"/>
  <c r="Q2" i="6"/>
  <c r="IC3" i="2" l="1"/>
  <c r="ID3" i="2"/>
  <c r="IE3" i="2"/>
  <c r="IF3" i="2"/>
  <c r="IG3" i="2"/>
  <c r="IH3" i="2"/>
  <c r="II3" i="2"/>
  <c r="IJ3" i="2"/>
  <c r="IK3" i="2"/>
  <c r="IL3" i="2"/>
  <c r="HR14" i="2"/>
  <c r="HS14" i="2"/>
  <c r="HT14" i="2"/>
  <c r="HU14" i="2"/>
  <c r="HU19" i="2" s="1"/>
  <c r="HU27" i="2" s="1"/>
  <c r="HV14" i="2"/>
  <c r="HV19" i="2" s="1"/>
  <c r="HV27" i="2" s="1"/>
  <c r="HW14" i="2"/>
  <c r="HW19" i="2" s="1"/>
  <c r="HW27" i="2" s="1"/>
  <c r="HX14" i="2"/>
  <c r="HX19" i="2" s="1"/>
  <c r="HX27" i="2" s="1"/>
  <c r="HY14" i="2"/>
  <c r="HZ14" i="2"/>
  <c r="HZ19" i="2" s="1"/>
  <c r="HZ27" i="2" s="1"/>
  <c r="IA14" i="2"/>
  <c r="IA19" i="2" s="1"/>
  <c r="IA27" i="2" s="1"/>
  <c r="IB14" i="2"/>
  <c r="IB19" i="2" s="1"/>
  <c r="IB27" i="2" s="1"/>
  <c r="IC14" i="2"/>
  <c r="IC19" i="2" s="1"/>
  <c r="IC27" i="2" s="1"/>
  <c r="ID14" i="2"/>
  <c r="ID19" i="2" s="1"/>
  <c r="ID27" i="2" s="1"/>
  <c r="HR16" i="2"/>
  <c r="HR19" i="2" s="1"/>
  <c r="HR27" i="2" s="1"/>
  <c r="HS16" i="2"/>
  <c r="HT16" i="2"/>
  <c r="HU16" i="2"/>
  <c r="HV16" i="2"/>
  <c r="HW16" i="2"/>
  <c r="HX16" i="2"/>
  <c r="HY16" i="2"/>
  <c r="HY19" i="2" s="1"/>
  <c r="HY27" i="2" s="1"/>
  <c r="HZ16" i="2"/>
  <c r="IA16" i="2"/>
  <c r="IB16" i="2"/>
  <c r="IC16" i="2"/>
  <c r="ID16" i="2"/>
  <c r="HR18" i="2"/>
  <c r="HS18" i="2"/>
  <c r="HS19" i="2" s="1"/>
  <c r="HT18" i="2"/>
  <c r="HU18" i="2"/>
  <c r="HV18" i="2"/>
  <c r="HW18" i="2"/>
  <c r="HX18" i="2"/>
  <c r="HY18" i="2"/>
  <c r="HZ18" i="2"/>
  <c r="IA18" i="2"/>
  <c r="IB18" i="2"/>
  <c r="IC18" i="2"/>
  <c r="ID18" i="2"/>
  <c r="HT19" i="2"/>
  <c r="HT27" i="2" s="1"/>
  <c r="HR21" i="2"/>
  <c r="HR26" i="2" s="1"/>
  <c r="HS21" i="2"/>
  <c r="HS26" i="2" s="1"/>
  <c r="HT21" i="2"/>
  <c r="HT26" i="2" s="1"/>
  <c r="HU21" i="2"/>
  <c r="HU26" i="2" s="1"/>
  <c r="HV21" i="2"/>
  <c r="HW21" i="2"/>
  <c r="HX21" i="2"/>
  <c r="HY21" i="2"/>
  <c r="HY26" i="2" s="1"/>
  <c r="HZ21" i="2"/>
  <c r="HZ26" i="2" s="1"/>
  <c r="IA21" i="2"/>
  <c r="IA26" i="2" s="1"/>
  <c r="IB21" i="2"/>
  <c r="IB26" i="2" s="1"/>
  <c r="IC21" i="2"/>
  <c r="ID21" i="2"/>
  <c r="ID26" i="2" s="1"/>
  <c r="HR23" i="2"/>
  <c r="HS23" i="2"/>
  <c r="HT23" i="2"/>
  <c r="HU23" i="2"/>
  <c r="HV23" i="2"/>
  <c r="HW23" i="2"/>
  <c r="HX23" i="2"/>
  <c r="HY23" i="2"/>
  <c r="HZ23" i="2"/>
  <c r="IA23" i="2"/>
  <c r="IB23" i="2"/>
  <c r="IC23" i="2"/>
  <c r="ID23" i="2"/>
  <c r="HR25" i="2"/>
  <c r="HS25" i="2"/>
  <c r="HT25" i="2"/>
  <c r="HU25" i="2"/>
  <c r="HV25" i="2"/>
  <c r="HV26" i="2" s="1"/>
  <c r="HW25" i="2"/>
  <c r="HX25" i="2"/>
  <c r="HY25" i="2"/>
  <c r="HZ25" i="2"/>
  <c r="IA25" i="2"/>
  <c r="IB25" i="2"/>
  <c r="IC25" i="2"/>
  <c r="IC26" i="2" s="1"/>
  <c r="ID25" i="2"/>
  <c r="HW26" i="2"/>
  <c r="HX26" i="2"/>
  <c r="HR3" i="2"/>
  <c r="HS3" i="2"/>
  <c r="HT3" i="2"/>
  <c r="HU3" i="2"/>
  <c r="HV3" i="2"/>
  <c r="HW3" i="2"/>
  <c r="HX3" i="2"/>
  <c r="HY3" i="2"/>
  <c r="HZ3" i="2"/>
  <c r="IA3" i="2"/>
  <c r="IB3" i="2"/>
  <c r="JJ22" i="3"/>
  <c r="IT22" i="3"/>
  <c r="IU22" i="3"/>
  <c r="IV22" i="3"/>
  <c r="IW22" i="3"/>
  <c r="IX22" i="3"/>
  <c r="IY22" i="3"/>
  <c r="IZ22" i="3"/>
  <c r="IZ23" i="3" s="1"/>
  <c r="JA22" i="3"/>
  <c r="JA23" i="3" s="1"/>
  <c r="JB22" i="3"/>
  <c r="JB23" i="3" s="1"/>
  <c r="JC22" i="3"/>
  <c r="JD22" i="3"/>
  <c r="JE22" i="3"/>
  <c r="JE23" i="3" s="1"/>
  <c r="JF22" i="3"/>
  <c r="JF23" i="3" s="1"/>
  <c r="JG22" i="3"/>
  <c r="JG23" i="3" s="1"/>
  <c r="JH22" i="3"/>
  <c r="JI22" i="3"/>
  <c r="JD5" i="3"/>
  <c r="JE5" i="3"/>
  <c r="JF5" i="3"/>
  <c r="JF14" i="3" s="1"/>
  <c r="JG5" i="3"/>
  <c r="JH5" i="3"/>
  <c r="JI5" i="3"/>
  <c r="JJ5" i="3"/>
  <c r="JD7" i="3"/>
  <c r="JE7" i="3"/>
  <c r="JF7" i="3"/>
  <c r="JG7" i="3"/>
  <c r="JH7" i="3"/>
  <c r="JI7" i="3"/>
  <c r="JJ7" i="3"/>
  <c r="JD9" i="3"/>
  <c r="JE9" i="3"/>
  <c r="JF9" i="3"/>
  <c r="JG9" i="3"/>
  <c r="JH9" i="3"/>
  <c r="JI9" i="3"/>
  <c r="JJ9" i="3"/>
  <c r="JD11" i="3"/>
  <c r="JE11" i="3"/>
  <c r="JF11" i="3"/>
  <c r="JG11" i="3"/>
  <c r="JH11" i="3"/>
  <c r="JI11" i="3"/>
  <c r="JJ11" i="3"/>
  <c r="JD13" i="3"/>
  <c r="JD14" i="3" s="1"/>
  <c r="JE13" i="3"/>
  <c r="JE14" i="3" s="1"/>
  <c r="JF13" i="3"/>
  <c r="JG13" i="3"/>
  <c r="JH13" i="3"/>
  <c r="JI13" i="3"/>
  <c r="JI14" i="3" s="1"/>
  <c r="JI31" i="3" s="1"/>
  <c r="JJ13" i="3"/>
  <c r="JJ14" i="3" s="1"/>
  <c r="JD16" i="3"/>
  <c r="JE16" i="3"/>
  <c r="JF16" i="3"/>
  <c r="JG16" i="3"/>
  <c r="JH16" i="3"/>
  <c r="JI16" i="3"/>
  <c r="JJ16" i="3"/>
  <c r="JD18" i="3"/>
  <c r="JE18" i="3"/>
  <c r="JF18" i="3"/>
  <c r="JG18" i="3"/>
  <c r="JH18" i="3"/>
  <c r="JH23" i="3" s="1"/>
  <c r="JI18" i="3"/>
  <c r="JJ18" i="3"/>
  <c r="JD20" i="3"/>
  <c r="JE20" i="3"/>
  <c r="JF20" i="3"/>
  <c r="JG20" i="3"/>
  <c r="JH20" i="3"/>
  <c r="JI20" i="3"/>
  <c r="JJ20" i="3"/>
  <c r="JI23" i="3"/>
  <c r="JJ23" i="3"/>
  <c r="JD25" i="3"/>
  <c r="JE25" i="3"/>
  <c r="JF25" i="3"/>
  <c r="JG25" i="3"/>
  <c r="JH25" i="3"/>
  <c r="JI25" i="3"/>
  <c r="JJ25" i="3"/>
  <c r="JD27" i="3"/>
  <c r="JE27" i="3"/>
  <c r="JF27" i="3"/>
  <c r="JG27" i="3"/>
  <c r="JH27" i="3"/>
  <c r="JI27" i="3"/>
  <c r="JJ27" i="3"/>
  <c r="JD29" i="3"/>
  <c r="JE29" i="3"/>
  <c r="JF29" i="3"/>
  <c r="JG29" i="3"/>
  <c r="JH29" i="3"/>
  <c r="JI29" i="3"/>
  <c r="JJ29" i="3"/>
  <c r="JD30" i="3"/>
  <c r="JE30" i="3"/>
  <c r="JF30" i="3"/>
  <c r="JG30" i="3"/>
  <c r="JH30" i="3"/>
  <c r="JI30" i="3"/>
  <c r="JJ30" i="3"/>
  <c r="IW5" i="3"/>
  <c r="IX5" i="3"/>
  <c r="IY5" i="3"/>
  <c r="IZ5" i="3"/>
  <c r="JA5" i="3"/>
  <c r="JB5" i="3"/>
  <c r="JC5" i="3"/>
  <c r="IW7" i="3"/>
  <c r="IX7" i="3"/>
  <c r="IY7" i="3"/>
  <c r="IZ7" i="3"/>
  <c r="JA7" i="3"/>
  <c r="JA14" i="3" s="1"/>
  <c r="JB7" i="3"/>
  <c r="JB14" i="3" s="1"/>
  <c r="JC7" i="3"/>
  <c r="IW9" i="3"/>
  <c r="IX9" i="3"/>
  <c r="IY9" i="3"/>
  <c r="IZ9" i="3"/>
  <c r="JA9" i="3"/>
  <c r="JB9" i="3"/>
  <c r="JC9" i="3"/>
  <c r="IW11" i="3"/>
  <c r="IX11" i="3"/>
  <c r="IY11" i="3"/>
  <c r="IZ11" i="3"/>
  <c r="JA11" i="3"/>
  <c r="JB11" i="3"/>
  <c r="JC11" i="3"/>
  <c r="JC14" i="3" s="1"/>
  <c r="IW13" i="3"/>
  <c r="IX13" i="3"/>
  <c r="IY13" i="3"/>
  <c r="IZ13" i="3"/>
  <c r="JA13" i="3"/>
  <c r="JB13" i="3"/>
  <c r="JC13" i="3"/>
  <c r="IW16" i="3"/>
  <c r="IX16" i="3"/>
  <c r="IY16" i="3"/>
  <c r="IZ16" i="3"/>
  <c r="JA16" i="3"/>
  <c r="JB16" i="3"/>
  <c r="JC16" i="3"/>
  <c r="IW18" i="3"/>
  <c r="IW23" i="3" s="1"/>
  <c r="IX18" i="3"/>
  <c r="IY18" i="3"/>
  <c r="IY23" i="3" s="1"/>
  <c r="IZ18" i="3"/>
  <c r="JA18" i="3"/>
  <c r="JB18" i="3"/>
  <c r="JC18" i="3"/>
  <c r="IW20" i="3"/>
  <c r="IX20" i="3"/>
  <c r="IY20" i="3"/>
  <c r="IZ20" i="3"/>
  <c r="JA20" i="3"/>
  <c r="JB20" i="3"/>
  <c r="JC20" i="3"/>
  <c r="IX23" i="3"/>
  <c r="JC23" i="3"/>
  <c r="IW25" i="3"/>
  <c r="IX25" i="3"/>
  <c r="IY25" i="3"/>
  <c r="IZ25" i="3"/>
  <c r="JA25" i="3"/>
  <c r="JB25" i="3"/>
  <c r="JC25" i="3"/>
  <c r="IW27" i="3"/>
  <c r="IX27" i="3"/>
  <c r="IY27" i="3"/>
  <c r="IZ27" i="3"/>
  <c r="JA27" i="3"/>
  <c r="JB27" i="3"/>
  <c r="JC27" i="3"/>
  <c r="IW29" i="3"/>
  <c r="IX29" i="3"/>
  <c r="IY29" i="3"/>
  <c r="IZ29" i="3"/>
  <c r="JA29" i="3"/>
  <c r="JB29" i="3"/>
  <c r="JC29" i="3"/>
  <c r="IW30" i="3"/>
  <c r="IX30" i="3"/>
  <c r="IY30" i="3"/>
  <c r="IZ30" i="3"/>
  <c r="JA30" i="3"/>
  <c r="JB30" i="3"/>
  <c r="JC30" i="3"/>
  <c r="JH14" i="3" l="1"/>
  <c r="JH31" i="3" s="1"/>
  <c r="JG14" i="3"/>
  <c r="JG31" i="3" s="1"/>
  <c r="JC31" i="3"/>
  <c r="JD23" i="3"/>
  <c r="HS27" i="2"/>
  <c r="IZ14" i="3"/>
  <c r="IY14" i="3"/>
  <c r="IY31" i="3" s="1"/>
  <c r="IX14" i="3"/>
  <c r="IW14" i="3"/>
  <c r="IW31" i="3" s="1"/>
  <c r="JJ31" i="3"/>
  <c r="JA31" i="3"/>
  <c r="JE31" i="3"/>
  <c r="IZ31" i="3"/>
  <c r="JD31" i="3"/>
  <c r="JB31" i="3"/>
  <c r="IX31" i="3"/>
  <c r="JF31" i="3"/>
  <c r="G20" i="10" l="1"/>
  <c r="G18" i="10"/>
  <c r="G16" i="10"/>
  <c r="G15" i="10"/>
  <c r="G13" i="10"/>
  <c r="G11" i="10"/>
  <c r="G10" i="10"/>
  <c r="G8" i="10"/>
  <c r="G7" i="10"/>
  <c r="G6" i="10"/>
  <c r="G4" i="10"/>
  <c r="G3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" i="10"/>
  <c r="IO22" i="3" l="1"/>
  <c r="IP22" i="3"/>
  <c r="IQ22" i="3"/>
  <c r="IR22" i="3"/>
  <c r="IS22" i="3"/>
  <c r="HH14" i="2" l="1"/>
  <c r="HI14" i="2"/>
  <c r="HI19" i="2" s="1"/>
  <c r="HJ14" i="2"/>
  <c r="HJ19" i="2" s="1"/>
  <c r="HJ27" i="2" s="1"/>
  <c r="HK14" i="2"/>
  <c r="HL14" i="2"/>
  <c r="HM14" i="2"/>
  <c r="HM19" i="2" s="1"/>
  <c r="HM27" i="2" s="1"/>
  <c r="HN14" i="2"/>
  <c r="HO14" i="2"/>
  <c r="HP14" i="2"/>
  <c r="HQ14" i="2"/>
  <c r="HH16" i="2"/>
  <c r="HH19" i="2" s="1"/>
  <c r="HH27" i="2" s="1"/>
  <c r="HI16" i="2"/>
  <c r="HJ16" i="2"/>
  <c r="HK16" i="2"/>
  <c r="HL16" i="2"/>
  <c r="HM16" i="2"/>
  <c r="HN16" i="2"/>
  <c r="HN19" i="2" s="1"/>
  <c r="HN27" i="2" s="1"/>
  <c r="HO16" i="2"/>
  <c r="HP16" i="2"/>
  <c r="HQ16" i="2"/>
  <c r="HH18" i="2"/>
  <c r="HI18" i="2"/>
  <c r="HJ18" i="2"/>
  <c r="HK18" i="2"/>
  <c r="HL18" i="2"/>
  <c r="HL19" i="2" s="1"/>
  <c r="HL27" i="2" s="1"/>
  <c r="HM18" i="2"/>
  <c r="HN18" i="2"/>
  <c r="HO18" i="2"/>
  <c r="HP18" i="2"/>
  <c r="HQ18" i="2"/>
  <c r="HK19" i="2"/>
  <c r="HO19" i="2"/>
  <c r="HP19" i="2"/>
  <c r="HQ19" i="2"/>
  <c r="HQ27" i="2" s="1"/>
  <c r="HH21" i="2"/>
  <c r="HH26" i="2" s="1"/>
  <c r="HI21" i="2"/>
  <c r="HI26" i="2" s="1"/>
  <c r="HJ21" i="2"/>
  <c r="HK21" i="2"/>
  <c r="HK26" i="2" s="1"/>
  <c r="HL21" i="2"/>
  <c r="HL26" i="2" s="1"/>
  <c r="HM21" i="2"/>
  <c r="HN21" i="2"/>
  <c r="HO21" i="2"/>
  <c r="HO26" i="2" s="1"/>
  <c r="HP21" i="2"/>
  <c r="HQ21" i="2"/>
  <c r="HH23" i="2"/>
  <c r="HI23" i="2"/>
  <c r="HJ23" i="2"/>
  <c r="HK23" i="2"/>
  <c r="HL23" i="2"/>
  <c r="HM23" i="2"/>
  <c r="HN23" i="2"/>
  <c r="HO23" i="2"/>
  <c r="HP23" i="2"/>
  <c r="HQ23" i="2"/>
  <c r="HH25" i="2"/>
  <c r="HI25" i="2"/>
  <c r="HJ25" i="2"/>
  <c r="HK25" i="2"/>
  <c r="HL25" i="2"/>
  <c r="HM25" i="2"/>
  <c r="HN25" i="2"/>
  <c r="HN26" i="2" s="1"/>
  <c r="HO25" i="2"/>
  <c r="HP25" i="2"/>
  <c r="HP26" i="2" s="1"/>
  <c r="HQ25" i="2"/>
  <c r="HJ26" i="2"/>
  <c r="HM26" i="2"/>
  <c r="HQ26" i="2"/>
  <c r="HH3" i="2"/>
  <c r="HI3" i="2"/>
  <c r="HJ3" i="2"/>
  <c r="HK3" i="2"/>
  <c r="HL3" i="2"/>
  <c r="HM3" i="2"/>
  <c r="HN3" i="2"/>
  <c r="HO3" i="2"/>
  <c r="HP3" i="2"/>
  <c r="HQ3" i="2"/>
  <c r="HP27" i="2" l="1"/>
  <c r="HO27" i="2"/>
  <c r="HK27" i="2"/>
  <c r="HI27" i="2"/>
  <c r="IA25" i="3"/>
  <c r="IB25" i="3"/>
  <c r="IC25" i="3"/>
  <c r="ID25" i="3"/>
  <c r="IE25" i="3"/>
  <c r="IF25" i="3"/>
  <c r="IG25" i="3"/>
  <c r="IG30" i="3" s="1"/>
  <c r="IH25" i="3"/>
  <c r="IH30" i="3" s="1"/>
  <c r="II25" i="3"/>
  <c r="IJ25" i="3"/>
  <c r="IK25" i="3"/>
  <c r="IL25" i="3"/>
  <c r="IL30" i="3" s="1"/>
  <c r="IM25" i="3"/>
  <c r="IM30" i="3" s="1"/>
  <c r="IN25" i="3"/>
  <c r="IN30" i="3" s="1"/>
  <c r="IO25" i="3"/>
  <c r="IP25" i="3"/>
  <c r="IQ25" i="3"/>
  <c r="IR25" i="3"/>
  <c r="IS25" i="3"/>
  <c r="IT25" i="3"/>
  <c r="IU25" i="3"/>
  <c r="IU30" i="3" s="1"/>
  <c r="IV25" i="3"/>
  <c r="IV30" i="3" s="1"/>
  <c r="IA27" i="3"/>
  <c r="IB27" i="3"/>
  <c r="IC27" i="3"/>
  <c r="ID27" i="3"/>
  <c r="IE27" i="3"/>
  <c r="IE30" i="3" s="1"/>
  <c r="IF27" i="3"/>
  <c r="IF30" i="3" s="1"/>
  <c r="IG27" i="3"/>
  <c r="IH27" i="3"/>
  <c r="II27" i="3"/>
  <c r="IJ27" i="3"/>
  <c r="IJ30" i="3" s="1"/>
  <c r="IK27" i="3"/>
  <c r="IK30" i="3" s="1"/>
  <c r="IL27" i="3"/>
  <c r="IM27" i="3"/>
  <c r="IN27" i="3"/>
  <c r="IO27" i="3"/>
  <c r="IP27" i="3"/>
  <c r="IQ27" i="3"/>
  <c r="IR27" i="3"/>
  <c r="IS27" i="3"/>
  <c r="IS30" i="3" s="1"/>
  <c r="IT27" i="3"/>
  <c r="IT30" i="3" s="1"/>
  <c r="IU27" i="3"/>
  <c r="IV27" i="3"/>
  <c r="IA29" i="3"/>
  <c r="IB29" i="3"/>
  <c r="IC29" i="3"/>
  <c r="ID29" i="3"/>
  <c r="IE29" i="3"/>
  <c r="IF29" i="3"/>
  <c r="IG29" i="3"/>
  <c r="IH29" i="3"/>
  <c r="II29" i="3"/>
  <c r="II30" i="3" s="1"/>
  <c r="IJ29" i="3"/>
  <c r="IK29" i="3"/>
  <c r="IL29" i="3"/>
  <c r="IM29" i="3"/>
  <c r="IN29" i="3"/>
  <c r="IO29" i="3"/>
  <c r="IP29" i="3"/>
  <c r="IQ29" i="3"/>
  <c r="IR29" i="3"/>
  <c r="IS29" i="3"/>
  <c r="IT29" i="3"/>
  <c r="IU29" i="3"/>
  <c r="IV29" i="3"/>
  <c r="IA30" i="3"/>
  <c r="IA31" i="3" s="1"/>
  <c r="IB30" i="3"/>
  <c r="IC30" i="3"/>
  <c r="ID30" i="3"/>
  <c r="IO30" i="3"/>
  <c r="IP30" i="3"/>
  <c r="IQ30" i="3"/>
  <c r="IR30" i="3"/>
  <c r="HZ27" i="3"/>
  <c r="HZ30" i="3" s="1"/>
  <c r="HZ31" i="3" s="1"/>
  <c r="HZ25" i="3"/>
  <c r="HZ29" i="3"/>
  <c r="HY27" i="3"/>
  <c r="HX27" i="3"/>
  <c r="HW27" i="3"/>
  <c r="HV27" i="3"/>
  <c r="HU27" i="3"/>
  <c r="HT27" i="3"/>
  <c r="HS27" i="3"/>
  <c r="HR27" i="3"/>
  <c r="HQ27" i="3"/>
  <c r="HP27" i="3"/>
  <c r="HO27" i="3"/>
  <c r="HN27" i="3"/>
  <c r="HM27" i="3"/>
  <c r="HL27" i="3"/>
  <c r="HK27" i="3"/>
  <c r="HJ27" i="3"/>
  <c r="HI27" i="3"/>
  <c r="HH27" i="3"/>
  <c r="HG27" i="3"/>
  <c r="HF27" i="3"/>
  <c r="HE27" i="3"/>
  <c r="HD27" i="3"/>
  <c r="HC27" i="3"/>
  <c r="HB27" i="3"/>
  <c r="HA27" i="3"/>
  <c r="GZ27" i="3"/>
  <c r="GY27" i="3"/>
  <c r="GX27" i="3"/>
  <c r="GW27" i="3"/>
  <c r="GV27" i="3"/>
  <c r="GU27" i="3"/>
  <c r="GT27" i="3"/>
  <c r="GS27" i="3"/>
  <c r="GR27" i="3"/>
  <c r="GQ27" i="3"/>
  <c r="GP27" i="3"/>
  <c r="GO27" i="3"/>
  <c r="GN27" i="3"/>
  <c r="GM27" i="3"/>
  <c r="GL27" i="3"/>
  <c r="GK27" i="3"/>
  <c r="GJ27" i="3"/>
  <c r="GI27" i="3"/>
  <c r="GH27" i="3"/>
  <c r="GG27" i="3"/>
  <c r="GF27" i="3"/>
  <c r="GE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HY25" i="3"/>
  <c r="HX25" i="3"/>
  <c r="HW25" i="3"/>
  <c r="HV25" i="3"/>
  <c r="HU25" i="3"/>
  <c r="HT25" i="3"/>
  <c r="HS25" i="3"/>
  <c r="HR25" i="3"/>
  <c r="HQ25" i="3"/>
  <c r="HP25" i="3"/>
  <c r="HO25" i="3"/>
  <c r="HN25" i="3"/>
  <c r="HM25" i="3"/>
  <c r="HL25" i="3"/>
  <c r="HK25" i="3"/>
  <c r="HJ25" i="3"/>
  <c r="HI25" i="3"/>
  <c r="HH25" i="3"/>
  <c r="HG25" i="3"/>
  <c r="HF25" i="3"/>
  <c r="HE25" i="3"/>
  <c r="HD25" i="3"/>
  <c r="HC25" i="3"/>
  <c r="HB25" i="3"/>
  <c r="HA25" i="3"/>
  <c r="GZ25" i="3"/>
  <c r="GY25" i="3"/>
  <c r="GX25" i="3"/>
  <c r="GW25" i="3"/>
  <c r="GV25" i="3"/>
  <c r="GU25" i="3"/>
  <c r="GT25" i="3"/>
  <c r="GS25" i="3"/>
  <c r="GR25" i="3"/>
  <c r="GQ25" i="3"/>
  <c r="GP25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L25" i="3"/>
  <c r="EK25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IA22" i="3"/>
  <c r="IB22" i="3"/>
  <c r="IC22" i="3"/>
  <c r="ID22" i="3"/>
  <c r="IE22" i="3"/>
  <c r="IF22" i="3"/>
  <c r="IG22" i="3"/>
  <c r="IH22" i="3"/>
  <c r="II22" i="3"/>
  <c r="IJ22" i="3"/>
  <c r="IK22" i="3"/>
  <c r="IL22" i="3"/>
  <c r="IM22" i="3"/>
  <c r="IN22" i="3"/>
  <c r="HZ22" i="3"/>
  <c r="GY3" i="2" l="1"/>
  <c r="GZ3" i="2"/>
  <c r="HA3" i="2"/>
  <c r="HB3" i="2"/>
  <c r="HC3" i="2"/>
  <c r="HD3" i="2"/>
  <c r="HE3" i="2"/>
  <c r="HF3" i="2"/>
  <c r="HG3" i="2"/>
  <c r="GZ14" i="2"/>
  <c r="HA14" i="2"/>
  <c r="HA19" i="2" s="1"/>
  <c r="HA27" i="2" s="1"/>
  <c r="HB14" i="2"/>
  <c r="HC14" i="2"/>
  <c r="HC19" i="2" s="1"/>
  <c r="HD14" i="2"/>
  <c r="HD19" i="2" s="1"/>
  <c r="HD27" i="2" s="1"/>
  <c r="HE14" i="2"/>
  <c r="HF14" i="2"/>
  <c r="HG14" i="2"/>
  <c r="GZ16" i="2"/>
  <c r="GZ19" i="2" s="1"/>
  <c r="GZ27" i="2" s="1"/>
  <c r="HA16" i="2"/>
  <c r="HB16" i="2"/>
  <c r="HB19" i="2" s="1"/>
  <c r="HC16" i="2"/>
  <c r="HD16" i="2"/>
  <c r="HE16" i="2"/>
  <c r="HE19" i="2" s="1"/>
  <c r="HF16" i="2"/>
  <c r="HG16" i="2"/>
  <c r="GZ18" i="2"/>
  <c r="HA18" i="2"/>
  <c r="HB18" i="2"/>
  <c r="HC18" i="2"/>
  <c r="HD18" i="2"/>
  <c r="HE18" i="2"/>
  <c r="HF18" i="2"/>
  <c r="HF19" i="2" s="1"/>
  <c r="HG18" i="2"/>
  <c r="HG19" i="2" s="1"/>
  <c r="HG27" i="2" s="1"/>
  <c r="GZ21" i="2"/>
  <c r="GZ26" i="2" s="1"/>
  <c r="HA21" i="2"/>
  <c r="HA26" i="2" s="1"/>
  <c r="HB21" i="2"/>
  <c r="HC21" i="2"/>
  <c r="HC26" i="2" s="1"/>
  <c r="HD21" i="2"/>
  <c r="HE21" i="2"/>
  <c r="HE26" i="2" s="1"/>
  <c r="HF21" i="2"/>
  <c r="HF26" i="2" s="1"/>
  <c r="HG21" i="2"/>
  <c r="GZ23" i="2"/>
  <c r="HA23" i="2"/>
  <c r="HB23" i="2"/>
  <c r="HC23" i="2"/>
  <c r="HD23" i="2"/>
  <c r="HE23" i="2"/>
  <c r="HF23" i="2"/>
  <c r="HG23" i="2"/>
  <c r="GZ25" i="2"/>
  <c r="HA25" i="2"/>
  <c r="HB25" i="2"/>
  <c r="HB26" i="2" s="1"/>
  <c r="HC25" i="2"/>
  <c r="HD25" i="2"/>
  <c r="HD26" i="2" s="1"/>
  <c r="HE25" i="2"/>
  <c r="HF25" i="2"/>
  <c r="HG25" i="2"/>
  <c r="HG26" i="2" s="1"/>
  <c r="IP5" i="3"/>
  <c r="IQ5" i="3"/>
  <c r="IR5" i="3"/>
  <c r="IS5" i="3"/>
  <c r="IT5" i="3"/>
  <c r="IU5" i="3"/>
  <c r="IV5" i="3"/>
  <c r="IP7" i="3"/>
  <c r="IQ7" i="3"/>
  <c r="IR7" i="3"/>
  <c r="IS7" i="3"/>
  <c r="IT7" i="3"/>
  <c r="IU7" i="3"/>
  <c r="IV7" i="3"/>
  <c r="IP9" i="3"/>
  <c r="IQ9" i="3"/>
  <c r="IR9" i="3"/>
  <c r="IS9" i="3"/>
  <c r="IT9" i="3"/>
  <c r="IU9" i="3"/>
  <c r="IV9" i="3"/>
  <c r="IP11" i="3"/>
  <c r="IQ11" i="3"/>
  <c r="IR11" i="3"/>
  <c r="IS11" i="3"/>
  <c r="IT11" i="3"/>
  <c r="IU11" i="3"/>
  <c r="IV11" i="3"/>
  <c r="IP13" i="3"/>
  <c r="IQ13" i="3"/>
  <c r="IR13" i="3"/>
  <c r="IS13" i="3"/>
  <c r="IT13" i="3"/>
  <c r="IU13" i="3"/>
  <c r="IV13" i="3"/>
  <c r="IP16" i="3"/>
  <c r="IQ16" i="3"/>
  <c r="IR16" i="3"/>
  <c r="IS16" i="3"/>
  <c r="IT16" i="3"/>
  <c r="IT23" i="3" s="1"/>
  <c r="IU16" i="3"/>
  <c r="IV16" i="3"/>
  <c r="IP18" i="3"/>
  <c r="IQ18" i="3"/>
  <c r="IR18" i="3"/>
  <c r="IS18" i="3"/>
  <c r="IT18" i="3"/>
  <c r="IU18" i="3"/>
  <c r="IV18" i="3"/>
  <c r="IP20" i="3"/>
  <c r="IQ20" i="3"/>
  <c r="IR20" i="3"/>
  <c r="IS20" i="3"/>
  <c r="IT20" i="3"/>
  <c r="IU20" i="3"/>
  <c r="IV20" i="3"/>
  <c r="IP23" i="3" l="1"/>
  <c r="IR23" i="3"/>
  <c r="IU23" i="3"/>
  <c r="IQ23" i="3"/>
  <c r="IS23" i="3"/>
  <c r="IV23" i="3"/>
  <c r="IQ14" i="3"/>
  <c r="IP14" i="3"/>
  <c r="IT14" i="3"/>
  <c r="IT31" i="3" s="1"/>
  <c r="IS14" i="3"/>
  <c r="IR14" i="3"/>
  <c r="IU14" i="3"/>
  <c r="IV14" i="3"/>
  <c r="HF27" i="2"/>
  <c r="HB27" i="2"/>
  <c r="HC27" i="2"/>
  <c r="HE27" i="2"/>
  <c r="IS31" i="3" l="1"/>
  <c r="IU31" i="3"/>
  <c r="IV31" i="3"/>
  <c r="IR31" i="3"/>
  <c r="IP31" i="3"/>
  <c r="IQ31" i="3"/>
  <c r="E38" i="6"/>
  <c r="F38" i="6"/>
  <c r="G38" i="6"/>
  <c r="H38" i="6"/>
  <c r="I38" i="6"/>
  <c r="J38" i="6"/>
  <c r="D38" i="6"/>
  <c r="G31" i="6" l="1"/>
  <c r="ID5" i="3" l="1"/>
  <c r="IE5" i="3"/>
  <c r="IF5" i="3"/>
  <c r="IG5" i="3"/>
  <c r="IH5" i="3"/>
  <c r="II5" i="3"/>
  <c r="IJ5" i="3"/>
  <c r="IK5" i="3"/>
  <c r="IL5" i="3"/>
  <c r="IM5" i="3"/>
  <c r="IN5" i="3"/>
  <c r="IO5" i="3"/>
  <c r="ID7" i="3"/>
  <c r="IE7" i="3"/>
  <c r="IF7" i="3"/>
  <c r="IG7" i="3"/>
  <c r="IH7" i="3"/>
  <c r="II7" i="3"/>
  <c r="IJ7" i="3"/>
  <c r="IK7" i="3"/>
  <c r="IL7" i="3"/>
  <c r="IM7" i="3"/>
  <c r="IN7" i="3"/>
  <c r="IO7" i="3"/>
  <c r="ID9" i="3"/>
  <c r="IE9" i="3"/>
  <c r="IF9" i="3"/>
  <c r="IG9" i="3"/>
  <c r="IH9" i="3"/>
  <c r="II9" i="3"/>
  <c r="IJ9" i="3"/>
  <c r="IK9" i="3"/>
  <c r="IL9" i="3"/>
  <c r="IM9" i="3"/>
  <c r="IN9" i="3"/>
  <c r="IO9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D16" i="3"/>
  <c r="ID23" i="3" s="1"/>
  <c r="IE16" i="3"/>
  <c r="IE23" i="3" s="1"/>
  <c r="IF16" i="3"/>
  <c r="IF23" i="3" s="1"/>
  <c r="IG16" i="3"/>
  <c r="IG23" i="3" s="1"/>
  <c r="IH16" i="3"/>
  <c r="IH23" i="3" s="1"/>
  <c r="II16" i="3"/>
  <c r="IJ16" i="3"/>
  <c r="IJ23" i="3" s="1"/>
  <c r="IK16" i="3"/>
  <c r="IK23" i="3" s="1"/>
  <c r="IL16" i="3"/>
  <c r="IL23" i="3" s="1"/>
  <c r="IM16" i="3"/>
  <c r="IM23" i="3" s="1"/>
  <c r="IN16" i="3"/>
  <c r="IO16" i="3"/>
  <c r="ID18" i="3"/>
  <c r="IE18" i="3"/>
  <c r="IF18" i="3"/>
  <c r="IG18" i="3"/>
  <c r="IH18" i="3"/>
  <c r="II18" i="3"/>
  <c r="IJ18" i="3"/>
  <c r="IK18" i="3"/>
  <c r="IL18" i="3"/>
  <c r="IM18" i="3"/>
  <c r="IN18" i="3"/>
  <c r="IO18" i="3"/>
  <c r="ID20" i="3"/>
  <c r="IE20" i="3"/>
  <c r="IF20" i="3"/>
  <c r="IG20" i="3"/>
  <c r="IH20" i="3"/>
  <c r="II20" i="3"/>
  <c r="IJ20" i="3"/>
  <c r="IK20" i="3"/>
  <c r="IL20" i="3"/>
  <c r="IM20" i="3"/>
  <c r="IN20" i="3"/>
  <c r="IO20" i="3"/>
  <c r="II23" i="3" l="1"/>
  <c r="IO23" i="3"/>
  <c r="IN23" i="3"/>
  <c r="IL14" i="3"/>
  <c r="IL31" i="3" s="1"/>
  <c r="IM14" i="3"/>
  <c r="IM31" i="3" s="1"/>
  <c r="IH14" i="3"/>
  <c r="IH31" i="3" s="1"/>
  <c r="IK14" i="3"/>
  <c r="IK31" i="3" s="1"/>
  <c r="II14" i="3"/>
  <c r="IG14" i="3"/>
  <c r="IG31" i="3" s="1"/>
  <c r="IE14" i="3"/>
  <c r="IE31" i="3" s="1"/>
  <c r="IJ14" i="3"/>
  <c r="IJ31" i="3" s="1"/>
  <c r="IF14" i="3"/>
  <c r="IF31" i="3" s="1"/>
  <c r="ID14" i="3"/>
  <c r="ID31" i="3" s="1"/>
  <c r="IO14" i="3"/>
  <c r="IN14" i="3"/>
  <c r="II31" i="3" l="1"/>
  <c r="IO31" i="3"/>
  <c r="IN31" i="3"/>
  <c r="GU14" i="2"/>
  <c r="GV14" i="2"/>
  <c r="GV19" i="2" s="1"/>
  <c r="GW14" i="2"/>
  <c r="GX14" i="2"/>
  <c r="GY14" i="2"/>
  <c r="GU16" i="2"/>
  <c r="GU19" i="2" s="1"/>
  <c r="GU27" i="2" s="1"/>
  <c r="GV16" i="2"/>
  <c r="GW16" i="2"/>
  <c r="GW19" i="2" s="1"/>
  <c r="GW27" i="2" s="1"/>
  <c r="GX16" i="2"/>
  <c r="GY16" i="2"/>
  <c r="GU18" i="2"/>
  <c r="GV18" i="2"/>
  <c r="GW18" i="2"/>
  <c r="GX18" i="2"/>
  <c r="GX19" i="2" s="1"/>
  <c r="GX27" i="2" s="1"/>
  <c r="GY18" i="2"/>
  <c r="GY19" i="2"/>
  <c r="GY27" i="2" s="1"/>
  <c r="GU21" i="2"/>
  <c r="GV21" i="2"/>
  <c r="GV26" i="2" s="1"/>
  <c r="GW21" i="2"/>
  <c r="GX21" i="2"/>
  <c r="GY21" i="2"/>
  <c r="GU23" i="2"/>
  <c r="GV23" i="2"/>
  <c r="GW23" i="2"/>
  <c r="GX23" i="2"/>
  <c r="GY23" i="2"/>
  <c r="GU25" i="2"/>
  <c r="GV25" i="2"/>
  <c r="GW25" i="2"/>
  <c r="GX25" i="2"/>
  <c r="GY25" i="2"/>
  <c r="GU26" i="2"/>
  <c r="GW26" i="2"/>
  <c r="GX26" i="2"/>
  <c r="GY26" i="2"/>
  <c r="GS3" i="2"/>
  <c r="GT3" i="2"/>
  <c r="GU3" i="2"/>
  <c r="GV3" i="2"/>
  <c r="GW3" i="2"/>
  <c r="GX3" i="2"/>
  <c r="GV27" i="2" l="1"/>
  <c r="R31" i="6" l="1"/>
  <c r="Q31" i="6"/>
  <c r="GQ3" i="2"/>
  <c r="K4" i="6" l="1"/>
  <c r="K6" i="6"/>
  <c r="K12" i="6"/>
  <c r="K21" i="6"/>
  <c r="K22" i="6"/>
  <c r="K23" i="6"/>
  <c r="K24" i="6"/>
  <c r="K25" i="6"/>
  <c r="K26" i="6"/>
  <c r="K27" i="6"/>
  <c r="K28" i="6"/>
  <c r="K29" i="6"/>
  <c r="B31" i="6"/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K3" i="6"/>
  <c r="K5" i="6"/>
  <c r="K8" i="6"/>
  <c r="K9" i="6"/>
  <c r="K10" i="6"/>
  <c r="K11" i="6"/>
  <c r="K13" i="6"/>
  <c r="K14" i="6"/>
  <c r="K15" i="6"/>
  <c r="K16" i="6"/>
  <c r="K17" i="6"/>
  <c r="K18" i="6"/>
  <c r="K19" i="6"/>
  <c r="K20" i="6"/>
  <c r="D40" i="6" l="1"/>
  <c r="K7" i="6"/>
  <c r="D31" i="6"/>
  <c r="D33" i="6" l="1"/>
  <c r="D32" i="6"/>
  <c r="HU5" i="3" l="1"/>
  <c r="HV5" i="3"/>
  <c r="HW5" i="3"/>
  <c r="HX5" i="3"/>
  <c r="HY5" i="3"/>
  <c r="HZ5" i="3"/>
  <c r="IA5" i="3"/>
  <c r="IB5" i="3"/>
  <c r="IC5" i="3"/>
  <c r="HU7" i="3"/>
  <c r="HV7" i="3"/>
  <c r="HW7" i="3"/>
  <c r="HX7" i="3"/>
  <c r="HY7" i="3"/>
  <c r="HZ7" i="3"/>
  <c r="IA7" i="3"/>
  <c r="IB7" i="3"/>
  <c r="IC7" i="3"/>
  <c r="HU9" i="3"/>
  <c r="HV9" i="3"/>
  <c r="HW9" i="3"/>
  <c r="HX9" i="3"/>
  <c r="HY9" i="3"/>
  <c r="HZ9" i="3"/>
  <c r="IA9" i="3"/>
  <c r="IB9" i="3"/>
  <c r="IC9" i="3"/>
  <c r="HU11" i="3"/>
  <c r="HV11" i="3"/>
  <c r="HW11" i="3"/>
  <c r="HX11" i="3"/>
  <c r="HY11" i="3"/>
  <c r="HZ11" i="3"/>
  <c r="IA11" i="3"/>
  <c r="IB11" i="3"/>
  <c r="IC11" i="3"/>
  <c r="HU13" i="3"/>
  <c r="HV13" i="3"/>
  <c r="HW13" i="3"/>
  <c r="HX13" i="3"/>
  <c r="HY13" i="3"/>
  <c r="HZ13" i="3"/>
  <c r="IA13" i="3"/>
  <c r="IB13" i="3"/>
  <c r="IC13" i="3"/>
  <c r="HU16" i="3"/>
  <c r="HV16" i="3"/>
  <c r="HW16" i="3"/>
  <c r="HX16" i="3"/>
  <c r="HY16" i="3"/>
  <c r="HZ16" i="3"/>
  <c r="IA16" i="3"/>
  <c r="IB16" i="3"/>
  <c r="IB23" i="3" s="1"/>
  <c r="IC16" i="3"/>
  <c r="IC23" i="3" s="1"/>
  <c r="HU18" i="3"/>
  <c r="HV18" i="3"/>
  <c r="HW18" i="3"/>
  <c r="HX18" i="3"/>
  <c r="HY18" i="3"/>
  <c r="HZ18" i="3"/>
  <c r="IA18" i="3"/>
  <c r="IB18" i="3"/>
  <c r="IC18" i="3"/>
  <c r="HU20" i="3"/>
  <c r="HV20" i="3"/>
  <c r="HW20" i="3"/>
  <c r="HX20" i="3"/>
  <c r="HY20" i="3"/>
  <c r="HZ20" i="3"/>
  <c r="IA20" i="3"/>
  <c r="IB20" i="3"/>
  <c r="IC20" i="3"/>
  <c r="HX23" i="3" l="1"/>
  <c r="HW23" i="3"/>
  <c r="HV23" i="3"/>
  <c r="IA23" i="3"/>
  <c r="HZ23" i="3"/>
  <c r="HY23" i="3"/>
  <c r="HU23" i="3"/>
  <c r="HU14" i="3"/>
  <c r="HU31" i="3" s="1"/>
  <c r="IC14" i="3"/>
  <c r="IC31" i="3" s="1"/>
  <c r="HZ14" i="3"/>
  <c r="HY14" i="3"/>
  <c r="HY31" i="3" s="1"/>
  <c r="HX14" i="3"/>
  <c r="HX31" i="3" s="1"/>
  <c r="IB14" i="3"/>
  <c r="IB31" i="3" s="1"/>
  <c r="HW14" i="3"/>
  <c r="HW31" i="3" s="1"/>
  <c r="IA14" i="3"/>
  <c r="HV14" i="3"/>
  <c r="HV31" i="3" l="1"/>
  <c r="E31" i="6"/>
  <c r="F31" i="6"/>
  <c r="H31" i="6"/>
  <c r="I31" i="6"/>
  <c r="J31" i="6"/>
  <c r="E32" i="6"/>
  <c r="F32" i="6"/>
  <c r="G32" i="6"/>
  <c r="H32" i="6"/>
  <c r="I32" i="6"/>
  <c r="J32" i="6"/>
  <c r="F34" i="6" l="1"/>
  <c r="E34" i="6"/>
  <c r="G34" i="6"/>
  <c r="J34" i="6"/>
  <c r="I34" i="6"/>
  <c r="H34" i="6"/>
  <c r="D42" i="6"/>
  <c r="D44" i="6"/>
  <c r="D43" i="6"/>
  <c r="D34" i="6" l="1"/>
  <c r="D41" i="6"/>
  <c r="D39" i="6"/>
  <c r="HN5" i="3" l="1"/>
  <c r="HO5" i="3"/>
  <c r="HP5" i="3"/>
  <c r="HQ5" i="3"/>
  <c r="HR5" i="3"/>
  <c r="HS5" i="3"/>
  <c r="HT5" i="3"/>
  <c r="HN7" i="3"/>
  <c r="HO7" i="3"/>
  <c r="HP7" i="3"/>
  <c r="HQ7" i="3"/>
  <c r="HR7" i="3"/>
  <c r="HS7" i="3"/>
  <c r="HT7" i="3"/>
  <c r="HN9" i="3"/>
  <c r="HO9" i="3"/>
  <c r="HP9" i="3"/>
  <c r="HQ9" i="3"/>
  <c r="HR9" i="3"/>
  <c r="HS9" i="3"/>
  <c r="HT9" i="3"/>
  <c r="HN11" i="3"/>
  <c r="HO11" i="3"/>
  <c r="HP11" i="3"/>
  <c r="HQ11" i="3"/>
  <c r="HR11" i="3"/>
  <c r="HS11" i="3"/>
  <c r="HT11" i="3"/>
  <c r="HN13" i="3"/>
  <c r="HO13" i="3"/>
  <c r="HP13" i="3"/>
  <c r="HQ13" i="3"/>
  <c r="HR13" i="3"/>
  <c r="HS13" i="3"/>
  <c r="HT13" i="3"/>
  <c r="HN16" i="3"/>
  <c r="HO16" i="3"/>
  <c r="HP16" i="3"/>
  <c r="HQ16" i="3"/>
  <c r="HR16" i="3"/>
  <c r="HS16" i="3"/>
  <c r="HT16" i="3"/>
  <c r="HN18" i="3"/>
  <c r="HO18" i="3"/>
  <c r="HP18" i="3"/>
  <c r="HQ18" i="3"/>
  <c r="HR18" i="3"/>
  <c r="HS18" i="3"/>
  <c r="HT18" i="3"/>
  <c r="HN20" i="3"/>
  <c r="HO20" i="3"/>
  <c r="HP20" i="3"/>
  <c r="HQ20" i="3"/>
  <c r="HR20" i="3"/>
  <c r="HS20" i="3"/>
  <c r="HT20" i="3"/>
  <c r="HG5" i="3"/>
  <c r="HH5" i="3"/>
  <c r="HI5" i="3"/>
  <c r="HJ5" i="3"/>
  <c r="HK5" i="3"/>
  <c r="HL5" i="3"/>
  <c r="HM5" i="3"/>
  <c r="HG7" i="3"/>
  <c r="HH7" i="3"/>
  <c r="HI7" i="3"/>
  <c r="HJ7" i="3"/>
  <c r="HK7" i="3"/>
  <c r="HL7" i="3"/>
  <c r="HM7" i="3"/>
  <c r="HG9" i="3"/>
  <c r="HH9" i="3"/>
  <c r="HI9" i="3"/>
  <c r="HJ9" i="3"/>
  <c r="HK9" i="3"/>
  <c r="HL9" i="3"/>
  <c r="HM9" i="3"/>
  <c r="HG11" i="3"/>
  <c r="HH11" i="3"/>
  <c r="HI11" i="3"/>
  <c r="HJ11" i="3"/>
  <c r="HK11" i="3"/>
  <c r="HL11" i="3"/>
  <c r="HM11" i="3"/>
  <c r="HG13" i="3"/>
  <c r="HH13" i="3"/>
  <c r="HI13" i="3"/>
  <c r="HJ13" i="3"/>
  <c r="HK13" i="3"/>
  <c r="HL13" i="3"/>
  <c r="HM13" i="3"/>
  <c r="HG16" i="3"/>
  <c r="HH16" i="3"/>
  <c r="HI16" i="3"/>
  <c r="HJ16" i="3"/>
  <c r="HK16" i="3"/>
  <c r="HL16" i="3"/>
  <c r="HM16" i="3"/>
  <c r="HG18" i="3"/>
  <c r="HH18" i="3"/>
  <c r="HI18" i="3"/>
  <c r="HJ18" i="3"/>
  <c r="HK18" i="3"/>
  <c r="HL18" i="3"/>
  <c r="HM18" i="3"/>
  <c r="HG20" i="3"/>
  <c r="HH20" i="3"/>
  <c r="HI20" i="3"/>
  <c r="HJ20" i="3"/>
  <c r="HK20" i="3"/>
  <c r="HL20" i="3"/>
  <c r="HM20" i="3"/>
  <c r="HP23" i="3" l="1"/>
  <c r="HK23" i="3"/>
  <c r="HR23" i="3"/>
  <c r="HS23" i="3"/>
  <c r="HJ23" i="3"/>
  <c r="HI23" i="3"/>
  <c r="HI14" i="3"/>
  <c r="HI31" i="3" s="1"/>
  <c r="HQ14" i="3"/>
  <c r="HH23" i="3"/>
  <c r="HG23" i="3"/>
  <c r="HO23" i="3"/>
  <c r="HM23" i="3"/>
  <c r="HN23" i="3"/>
  <c r="HQ23" i="3"/>
  <c r="HL23" i="3"/>
  <c r="HG14" i="3"/>
  <c r="HH14" i="3"/>
  <c r="HM14" i="3"/>
  <c r="HR14" i="3"/>
  <c r="HR31" i="3" s="1"/>
  <c r="HJ14" i="3"/>
  <c r="HJ31" i="3" s="1"/>
  <c r="HT14" i="3"/>
  <c r="HT31" i="3" s="1"/>
  <c r="HS14" i="3"/>
  <c r="HS31" i="3" s="1"/>
  <c r="HL14" i="3"/>
  <c r="HL31" i="3" s="1"/>
  <c r="HK14" i="3"/>
  <c r="HK31" i="3" s="1"/>
  <c r="HT23" i="3"/>
  <c r="HP14" i="3"/>
  <c r="HP31" i="3" s="1"/>
  <c r="HO14" i="3"/>
  <c r="HO31" i="3" s="1"/>
  <c r="HN14" i="3"/>
  <c r="HN31" i="3" s="1"/>
  <c r="GK14" i="2"/>
  <c r="GL14" i="2"/>
  <c r="GM14" i="2"/>
  <c r="GN14" i="2"/>
  <c r="GO14" i="2"/>
  <c r="GP14" i="2"/>
  <c r="GQ14" i="2"/>
  <c r="GR14" i="2"/>
  <c r="GS14" i="2"/>
  <c r="GT14" i="2"/>
  <c r="GT19" i="2" s="1"/>
  <c r="GT27" i="2" s="1"/>
  <c r="GK16" i="2"/>
  <c r="GK19" i="2" s="1"/>
  <c r="GK27" i="2" s="1"/>
  <c r="GL16" i="2"/>
  <c r="GM16" i="2"/>
  <c r="GN16" i="2"/>
  <c r="GO16" i="2"/>
  <c r="GP16" i="2"/>
  <c r="GQ16" i="2"/>
  <c r="GR16" i="2"/>
  <c r="GS16" i="2"/>
  <c r="GT16" i="2"/>
  <c r="GK18" i="2"/>
  <c r="GL18" i="2"/>
  <c r="GL19" i="2" s="1"/>
  <c r="GM18" i="2"/>
  <c r="GM19" i="2" s="1"/>
  <c r="GM27" i="2" s="1"/>
  <c r="GN18" i="2"/>
  <c r="GN19" i="2" s="1"/>
  <c r="GN27" i="2" s="1"/>
  <c r="GO18" i="2"/>
  <c r="GO19" i="2" s="1"/>
  <c r="GO27" i="2" s="1"/>
  <c r="GP18" i="2"/>
  <c r="GQ18" i="2"/>
  <c r="GR18" i="2"/>
  <c r="GS18" i="2"/>
  <c r="GT18" i="2"/>
  <c r="GP19" i="2"/>
  <c r="GQ19" i="2"/>
  <c r="GR19" i="2"/>
  <c r="GR27" i="2" s="1"/>
  <c r="GS19" i="2"/>
  <c r="GS27" i="2" s="1"/>
  <c r="GK21" i="2"/>
  <c r="GK26" i="2" s="1"/>
  <c r="GL21" i="2"/>
  <c r="GL26" i="2" s="1"/>
  <c r="GM21" i="2"/>
  <c r="GN21" i="2"/>
  <c r="GO21" i="2"/>
  <c r="GP21" i="2"/>
  <c r="GQ21" i="2"/>
  <c r="GR21" i="2"/>
  <c r="GS21" i="2"/>
  <c r="GT21" i="2"/>
  <c r="GK23" i="2"/>
  <c r="GL23" i="2"/>
  <c r="GM23" i="2"/>
  <c r="GN23" i="2"/>
  <c r="GO23" i="2"/>
  <c r="GP23" i="2"/>
  <c r="GQ23" i="2"/>
  <c r="GR23" i="2"/>
  <c r="GS23" i="2"/>
  <c r="GT23" i="2"/>
  <c r="GK25" i="2"/>
  <c r="GL25" i="2"/>
  <c r="GM25" i="2"/>
  <c r="GM26" i="2" s="1"/>
  <c r="GN25" i="2"/>
  <c r="GN26" i="2" s="1"/>
  <c r="GO25" i="2"/>
  <c r="GO26" i="2" s="1"/>
  <c r="GP25" i="2"/>
  <c r="GP26" i="2" s="1"/>
  <c r="GQ25" i="2"/>
  <c r="GQ26" i="2" s="1"/>
  <c r="GR25" i="2"/>
  <c r="GS25" i="2"/>
  <c r="GT25" i="2"/>
  <c r="GR26" i="2"/>
  <c r="GS26" i="2"/>
  <c r="GT26" i="2"/>
  <c r="GL3" i="2"/>
  <c r="GM3" i="2"/>
  <c r="GN3" i="2"/>
  <c r="GO3" i="2"/>
  <c r="GP3" i="2"/>
  <c r="GR3" i="2"/>
  <c r="GZ5" i="3"/>
  <c r="HA5" i="3"/>
  <c r="HB5" i="3"/>
  <c r="HC5" i="3"/>
  <c r="HD5" i="3"/>
  <c r="HE5" i="3"/>
  <c r="HF5" i="3"/>
  <c r="GZ7" i="3"/>
  <c r="HA7" i="3"/>
  <c r="HB7" i="3"/>
  <c r="HC7" i="3"/>
  <c r="HD7" i="3"/>
  <c r="HE7" i="3"/>
  <c r="HF7" i="3"/>
  <c r="GZ9" i="3"/>
  <c r="HA9" i="3"/>
  <c r="HB9" i="3"/>
  <c r="HC9" i="3"/>
  <c r="HD9" i="3"/>
  <c r="HE9" i="3"/>
  <c r="HF9" i="3"/>
  <c r="GZ11" i="3"/>
  <c r="HA11" i="3"/>
  <c r="HB11" i="3"/>
  <c r="HC11" i="3"/>
  <c r="HD11" i="3"/>
  <c r="HE11" i="3"/>
  <c r="HF11" i="3"/>
  <c r="GZ13" i="3"/>
  <c r="HA13" i="3"/>
  <c r="HB13" i="3"/>
  <c r="HC13" i="3"/>
  <c r="HD13" i="3"/>
  <c r="HE13" i="3"/>
  <c r="HF13" i="3"/>
  <c r="GZ16" i="3"/>
  <c r="HA16" i="3"/>
  <c r="HB16" i="3"/>
  <c r="HC16" i="3"/>
  <c r="HD16" i="3"/>
  <c r="HE16" i="3"/>
  <c r="HF16" i="3"/>
  <c r="GZ18" i="3"/>
  <c r="HA18" i="3"/>
  <c r="HB18" i="3"/>
  <c r="HC18" i="3"/>
  <c r="HD18" i="3"/>
  <c r="HE18" i="3"/>
  <c r="HF18" i="3"/>
  <c r="GZ20" i="3"/>
  <c r="HA20" i="3"/>
  <c r="HB20" i="3"/>
  <c r="HC20" i="3"/>
  <c r="HD20" i="3"/>
  <c r="HE20" i="3"/>
  <c r="HF20" i="3"/>
  <c r="HQ31" i="3" l="1"/>
  <c r="HM31" i="3"/>
  <c r="HH31" i="3"/>
  <c r="HG31" i="3"/>
  <c r="HC14" i="3"/>
  <c r="HA14" i="3"/>
  <c r="HA31" i="3" s="1"/>
  <c r="GZ14" i="3"/>
  <c r="GZ31" i="3" s="1"/>
  <c r="HB14" i="3"/>
  <c r="HF23" i="3"/>
  <c r="HD23" i="3"/>
  <c r="HC23" i="3"/>
  <c r="HB23" i="3"/>
  <c r="HF14" i="3"/>
  <c r="HF31" i="3" s="1"/>
  <c r="HD14" i="3"/>
  <c r="HD31" i="3" s="1"/>
  <c r="GZ23" i="3"/>
  <c r="HA23" i="3"/>
  <c r="HE14" i="3"/>
  <c r="GQ27" i="2"/>
  <c r="GP27" i="2"/>
  <c r="GL27" i="2"/>
  <c r="HE23" i="3"/>
  <c r="E40" i="6"/>
  <c r="F40" i="6"/>
  <c r="G40" i="6"/>
  <c r="H40" i="6"/>
  <c r="I40" i="6"/>
  <c r="J40" i="6"/>
  <c r="HB31" i="3" l="1"/>
  <c r="HC31" i="3"/>
  <c r="HE31" i="3"/>
  <c r="FZ14" i="2"/>
  <c r="GA14" i="2"/>
  <c r="GB14" i="2"/>
  <c r="GC14" i="2"/>
  <c r="GD14" i="2"/>
  <c r="GE14" i="2"/>
  <c r="GF14" i="2"/>
  <c r="GG14" i="2"/>
  <c r="GH14" i="2"/>
  <c r="GI14" i="2"/>
  <c r="GI19" i="2" s="1"/>
  <c r="GI27" i="2" s="1"/>
  <c r="GJ14" i="2"/>
  <c r="FZ16" i="2"/>
  <c r="FZ19" i="2" s="1"/>
  <c r="FZ27" i="2" s="1"/>
  <c r="GA16" i="2"/>
  <c r="GA19" i="2" s="1"/>
  <c r="GA27" i="2" s="1"/>
  <c r="GB16" i="2"/>
  <c r="GB19" i="2" s="1"/>
  <c r="GB27" i="2" s="1"/>
  <c r="GC16" i="2"/>
  <c r="GD16" i="2"/>
  <c r="GE16" i="2"/>
  <c r="GF16" i="2"/>
  <c r="GG16" i="2"/>
  <c r="GH16" i="2"/>
  <c r="GI16" i="2"/>
  <c r="GJ16" i="2"/>
  <c r="FZ18" i="2"/>
  <c r="GA18" i="2"/>
  <c r="GB18" i="2"/>
  <c r="GC18" i="2"/>
  <c r="GC19" i="2" s="1"/>
  <c r="GC27" i="2" s="1"/>
  <c r="GD18" i="2"/>
  <c r="GD19" i="2" s="1"/>
  <c r="GD27" i="2" s="1"/>
  <c r="GE18" i="2"/>
  <c r="GE19" i="2" s="1"/>
  <c r="GE27" i="2" s="1"/>
  <c r="GF18" i="2"/>
  <c r="GG18" i="2"/>
  <c r="GH18" i="2"/>
  <c r="GI18" i="2"/>
  <c r="GJ18" i="2"/>
  <c r="GF19" i="2"/>
  <c r="GF27" i="2" s="1"/>
  <c r="GG19" i="2"/>
  <c r="GG27" i="2" s="1"/>
  <c r="GH19" i="2"/>
  <c r="GH27" i="2" s="1"/>
  <c r="GJ19" i="2"/>
  <c r="GJ27" i="2" s="1"/>
  <c r="FZ21" i="2"/>
  <c r="GA21" i="2"/>
  <c r="GB21" i="2"/>
  <c r="GC21" i="2"/>
  <c r="GD21" i="2"/>
  <c r="GE21" i="2"/>
  <c r="GF21" i="2"/>
  <c r="GG21" i="2"/>
  <c r="GG26" i="2" s="1"/>
  <c r="GH21" i="2"/>
  <c r="GH26" i="2" s="1"/>
  <c r="GI21" i="2"/>
  <c r="GI26" i="2" s="1"/>
  <c r="GJ21" i="2"/>
  <c r="GJ26" i="2" s="1"/>
  <c r="FZ23" i="2"/>
  <c r="GA23" i="2"/>
  <c r="GB23" i="2"/>
  <c r="GC23" i="2"/>
  <c r="GD23" i="2"/>
  <c r="GE23" i="2"/>
  <c r="GF23" i="2"/>
  <c r="GG23" i="2"/>
  <c r="GH23" i="2"/>
  <c r="GI23" i="2"/>
  <c r="GJ23" i="2"/>
  <c r="FZ25" i="2"/>
  <c r="FZ26" i="2" s="1"/>
  <c r="GA25" i="2"/>
  <c r="GA26" i="2" s="1"/>
  <c r="GB25" i="2"/>
  <c r="GB26" i="2" s="1"/>
  <c r="GC25" i="2"/>
  <c r="GC26" i="2" s="1"/>
  <c r="GD25" i="2"/>
  <c r="GE25" i="2"/>
  <c r="GF25" i="2"/>
  <c r="GG25" i="2"/>
  <c r="GH25" i="2"/>
  <c r="GI25" i="2"/>
  <c r="GJ25" i="2"/>
  <c r="GD26" i="2"/>
  <c r="GE26" i="2"/>
  <c r="GF26" i="2"/>
  <c r="GU5" i="3"/>
  <c r="GV5" i="3"/>
  <c r="GW5" i="3"/>
  <c r="GX5" i="3"/>
  <c r="GY5" i="3"/>
  <c r="GU7" i="3"/>
  <c r="GV7" i="3"/>
  <c r="GW7" i="3"/>
  <c r="GX7" i="3"/>
  <c r="GY7" i="3"/>
  <c r="GU9" i="3"/>
  <c r="GV9" i="3"/>
  <c r="GW9" i="3"/>
  <c r="GX9" i="3"/>
  <c r="GY9" i="3"/>
  <c r="GU11" i="3"/>
  <c r="GV11" i="3"/>
  <c r="GW11" i="3"/>
  <c r="GX11" i="3"/>
  <c r="GY11" i="3"/>
  <c r="GU13" i="3"/>
  <c r="GV13" i="3"/>
  <c r="GW13" i="3"/>
  <c r="GX13" i="3"/>
  <c r="GY13" i="3"/>
  <c r="GU16" i="3"/>
  <c r="GV16" i="3"/>
  <c r="GW16" i="3"/>
  <c r="GX16" i="3"/>
  <c r="GY16" i="3"/>
  <c r="GU18" i="3"/>
  <c r="GV18" i="3"/>
  <c r="GW18" i="3"/>
  <c r="GX18" i="3"/>
  <c r="GY18" i="3"/>
  <c r="GU20" i="3"/>
  <c r="GV20" i="3"/>
  <c r="GW20" i="3"/>
  <c r="GX20" i="3"/>
  <c r="GY20" i="3"/>
  <c r="GS5" i="3"/>
  <c r="GT5" i="3"/>
  <c r="GS7" i="3"/>
  <c r="GT7" i="3"/>
  <c r="GS9" i="3"/>
  <c r="GT9" i="3"/>
  <c r="GS11" i="3"/>
  <c r="GT11" i="3"/>
  <c r="GS13" i="3"/>
  <c r="GT13" i="3"/>
  <c r="GS16" i="3"/>
  <c r="GT16" i="3"/>
  <c r="GS18" i="3"/>
  <c r="GT18" i="3"/>
  <c r="GS20" i="3"/>
  <c r="GT20" i="3"/>
  <c r="GU14" i="3" l="1"/>
  <c r="GW14" i="3"/>
  <c r="GV14" i="3"/>
  <c r="GT14" i="3"/>
  <c r="GS14" i="3"/>
  <c r="GU23" i="3"/>
  <c r="GY23" i="3"/>
  <c r="GT23" i="3"/>
  <c r="GS23" i="3"/>
  <c r="GX23" i="3"/>
  <c r="GW23" i="3"/>
  <c r="GV23" i="3"/>
  <c r="GX14" i="3"/>
  <c r="GX31" i="3" s="1"/>
  <c r="GY14" i="3"/>
  <c r="GY31" i="3" s="1"/>
  <c r="GS31" i="3" l="1"/>
  <c r="GT31" i="3"/>
  <c r="GV31" i="3"/>
  <c r="GW31" i="3"/>
  <c r="GU31" i="3"/>
  <c r="E41" i="6"/>
  <c r="F41" i="6"/>
  <c r="G41" i="6"/>
  <c r="H41" i="6"/>
  <c r="I41" i="6"/>
  <c r="J41" i="6"/>
  <c r="K2" i="6"/>
  <c r="GE3" i="2" l="1"/>
  <c r="GF3" i="2"/>
  <c r="GG3" i="2"/>
  <c r="GH3" i="2"/>
  <c r="GI3" i="2"/>
  <c r="GJ3" i="2"/>
  <c r="GK3" i="2"/>
  <c r="FZ3" i="2"/>
  <c r="GA3" i="2"/>
  <c r="GB3" i="2"/>
  <c r="GC3" i="2"/>
  <c r="GD3" i="2"/>
  <c r="GK13" i="3" l="1"/>
  <c r="GL5" i="3"/>
  <c r="GM5" i="3"/>
  <c r="GN5" i="3"/>
  <c r="GO5" i="3"/>
  <c r="GP5" i="3"/>
  <c r="GQ5" i="3"/>
  <c r="GR5" i="3"/>
  <c r="GL7" i="3"/>
  <c r="GM7" i="3"/>
  <c r="GN7" i="3"/>
  <c r="GO7" i="3"/>
  <c r="GP7" i="3"/>
  <c r="GQ7" i="3"/>
  <c r="GR7" i="3"/>
  <c r="GL9" i="3"/>
  <c r="GM9" i="3"/>
  <c r="GN9" i="3"/>
  <c r="GO9" i="3"/>
  <c r="GP9" i="3"/>
  <c r="GQ9" i="3"/>
  <c r="GR9" i="3"/>
  <c r="GL11" i="3"/>
  <c r="GM11" i="3"/>
  <c r="GN11" i="3"/>
  <c r="GO11" i="3"/>
  <c r="GP11" i="3"/>
  <c r="GQ11" i="3"/>
  <c r="GR11" i="3"/>
  <c r="GL13" i="3"/>
  <c r="GM13" i="3"/>
  <c r="GN13" i="3"/>
  <c r="GO13" i="3"/>
  <c r="GP13" i="3"/>
  <c r="GQ13" i="3"/>
  <c r="GR13" i="3"/>
  <c r="GL16" i="3"/>
  <c r="GM16" i="3"/>
  <c r="GN16" i="3"/>
  <c r="GO16" i="3"/>
  <c r="GP16" i="3"/>
  <c r="GQ16" i="3"/>
  <c r="GR16" i="3"/>
  <c r="GL18" i="3"/>
  <c r="GM18" i="3"/>
  <c r="GN18" i="3"/>
  <c r="GO18" i="3"/>
  <c r="GP18" i="3"/>
  <c r="GQ18" i="3"/>
  <c r="GR18" i="3"/>
  <c r="GL20" i="3"/>
  <c r="GM20" i="3"/>
  <c r="GN20" i="3"/>
  <c r="GO20" i="3"/>
  <c r="GP20" i="3"/>
  <c r="GQ20" i="3"/>
  <c r="GR20" i="3"/>
  <c r="GG5" i="3"/>
  <c r="GH5" i="3"/>
  <c r="GI5" i="3"/>
  <c r="GJ5" i="3"/>
  <c r="GK5" i="3"/>
  <c r="GG7" i="3"/>
  <c r="GH7" i="3"/>
  <c r="GI7" i="3"/>
  <c r="GJ7" i="3"/>
  <c r="GK7" i="3"/>
  <c r="GG9" i="3"/>
  <c r="GH9" i="3"/>
  <c r="GI9" i="3"/>
  <c r="GJ9" i="3"/>
  <c r="GK9" i="3"/>
  <c r="GG11" i="3"/>
  <c r="GH11" i="3"/>
  <c r="GI11" i="3"/>
  <c r="GJ11" i="3"/>
  <c r="GK11" i="3"/>
  <c r="GG13" i="3"/>
  <c r="GH13" i="3"/>
  <c r="GI13" i="3"/>
  <c r="GJ13" i="3"/>
  <c r="GG16" i="3"/>
  <c r="GH16" i="3"/>
  <c r="GI16" i="3"/>
  <c r="GJ16" i="3"/>
  <c r="GK16" i="3"/>
  <c r="GG18" i="3"/>
  <c r="GH18" i="3"/>
  <c r="GI18" i="3"/>
  <c r="GJ18" i="3"/>
  <c r="GK18" i="3"/>
  <c r="GG20" i="3"/>
  <c r="GH20" i="3"/>
  <c r="GI20" i="3"/>
  <c r="GJ20" i="3"/>
  <c r="GK20" i="3"/>
  <c r="GR23" i="3" l="1"/>
  <c r="GN14" i="3"/>
  <c r="GL23" i="3"/>
  <c r="GM14" i="3"/>
  <c r="GQ23" i="3"/>
  <c r="GP23" i="3"/>
  <c r="GG23" i="3"/>
  <c r="GH14" i="3"/>
  <c r="GH31" i="3" s="1"/>
  <c r="GJ23" i="3"/>
  <c r="GL14" i="3"/>
  <c r="GL31" i="3" s="1"/>
  <c r="GO14" i="3"/>
  <c r="GO31" i="3" s="1"/>
  <c r="GR14" i="3"/>
  <c r="GR31" i="3" s="1"/>
  <c r="GM23" i="3"/>
  <c r="GN23" i="3"/>
  <c r="GO23" i="3"/>
  <c r="GH23" i="3"/>
  <c r="GK14" i="3"/>
  <c r="GK23" i="3"/>
  <c r="GI23" i="3"/>
  <c r="GG14" i="3"/>
  <c r="GQ14" i="3"/>
  <c r="GQ31" i="3" s="1"/>
  <c r="GP14" i="3"/>
  <c r="GJ14" i="3"/>
  <c r="GJ31" i="3" s="1"/>
  <c r="GI14" i="3"/>
  <c r="GI31" i="3" s="1"/>
  <c r="GP31" i="3" l="1"/>
  <c r="GG31" i="3"/>
  <c r="GM31" i="3"/>
  <c r="GK31" i="3"/>
  <c r="GN31" i="3"/>
  <c r="K30" i="6"/>
  <c r="FZ5" i="3" l="1"/>
  <c r="GA5" i="3"/>
  <c r="GB5" i="3"/>
  <c r="GC5" i="3"/>
  <c r="GD5" i="3"/>
  <c r="GE5" i="3"/>
  <c r="GF5" i="3"/>
  <c r="FZ7" i="3"/>
  <c r="GA7" i="3"/>
  <c r="GB7" i="3"/>
  <c r="GC7" i="3"/>
  <c r="GD7" i="3"/>
  <c r="GE7" i="3"/>
  <c r="GF7" i="3"/>
  <c r="FZ9" i="3"/>
  <c r="GA9" i="3"/>
  <c r="GB9" i="3"/>
  <c r="GC9" i="3"/>
  <c r="GD9" i="3"/>
  <c r="GE9" i="3"/>
  <c r="GF9" i="3"/>
  <c r="FZ11" i="3"/>
  <c r="GA11" i="3"/>
  <c r="GB11" i="3"/>
  <c r="GC11" i="3"/>
  <c r="GD11" i="3"/>
  <c r="GE11" i="3"/>
  <c r="GF11" i="3"/>
  <c r="FZ13" i="3"/>
  <c r="GA13" i="3"/>
  <c r="GB13" i="3"/>
  <c r="GC13" i="3"/>
  <c r="GD13" i="3"/>
  <c r="GE13" i="3"/>
  <c r="GF13" i="3"/>
  <c r="FZ16" i="3"/>
  <c r="GA16" i="3"/>
  <c r="GB16" i="3"/>
  <c r="GC16" i="3"/>
  <c r="GD16" i="3"/>
  <c r="GE16" i="3"/>
  <c r="GF16" i="3"/>
  <c r="FZ18" i="3"/>
  <c r="GA18" i="3"/>
  <c r="GB18" i="3"/>
  <c r="GC18" i="3"/>
  <c r="GD18" i="3"/>
  <c r="GE18" i="3"/>
  <c r="GF18" i="3"/>
  <c r="FZ20" i="3"/>
  <c r="GA20" i="3"/>
  <c r="GB20" i="3"/>
  <c r="GC20" i="3"/>
  <c r="GD20" i="3"/>
  <c r="GE20" i="3"/>
  <c r="GF20" i="3"/>
  <c r="FS5" i="3"/>
  <c r="FT5" i="3"/>
  <c r="FU5" i="3"/>
  <c r="FV5" i="3"/>
  <c r="FW5" i="3"/>
  <c r="FX5" i="3"/>
  <c r="FY5" i="3"/>
  <c r="FS7" i="3"/>
  <c r="FT7" i="3"/>
  <c r="FU7" i="3"/>
  <c r="FV7" i="3"/>
  <c r="FW7" i="3"/>
  <c r="FX7" i="3"/>
  <c r="FY7" i="3"/>
  <c r="FS9" i="3"/>
  <c r="FT9" i="3"/>
  <c r="FU9" i="3"/>
  <c r="FV9" i="3"/>
  <c r="FW9" i="3"/>
  <c r="FX9" i="3"/>
  <c r="FY9" i="3"/>
  <c r="FS11" i="3"/>
  <c r="FT11" i="3"/>
  <c r="FU11" i="3"/>
  <c r="FV11" i="3"/>
  <c r="FW11" i="3"/>
  <c r="FX11" i="3"/>
  <c r="FY11" i="3"/>
  <c r="FS13" i="3"/>
  <c r="FT13" i="3"/>
  <c r="FU13" i="3"/>
  <c r="FV13" i="3"/>
  <c r="FW13" i="3"/>
  <c r="FX13" i="3"/>
  <c r="FY13" i="3"/>
  <c r="FS16" i="3"/>
  <c r="FT16" i="3"/>
  <c r="FU16" i="3"/>
  <c r="FV16" i="3"/>
  <c r="FW16" i="3"/>
  <c r="FX16" i="3"/>
  <c r="FY16" i="3"/>
  <c r="FS18" i="3"/>
  <c r="FT18" i="3"/>
  <c r="FU18" i="3"/>
  <c r="FV18" i="3"/>
  <c r="FW18" i="3"/>
  <c r="FX18" i="3"/>
  <c r="FY18" i="3"/>
  <c r="FS20" i="3"/>
  <c r="FT20" i="3"/>
  <c r="FU20" i="3"/>
  <c r="FV20" i="3"/>
  <c r="FW20" i="3"/>
  <c r="FX20" i="3"/>
  <c r="FY20" i="3"/>
  <c r="GE14" i="3" l="1"/>
  <c r="GD23" i="3"/>
  <c r="GC23" i="3"/>
  <c r="FU23" i="3"/>
  <c r="GB23" i="3"/>
  <c r="GA23" i="3"/>
  <c r="FS23" i="3"/>
  <c r="FZ23" i="3"/>
  <c r="GF23" i="3"/>
  <c r="GF14" i="3"/>
  <c r="GF31" i="3" s="1"/>
  <c r="GE23" i="3"/>
  <c r="GD14" i="3"/>
  <c r="GD31" i="3" s="1"/>
  <c r="GB14" i="3"/>
  <c r="GB31" i="3" s="1"/>
  <c r="GA14" i="3"/>
  <c r="GA31" i="3" s="1"/>
  <c r="FZ14" i="3"/>
  <c r="FY14" i="3"/>
  <c r="FX23" i="3"/>
  <c r="FW23" i="3"/>
  <c r="FY23" i="3"/>
  <c r="GC14" i="3"/>
  <c r="GC31" i="3" s="1"/>
  <c r="FV23" i="3"/>
  <c r="FT23" i="3"/>
  <c r="FS14" i="3"/>
  <c r="FS31" i="3" s="1"/>
  <c r="FX14" i="3"/>
  <c r="FX31" i="3" s="1"/>
  <c r="FV14" i="3"/>
  <c r="FV31" i="3" s="1"/>
  <c r="FU14" i="3"/>
  <c r="FU31" i="3" s="1"/>
  <c r="FT14" i="3"/>
  <c r="FT31" i="3" s="1"/>
  <c r="FW14" i="3"/>
  <c r="FW31" i="3" s="1"/>
  <c r="FY31" i="3" l="1"/>
  <c r="FZ31" i="3"/>
  <c r="GE31" i="3"/>
  <c r="FR3" i="2"/>
  <c r="FS3" i="2"/>
  <c r="FT3" i="2"/>
  <c r="FU3" i="2"/>
  <c r="FV3" i="2"/>
  <c r="FW3" i="2"/>
  <c r="FX3" i="2"/>
  <c r="FY3" i="2"/>
  <c r="FQ3" i="2"/>
  <c r="FQ14" i="2"/>
  <c r="FR14" i="2"/>
  <c r="FR19" i="2" s="1"/>
  <c r="FS14" i="2"/>
  <c r="FT14" i="2"/>
  <c r="FU14" i="2"/>
  <c r="FV14" i="2"/>
  <c r="FW14" i="2"/>
  <c r="FW19" i="2" s="1"/>
  <c r="FW27" i="2" s="1"/>
  <c r="FX14" i="2"/>
  <c r="FX19" i="2" s="1"/>
  <c r="FY14" i="2"/>
  <c r="FY19" i="2" s="1"/>
  <c r="FY27" i="2" s="1"/>
  <c r="FQ16" i="2"/>
  <c r="FR16" i="2"/>
  <c r="FS16" i="2"/>
  <c r="FS19" i="2" s="1"/>
  <c r="FS27" i="2" s="1"/>
  <c r="FT16" i="2"/>
  <c r="FT19" i="2" s="1"/>
  <c r="FT27" i="2" s="1"/>
  <c r="FU16" i="2"/>
  <c r="FU19" i="2" s="1"/>
  <c r="FU27" i="2" s="1"/>
  <c r="FV16" i="2"/>
  <c r="FW16" i="2"/>
  <c r="FX16" i="2"/>
  <c r="FY16" i="2"/>
  <c r="FQ18" i="2"/>
  <c r="FR18" i="2"/>
  <c r="FS18" i="2"/>
  <c r="FT18" i="2"/>
  <c r="FU18" i="2"/>
  <c r="FV18" i="2"/>
  <c r="FV19" i="2" s="1"/>
  <c r="FV27" i="2" s="1"/>
  <c r="FW18" i="2"/>
  <c r="FX18" i="2"/>
  <c r="FY18" i="2"/>
  <c r="FQ19" i="2"/>
  <c r="FQ21" i="2"/>
  <c r="FQ26" i="2" s="1"/>
  <c r="FR21" i="2"/>
  <c r="FR26" i="2" s="1"/>
  <c r="FS21" i="2"/>
  <c r="FS26" i="2" s="1"/>
  <c r="FT21" i="2"/>
  <c r="FT26" i="2" s="1"/>
  <c r="FU21" i="2"/>
  <c r="FU26" i="2" s="1"/>
  <c r="FV21" i="2"/>
  <c r="FV26" i="2" s="1"/>
  <c r="FW21" i="2"/>
  <c r="FX21" i="2"/>
  <c r="FX26" i="2" s="1"/>
  <c r="FY21" i="2"/>
  <c r="FQ23" i="2"/>
  <c r="FR23" i="2"/>
  <c r="FS23" i="2"/>
  <c r="FT23" i="2"/>
  <c r="FU23" i="2"/>
  <c r="FV23" i="2"/>
  <c r="FW23" i="2"/>
  <c r="FX23" i="2"/>
  <c r="FY23" i="2"/>
  <c r="FQ25" i="2"/>
  <c r="FR25" i="2"/>
  <c r="FS25" i="2"/>
  <c r="FT25" i="2"/>
  <c r="FU25" i="2"/>
  <c r="FV25" i="2"/>
  <c r="FW25" i="2"/>
  <c r="FX25" i="2"/>
  <c r="FY25" i="2"/>
  <c r="FW26" i="2"/>
  <c r="FY26" i="2"/>
  <c r="FQ27" i="2" l="1"/>
  <c r="FX27" i="2"/>
  <c r="FR27" i="2"/>
  <c r="FK3" i="2" l="1"/>
  <c r="FL3" i="2"/>
  <c r="FM3" i="2"/>
  <c r="FN3" i="2"/>
  <c r="FO3" i="2"/>
  <c r="FP3" i="2"/>
  <c r="FJ3" i="2"/>
  <c r="FG14" i="2"/>
  <c r="FG19" i="2" s="1"/>
  <c r="FG27" i="2" s="1"/>
  <c r="FH14" i="2"/>
  <c r="FI14" i="2"/>
  <c r="FJ14" i="2"/>
  <c r="FJ19" i="2" s="1"/>
  <c r="FJ27" i="2" s="1"/>
  <c r="FK14" i="2"/>
  <c r="FK19" i="2" s="1"/>
  <c r="FK27" i="2" s="1"/>
  <c r="FL14" i="2"/>
  <c r="FM14" i="2"/>
  <c r="FN14" i="2"/>
  <c r="FO14" i="2"/>
  <c r="FP14" i="2"/>
  <c r="FG16" i="2"/>
  <c r="FH16" i="2"/>
  <c r="FH19" i="2" s="1"/>
  <c r="FH27" i="2" s="1"/>
  <c r="FI16" i="2"/>
  <c r="FI19" i="2" s="1"/>
  <c r="FI27" i="2" s="1"/>
  <c r="FJ16" i="2"/>
  <c r="FK16" i="2"/>
  <c r="FL16" i="2"/>
  <c r="FM16" i="2"/>
  <c r="FN16" i="2"/>
  <c r="FO16" i="2"/>
  <c r="FO19" i="2" s="1"/>
  <c r="FO27" i="2" s="1"/>
  <c r="FP16" i="2"/>
  <c r="FG18" i="2"/>
  <c r="FH18" i="2"/>
  <c r="FI18" i="2"/>
  <c r="FJ18" i="2"/>
  <c r="FK18" i="2"/>
  <c r="FL18" i="2"/>
  <c r="FL19" i="2" s="1"/>
  <c r="FL27" i="2" s="1"/>
  <c r="FM18" i="2"/>
  <c r="FM19" i="2" s="1"/>
  <c r="FM27" i="2" s="1"/>
  <c r="FN18" i="2"/>
  <c r="FN19" i="2" s="1"/>
  <c r="FO18" i="2"/>
  <c r="FP18" i="2"/>
  <c r="FP19" i="2"/>
  <c r="FP27" i="2" s="1"/>
  <c r="FG21" i="2"/>
  <c r="FH21" i="2"/>
  <c r="FH26" i="2" s="1"/>
  <c r="FI21" i="2"/>
  <c r="FI26" i="2" s="1"/>
  <c r="FJ21" i="2"/>
  <c r="FK21" i="2"/>
  <c r="FL21" i="2"/>
  <c r="FL26" i="2" s="1"/>
  <c r="FM21" i="2"/>
  <c r="FM26" i="2" s="1"/>
  <c r="FN21" i="2"/>
  <c r="FO21" i="2"/>
  <c r="FP21" i="2"/>
  <c r="FG23" i="2"/>
  <c r="FH23" i="2"/>
  <c r="FI23" i="2"/>
  <c r="FJ23" i="2"/>
  <c r="FK23" i="2"/>
  <c r="FL23" i="2"/>
  <c r="FM23" i="2"/>
  <c r="FN23" i="2"/>
  <c r="FO23" i="2"/>
  <c r="FP23" i="2"/>
  <c r="FG25" i="2"/>
  <c r="FH25" i="2"/>
  <c r="FI25" i="2"/>
  <c r="FJ25" i="2"/>
  <c r="FK25" i="2"/>
  <c r="FL25" i="2"/>
  <c r="FM25" i="2"/>
  <c r="FN25" i="2"/>
  <c r="FN26" i="2" s="1"/>
  <c r="FO25" i="2"/>
  <c r="FO26" i="2" s="1"/>
  <c r="FP25" i="2"/>
  <c r="FP26" i="2" s="1"/>
  <c r="FG26" i="2"/>
  <c r="FJ26" i="2"/>
  <c r="FK26" i="2"/>
  <c r="EV14" i="2"/>
  <c r="EW14" i="2"/>
  <c r="EW19" i="2" s="1"/>
  <c r="EX14" i="2"/>
  <c r="EX19" i="2" s="1"/>
  <c r="EY14" i="2"/>
  <c r="EZ14" i="2"/>
  <c r="FA14" i="2"/>
  <c r="FB14" i="2"/>
  <c r="FC14" i="2"/>
  <c r="FD14" i="2"/>
  <c r="FE14" i="2"/>
  <c r="FE19" i="2" s="1"/>
  <c r="FF14" i="2"/>
  <c r="EV16" i="2"/>
  <c r="EV19" i="2" s="1"/>
  <c r="EV27" i="2" s="1"/>
  <c r="EW16" i="2"/>
  <c r="EX16" i="2"/>
  <c r="EY16" i="2"/>
  <c r="EZ16" i="2"/>
  <c r="EZ19" i="2" s="1"/>
  <c r="FA16" i="2"/>
  <c r="FA19" i="2" s="1"/>
  <c r="FB16" i="2"/>
  <c r="FC16" i="2"/>
  <c r="FD16" i="2"/>
  <c r="FE16" i="2"/>
  <c r="FF16" i="2"/>
  <c r="EV18" i="2"/>
  <c r="EW18" i="2"/>
  <c r="EX18" i="2"/>
  <c r="EY18" i="2"/>
  <c r="EY19" i="2" s="1"/>
  <c r="EZ18" i="2"/>
  <c r="FA18" i="2"/>
  <c r="FB18" i="2"/>
  <c r="FC18" i="2"/>
  <c r="FC19" i="2" s="1"/>
  <c r="FD18" i="2"/>
  <c r="FD19" i="2" s="1"/>
  <c r="FE18" i="2"/>
  <c r="FF18" i="2"/>
  <c r="FB19" i="2"/>
  <c r="FF19" i="2"/>
  <c r="FF27" i="2" s="1"/>
  <c r="EV21" i="2"/>
  <c r="EV26" i="2" s="1"/>
  <c r="EW21" i="2"/>
  <c r="EX21" i="2"/>
  <c r="EY21" i="2"/>
  <c r="EZ21" i="2"/>
  <c r="FA21" i="2"/>
  <c r="FB21" i="2"/>
  <c r="FC21" i="2"/>
  <c r="FC26" i="2" s="1"/>
  <c r="FD21" i="2"/>
  <c r="FE21" i="2"/>
  <c r="FE26" i="2" s="1"/>
  <c r="FF21" i="2"/>
  <c r="FF26" i="2" s="1"/>
  <c r="EV23" i="2"/>
  <c r="EW23" i="2"/>
  <c r="EX23" i="2"/>
  <c r="EY23" i="2"/>
  <c r="EZ23" i="2"/>
  <c r="FA23" i="2"/>
  <c r="FB23" i="2"/>
  <c r="FC23" i="2"/>
  <c r="FD23" i="2"/>
  <c r="FE23" i="2"/>
  <c r="FF23" i="2"/>
  <c r="EV25" i="2"/>
  <c r="EW25" i="2"/>
  <c r="EX25" i="2"/>
  <c r="EY25" i="2"/>
  <c r="EZ25" i="2"/>
  <c r="FA25" i="2"/>
  <c r="FB25" i="2"/>
  <c r="FC25" i="2"/>
  <c r="FD25" i="2"/>
  <c r="FE25" i="2"/>
  <c r="FF25" i="2"/>
  <c r="EZ26" i="2"/>
  <c r="FD26" i="2"/>
  <c r="FN27" i="2" l="1"/>
  <c r="EY27" i="2"/>
  <c r="FE27" i="2"/>
  <c r="FB26" i="2"/>
  <c r="FA26" i="2"/>
  <c r="EY26" i="2"/>
  <c r="EX26" i="2"/>
  <c r="EW26" i="2"/>
  <c r="FD27" i="2"/>
  <c r="FC27" i="2"/>
  <c r="EZ27" i="2"/>
  <c r="FB27" i="2"/>
  <c r="FA27" i="2"/>
  <c r="EX27" i="2"/>
  <c r="EW27" i="2"/>
  <c r="FE5" i="3" l="1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E14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E20" i="3"/>
  <c r="FF20" i="3"/>
  <c r="FG20" i="3"/>
  <c r="FH20" i="3"/>
  <c r="FI20" i="3"/>
  <c r="FI23" i="3" s="1"/>
  <c r="FJ20" i="3"/>
  <c r="FK20" i="3"/>
  <c r="FL20" i="3"/>
  <c r="FM20" i="3"/>
  <c r="FN20" i="3"/>
  <c r="FO20" i="3"/>
  <c r="FP20" i="3"/>
  <c r="FQ20" i="3"/>
  <c r="FR20" i="3"/>
  <c r="FE23" i="3" l="1"/>
  <c r="FE31" i="3" s="1"/>
  <c r="FQ23" i="3"/>
  <c r="FN23" i="3"/>
  <c r="FF23" i="3"/>
  <c r="FF14" i="3"/>
  <c r="FF31" i="3" s="1"/>
  <c r="FM23" i="3"/>
  <c r="FQ14" i="3"/>
  <c r="FQ31" i="3" s="1"/>
  <c r="FH23" i="3"/>
  <c r="FG23" i="3"/>
  <c r="FH14" i="3"/>
  <c r="FH31" i="3" s="1"/>
  <c r="FR23" i="3"/>
  <c r="FL23" i="3"/>
  <c r="FK23" i="3"/>
  <c r="FI14" i="3"/>
  <c r="FI31" i="3" s="1"/>
  <c r="FG14" i="3"/>
  <c r="FO23" i="3"/>
  <c r="FJ23" i="3"/>
  <c r="FP23" i="3"/>
  <c r="FR14" i="3"/>
  <c r="I39" i="6"/>
  <c r="J39" i="6"/>
  <c r="H39" i="6"/>
  <c r="G39" i="6"/>
  <c r="F39" i="6"/>
  <c r="E39" i="6"/>
  <c r="FK14" i="3"/>
  <c r="FP14" i="3"/>
  <c r="FP31" i="3" s="1"/>
  <c r="FO14" i="3"/>
  <c r="FN14" i="3"/>
  <c r="FM14" i="3"/>
  <c r="FL14" i="3"/>
  <c r="FJ14" i="3"/>
  <c r="FJ31" i="3" s="1"/>
  <c r="FK31" i="3" l="1"/>
  <c r="FR31" i="3"/>
  <c r="FL31" i="3"/>
  <c r="FM31" i="3"/>
  <c r="FN31" i="3"/>
  <c r="FG31" i="3"/>
  <c r="FO31" i="3"/>
  <c r="E44" i="6"/>
  <c r="F44" i="6"/>
  <c r="G44" i="6"/>
  <c r="H44" i="6"/>
  <c r="I44" i="6"/>
  <c r="J44" i="6"/>
  <c r="R33" i="6" l="1"/>
  <c r="Q32" i="6"/>
  <c r="Q33" i="6"/>
  <c r="R32" i="6"/>
  <c r="R34" i="6" s="1"/>
  <c r="E33" i="6"/>
  <c r="F33" i="6"/>
  <c r="G33" i="6"/>
  <c r="H33" i="6"/>
  <c r="I33" i="6"/>
  <c r="J33" i="6"/>
  <c r="Q36" i="6" l="1"/>
  <c r="Q34" i="6"/>
  <c r="R36" i="6"/>
  <c r="Q35" i="6"/>
  <c r="R35" i="6"/>
  <c r="EQ19" i="2" l="1"/>
  <c r="ER19" i="2"/>
  <c r="ES19" i="2"/>
  <c r="ET19" i="2"/>
  <c r="EU19" i="2"/>
  <c r="EM19" i="2"/>
  <c r="EN18" i="2"/>
  <c r="EO18" i="2"/>
  <c r="EP18" i="2"/>
  <c r="EQ18" i="2"/>
  <c r="ER18" i="2"/>
  <c r="ES18" i="2"/>
  <c r="ET18" i="2"/>
  <c r="EU18" i="2"/>
  <c r="EM18" i="2"/>
  <c r="EO3" i="2"/>
  <c r="EP3" i="2"/>
  <c r="EQ3" i="2"/>
  <c r="ER3" i="2"/>
  <c r="ES3" i="2"/>
  <c r="ET3" i="2"/>
  <c r="EU3" i="2"/>
  <c r="EP14" i="2"/>
  <c r="EP19" i="2" s="1"/>
  <c r="EQ14" i="2"/>
  <c r="ER14" i="2"/>
  <c r="ES14" i="2"/>
  <c r="ET14" i="2"/>
  <c r="EU14" i="2"/>
  <c r="EP16" i="2"/>
  <c r="EQ16" i="2"/>
  <c r="ER16" i="2"/>
  <c r="ES16" i="2"/>
  <c r="ET16" i="2"/>
  <c r="EU16" i="2"/>
  <c r="EP21" i="2"/>
  <c r="EQ21" i="2"/>
  <c r="ER21" i="2"/>
  <c r="ES21" i="2"/>
  <c r="ES26" i="2" s="1"/>
  <c r="ET21" i="2"/>
  <c r="ET26" i="2" s="1"/>
  <c r="EU21" i="2"/>
  <c r="EU26" i="2" s="1"/>
  <c r="EP23" i="2"/>
  <c r="EQ23" i="2"/>
  <c r="ER23" i="2"/>
  <c r="ES23" i="2"/>
  <c r="ET23" i="2"/>
  <c r="EU23" i="2"/>
  <c r="EP25" i="2"/>
  <c r="EQ25" i="2"/>
  <c r="ER25" i="2"/>
  <c r="ER26" i="2" s="1"/>
  <c r="ES25" i="2"/>
  <c r="ET25" i="2"/>
  <c r="EU25" i="2"/>
  <c r="EQ26" i="2"/>
  <c r="EP26" i="2" l="1"/>
  <c r="ET27" i="2"/>
  <c r="ES27" i="2"/>
  <c r="EQ27" i="2"/>
  <c r="ER27" i="2"/>
  <c r="EU27" i="2"/>
  <c r="EP27" i="2" l="1"/>
  <c r="EV5" i="3"/>
  <c r="EW5" i="3"/>
  <c r="EX5" i="3"/>
  <c r="EY5" i="3"/>
  <c r="EZ5" i="3"/>
  <c r="FA5" i="3"/>
  <c r="FB5" i="3"/>
  <c r="FC5" i="3"/>
  <c r="FD5" i="3"/>
  <c r="EV7" i="3"/>
  <c r="EW7" i="3"/>
  <c r="EX7" i="3"/>
  <c r="EY7" i="3"/>
  <c r="EZ7" i="3"/>
  <c r="FA7" i="3"/>
  <c r="FB7" i="3"/>
  <c r="FC7" i="3"/>
  <c r="FD7" i="3"/>
  <c r="EV9" i="3"/>
  <c r="EW9" i="3"/>
  <c r="EX9" i="3"/>
  <c r="EY9" i="3"/>
  <c r="EZ9" i="3"/>
  <c r="FA9" i="3"/>
  <c r="FB9" i="3"/>
  <c r="FC9" i="3"/>
  <c r="FD9" i="3"/>
  <c r="EV11" i="3"/>
  <c r="EW11" i="3"/>
  <c r="EX11" i="3"/>
  <c r="EY11" i="3"/>
  <c r="EZ11" i="3"/>
  <c r="FA11" i="3"/>
  <c r="FB11" i="3"/>
  <c r="FC11" i="3"/>
  <c r="FD11" i="3"/>
  <c r="EV13" i="3"/>
  <c r="EW13" i="3"/>
  <c r="EX13" i="3"/>
  <c r="EY13" i="3"/>
  <c r="EZ13" i="3"/>
  <c r="FA13" i="3"/>
  <c r="FB13" i="3"/>
  <c r="FC13" i="3"/>
  <c r="FD13" i="3"/>
  <c r="EV16" i="3"/>
  <c r="EW16" i="3"/>
  <c r="EX16" i="3"/>
  <c r="EY16" i="3"/>
  <c r="EZ16" i="3"/>
  <c r="FA16" i="3"/>
  <c r="FB16" i="3"/>
  <c r="FC16" i="3"/>
  <c r="FD16" i="3"/>
  <c r="EV18" i="3"/>
  <c r="EW18" i="3"/>
  <c r="EX18" i="3"/>
  <c r="EY18" i="3"/>
  <c r="EZ18" i="3"/>
  <c r="FA18" i="3"/>
  <c r="FB18" i="3"/>
  <c r="FC18" i="3"/>
  <c r="FD18" i="3"/>
  <c r="EV20" i="3"/>
  <c r="EW20" i="3"/>
  <c r="EX20" i="3"/>
  <c r="EY20" i="3"/>
  <c r="EZ20" i="3"/>
  <c r="FA20" i="3"/>
  <c r="FB20" i="3"/>
  <c r="FC20" i="3"/>
  <c r="FD20" i="3"/>
  <c r="FA23" i="3" l="1"/>
  <c r="EY14" i="3"/>
  <c r="EZ23" i="3"/>
  <c r="FD23" i="3"/>
  <c r="FB23" i="3"/>
  <c r="FC23" i="3"/>
  <c r="EW23" i="3"/>
  <c r="EX23" i="3"/>
  <c r="EY23" i="3"/>
  <c r="EV23" i="3"/>
  <c r="EZ14" i="3"/>
  <c r="EZ31" i="3" s="1"/>
  <c r="FC14" i="3"/>
  <c r="FC31" i="3" s="1"/>
  <c r="FD14" i="3"/>
  <c r="FD31" i="3" s="1"/>
  <c r="FB14" i="3"/>
  <c r="FB31" i="3" s="1"/>
  <c r="FA14" i="3"/>
  <c r="FA31" i="3" s="1"/>
  <c r="EX14" i="3"/>
  <c r="EW14" i="3"/>
  <c r="EV14" i="3"/>
  <c r="EV31" i="3" l="1"/>
  <c r="EW31" i="3"/>
  <c r="EX31" i="3"/>
  <c r="EY31" i="3"/>
  <c r="EH14" i="2"/>
  <c r="EI14" i="2"/>
  <c r="EJ14" i="2"/>
  <c r="EK14" i="2"/>
  <c r="EL14" i="2"/>
  <c r="EM14" i="2"/>
  <c r="EN14" i="2"/>
  <c r="EO14" i="2"/>
  <c r="EH16" i="2"/>
  <c r="EI16" i="2"/>
  <c r="EJ16" i="2"/>
  <c r="EK16" i="2"/>
  <c r="EL16" i="2"/>
  <c r="EM16" i="2"/>
  <c r="EN16" i="2"/>
  <c r="EN19" i="2" s="1"/>
  <c r="EO16" i="2"/>
  <c r="EO19" i="2" s="1"/>
  <c r="EH21" i="2"/>
  <c r="EI21" i="2"/>
  <c r="EJ21" i="2"/>
  <c r="EK21" i="2"/>
  <c r="EL21" i="2"/>
  <c r="EM21" i="2"/>
  <c r="EN21" i="2"/>
  <c r="EO21" i="2"/>
  <c r="EH23" i="2"/>
  <c r="EI23" i="2"/>
  <c r="EJ23" i="2"/>
  <c r="EK23" i="2"/>
  <c r="EL23" i="2"/>
  <c r="EM23" i="2"/>
  <c r="EN23" i="2"/>
  <c r="EO23" i="2"/>
  <c r="EH25" i="2"/>
  <c r="EI25" i="2"/>
  <c r="EJ25" i="2"/>
  <c r="EK25" i="2"/>
  <c r="EL25" i="2"/>
  <c r="EM25" i="2"/>
  <c r="EN25" i="2"/>
  <c r="EO25" i="2"/>
  <c r="EO5" i="3"/>
  <c r="EP5" i="3"/>
  <c r="EQ5" i="3"/>
  <c r="ER5" i="3"/>
  <c r="ES5" i="3"/>
  <c r="ET5" i="3"/>
  <c r="EU5" i="3"/>
  <c r="EO7" i="3"/>
  <c r="EP7" i="3"/>
  <c r="EQ7" i="3"/>
  <c r="ER7" i="3"/>
  <c r="ES7" i="3"/>
  <c r="ET7" i="3"/>
  <c r="EU7" i="3"/>
  <c r="EO9" i="3"/>
  <c r="EP9" i="3"/>
  <c r="EQ9" i="3"/>
  <c r="ER9" i="3"/>
  <c r="ES9" i="3"/>
  <c r="ET9" i="3"/>
  <c r="EU9" i="3"/>
  <c r="EO11" i="3"/>
  <c r="EP11" i="3"/>
  <c r="EQ11" i="3"/>
  <c r="ER11" i="3"/>
  <c r="ES11" i="3"/>
  <c r="ET11" i="3"/>
  <c r="EU11" i="3"/>
  <c r="EO13" i="3"/>
  <c r="EP13" i="3"/>
  <c r="EQ13" i="3"/>
  <c r="ER13" i="3"/>
  <c r="ES13" i="3"/>
  <c r="ET13" i="3"/>
  <c r="EU13" i="3"/>
  <c r="EO16" i="3"/>
  <c r="EP16" i="3"/>
  <c r="EQ16" i="3"/>
  <c r="ER16" i="3"/>
  <c r="ES16" i="3"/>
  <c r="ET16" i="3"/>
  <c r="EU16" i="3"/>
  <c r="EO18" i="3"/>
  <c r="EP18" i="3"/>
  <c r="EQ18" i="3"/>
  <c r="ER18" i="3"/>
  <c r="ES18" i="3"/>
  <c r="ET18" i="3"/>
  <c r="EU18" i="3"/>
  <c r="EO20" i="3"/>
  <c r="EP20" i="3"/>
  <c r="EQ20" i="3"/>
  <c r="ER20" i="3"/>
  <c r="ES20" i="3"/>
  <c r="ET20" i="3"/>
  <c r="EU20" i="3"/>
  <c r="EH5" i="3"/>
  <c r="EI5" i="3"/>
  <c r="EJ5" i="3"/>
  <c r="EK5" i="3"/>
  <c r="EL5" i="3"/>
  <c r="EM5" i="3"/>
  <c r="EN5" i="3"/>
  <c r="EH7" i="3"/>
  <c r="EI7" i="3"/>
  <c r="EJ7" i="3"/>
  <c r="EK7" i="3"/>
  <c r="EL7" i="3"/>
  <c r="EM7" i="3"/>
  <c r="EN7" i="3"/>
  <c r="EH9" i="3"/>
  <c r="EI9" i="3"/>
  <c r="EJ9" i="3"/>
  <c r="EK9" i="3"/>
  <c r="EL9" i="3"/>
  <c r="EM9" i="3"/>
  <c r="EN9" i="3"/>
  <c r="EH11" i="3"/>
  <c r="EI11" i="3"/>
  <c r="EJ11" i="3"/>
  <c r="EK11" i="3"/>
  <c r="EL11" i="3"/>
  <c r="EM11" i="3"/>
  <c r="EN11" i="3"/>
  <c r="EH13" i="3"/>
  <c r="EI13" i="3"/>
  <c r="EJ13" i="3"/>
  <c r="EK13" i="3"/>
  <c r="EL13" i="3"/>
  <c r="EM13" i="3"/>
  <c r="EN13" i="3"/>
  <c r="EH16" i="3"/>
  <c r="EH23" i="3" s="1"/>
  <c r="EI16" i="3"/>
  <c r="EJ16" i="3"/>
  <c r="EK16" i="3"/>
  <c r="EL16" i="3"/>
  <c r="EM16" i="3"/>
  <c r="EN16" i="3"/>
  <c r="EH18" i="3"/>
  <c r="EI18" i="3"/>
  <c r="EJ18" i="3"/>
  <c r="EK18" i="3"/>
  <c r="EL18" i="3"/>
  <c r="EM18" i="3"/>
  <c r="EN18" i="3"/>
  <c r="EH20" i="3"/>
  <c r="EI20" i="3"/>
  <c r="EJ20" i="3"/>
  <c r="EK20" i="3"/>
  <c r="EL20" i="3"/>
  <c r="EM20" i="3"/>
  <c r="EN20" i="3"/>
  <c r="EI23" i="3" l="1"/>
  <c r="EO14" i="3"/>
  <c r="EQ23" i="3"/>
  <c r="EL23" i="3"/>
  <c r="EK23" i="3"/>
  <c r="EK14" i="3"/>
  <c r="EK31" i="3" s="1"/>
  <c r="ER23" i="3"/>
  <c r="EL14" i="3"/>
  <c r="EL31" i="3" s="1"/>
  <c r="EJ23" i="3"/>
  <c r="EO23" i="3"/>
  <c r="EP23" i="3"/>
  <c r="EQ14" i="3"/>
  <c r="EQ31" i="3" s="1"/>
  <c r="EL26" i="2"/>
  <c r="EK26" i="2"/>
  <c r="EL19" i="2"/>
  <c r="EM26" i="2"/>
  <c r="EN26" i="2"/>
  <c r="EH19" i="2"/>
  <c r="EO26" i="2"/>
  <c r="EO27" i="2" s="1"/>
  <c r="EN27" i="2"/>
  <c r="EJ19" i="2"/>
  <c r="EJ26" i="2"/>
  <c r="EI26" i="2"/>
  <c r="EH26" i="2"/>
  <c r="EK19" i="2"/>
  <c r="EI19" i="2"/>
  <c r="EP14" i="3"/>
  <c r="EP31" i="3" s="1"/>
  <c r="ES14" i="3"/>
  <c r="ES31" i="3" s="1"/>
  <c r="EH14" i="3"/>
  <c r="EH31" i="3" s="1"/>
  <c r="EU23" i="3"/>
  <c r="ET23" i="3"/>
  <c r="ES23" i="3"/>
  <c r="EN23" i="3"/>
  <c r="EM23" i="3"/>
  <c r="EM14" i="3"/>
  <c r="EM31" i="3" s="1"/>
  <c r="EU14" i="3"/>
  <c r="EU31" i="3" s="1"/>
  <c r="ET14" i="3"/>
  <c r="ET31" i="3" s="1"/>
  <c r="ER14" i="3"/>
  <c r="ER31" i="3" s="1"/>
  <c r="EI14" i="3"/>
  <c r="EI31" i="3" s="1"/>
  <c r="EN14" i="3"/>
  <c r="EN31" i="3" s="1"/>
  <c r="EJ14" i="3"/>
  <c r="EJ31" i="3" s="1"/>
  <c r="EO31" i="3" l="1"/>
  <c r="EK27" i="2"/>
  <c r="EL27" i="2"/>
  <c r="EM27" i="2"/>
  <c r="EI27" i="2"/>
  <c r="EH27" i="2"/>
  <c r="EJ27" i="2"/>
  <c r="EJ3" i="2" l="1"/>
  <c r="EK3" i="2"/>
  <c r="EL3" i="2"/>
  <c r="EM3" i="2"/>
  <c r="EN3" i="2"/>
  <c r="EH3" i="2"/>
  <c r="EI3" i="2"/>
  <c r="DY3" i="2"/>
  <c r="DZ3" i="2"/>
  <c r="EA3" i="2"/>
  <c r="EB3" i="2"/>
  <c r="EC3" i="2"/>
  <c r="EE3" i="2"/>
  <c r="EF3" i="2"/>
  <c r="EG3" i="2"/>
  <c r="ED3" i="2"/>
  <c r="EE14" i="2"/>
  <c r="EF14" i="2"/>
  <c r="EF19" i="2" s="1"/>
  <c r="EG14" i="2"/>
  <c r="EG19" i="2" s="1"/>
  <c r="EE16" i="2"/>
  <c r="EF16" i="2"/>
  <c r="EG16" i="2"/>
  <c r="EE21" i="2"/>
  <c r="EF21" i="2"/>
  <c r="EG21" i="2"/>
  <c r="EE23" i="2"/>
  <c r="EF23" i="2"/>
  <c r="EG23" i="2"/>
  <c r="EE25" i="2"/>
  <c r="EF25" i="2"/>
  <c r="EG25" i="2"/>
  <c r="EE19" i="2" l="1"/>
  <c r="EG26" i="2"/>
  <c r="EG27" i="2"/>
  <c r="EF26" i="2"/>
  <c r="EF27" i="2" s="1"/>
  <c r="EE26" i="2"/>
  <c r="DU14" i="2"/>
  <c r="DV14" i="2"/>
  <c r="DW14" i="2"/>
  <c r="DX14" i="2"/>
  <c r="DX19" i="2" s="1"/>
  <c r="DY14" i="2"/>
  <c r="DY19" i="2" s="1"/>
  <c r="DZ14" i="2"/>
  <c r="DZ19" i="2" s="1"/>
  <c r="EA14" i="2"/>
  <c r="EB14" i="2"/>
  <c r="EC14" i="2"/>
  <c r="ED14" i="2"/>
  <c r="DU16" i="2"/>
  <c r="DV16" i="2"/>
  <c r="DW16" i="2"/>
  <c r="DX16" i="2"/>
  <c r="DY16" i="2"/>
  <c r="DZ16" i="2"/>
  <c r="EA16" i="2"/>
  <c r="EB16" i="2"/>
  <c r="EC16" i="2"/>
  <c r="ED16" i="2"/>
  <c r="DU21" i="2"/>
  <c r="DV21" i="2"/>
  <c r="DW21" i="2"/>
  <c r="DX21" i="2"/>
  <c r="DY21" i="2"/>
  <c r="DZ21" i="2"/>
  <c r="EA21" i="2"/>
  <c r="EB21" i="2"/>
  <c r="EC21" i="2"/>
  <c r="ED21" i="2"/>
  <c r="DU23" i="2"/>
  <c r="DV23" i="2"/>
  <c r="DW23" i="2"/>
  <c r="DX23" i="2"/>
  <c r="DY23" i="2"/>
  <c r="DZ23" i="2"/>
  <c r="EA23" i="2"/>
  <c r="EB23" i="2"/>
  <c r="EC23" i="2"/>
  <c r="ED23" i="2"/>
  <c r="DU25" i="2"/>
  <c r="DV25" i="2"/>
  <c r="DW25" i="2"/>
  <c r="DX25" i="2"/>
  <c r="DY25" i="2"/>
  <c r="DZ25" i="2"/>
  <c r="EA25" i="2"/>
  <c r="EB25" i="2"/>
  <c r="EC25" i="2"/>
  <c r="ED25" i="2"/>
  <c r="DZ26" i="2" l="1"/>
  <c r="DZ27" i="2" s="1"/>
  <c r="EC19" i="2"/>
  <c r="EB19" i="2"/>
  <c r="EA19" i="2"/>
  <c r="DW19" i="2"/>
  <c r="DV19" i="2"/>
  <c r="ED26" i="2"/>
  <c r="DW26" i="2"/>
  <c r="DW27" i="2" s="1"/>
  <c r="EC26" i="2"/>
  <c r="DV26" i="2"/>
  <c r="DV27" i="2" s="1"/>
  <c r="EB26" i="2"/>
  <c r="DU26" i="2"/>
  <c r="EE27" i="2"/>
  <c r="DY26" i="2"/>
  <c r="DY27" i="2" s="1"/>
  <c r="EA26" i="2"/>
  <c r="EA27" i="2" s="1"/>
  <c r="DX26" i="2"/>
  <c r="DX27" i="2" s="1"/>
  <c r="DU19" i="2"/>
  <c r="ED19" i="2"/>
  <c r="K33" i="6" l="1"/>
  <c r="K31" i="6"/>
  <c r="K32" i="6"/>
  <c r="EB27" i="2"/>
  <c r="ED27" i="2"/>
  <c r="EC27" i="2"/>
  <c r="DU27" i="2"/>
  <c r="EA5" i="3"/>
  <c r="EB5" i="3"/>
  <c r="EC5" i="3"/>
  <c r="ED5" i="3"/>
  <c r="EE5" i="3"/>
  <c r="EF5" i="3"/>
  <c r="EG5" i="3"/>
  <c r="EA7" i="3"/>
  <c r="EB7" i="3"/>
  <c r="EC7" i="3"/>
  <c r="ED7" i="3"/>
  <c r="EE7" i="3"/>
  <c r="EF7" i="3"/>
  <c r="EG7" i="3"/>
  <c r="EA9" i="3"/>
  <c r="EB9" i="3"/>
  <c r="EC9" i="3"/>
  <c r="ED9" i="3"/>
  <c r="EE9" i="3"/>
  <c r="EF9" i="3"/>
  <c r="EG9" i="3"/>
  <c r="EA11" i="3"/>
  <c r="EB11" i="3"/>
  <c r="EC11" i="3"/>
  <c r="ED11" i="3"/>
  <c r="EE11" i="3"/>
  <c r="EF11" i="3"/>
  <c r="EG11" i="3"/>
  <c r="EA13" i="3"/>
  <c r="EB13" i="3"/>
  <c r="EC13" i="3"/>
  <c r="ED13" i="3"/>
  <c r="EE13" i="3"/>
  <c r="EF13" i="3"/>
  <c r="EG13" i="3"/>
  <c r="EA16" i="3"/>
  <c r="EB16" i="3"/>
  <c r="EC16" i="3"/>
  <c r="ED16" i="3"/>
  <c r="EE16" i="3"/>
  <c r="EF16" i="3"/>
  <c r="EG16" i="3"/>
  <c r="EA18" i="3"/>
  <c r="EB18" i="3"/>
  <c r="EC18" i="3"/>
  <c r="ED18" i="3"/>
  <c r="EE18" i="3"/>
  <c r="EF18" i="3"/>
  <c r="EG18" i="3"/>
  <c r="EA20" i="3"/>
  <c r="EB20" i="3"/>
  <c r="EC20" i="3"/>
  <c r="ED20" i="3"/>
  <c r="EE20" i="3"/>
  <c r="EF20" i="3"/>
  <c r="EG20" i="3"/>
  <c r="K34" i="6" l="1"/>
  <c r="EG14" i="3"/>
  <c r="EG31" i="3" s="1"/>
  <c r="EF23" i="3"/>
  <c r="ED23" i="3"/>
  <c r="EE23" i="3"/>
  <c r="EG23" i="3"/>
  <c r="ED14" i="3"/>
  <c r="ED31" i="3" s="1"/>
  <c r="EB14" i="3"/>
  <c r="EF14" i="3"/>
  <c r="EF31" i="3" s="1"/>
  <c r="EE14" i="3"/>
  <c r="EE31" i="3" s="1"/>
  <c r="EB23" i="3"/>
  <c r="EA23" i="3"/>
  <c r="EC23" i="3"/>
  <c r="EA14" i="3"/>
  <c r="EA31" i="3" s="1"/>
  <c r="EC14" i="3"/>
  <c r="EB31" i="3" l="1"/>
  <c r="EC31" i="3"/>
  <c r="B37" i="6"/>
  <c r="E42" i="6" l="1"/>
  <c r="F42" i="6"/>
  <c r="G42" i="6"/>
  <c r="H42" i="6"/>
  <c r="I42" i="6"/>
  <c r="J42" i="6"/>
  <c r="DM3" i="2" l="1"/>
  <c r="DN3" i="2"/>
  <c r="DO3" i="2"/>
  <c r="DP3" i="2"/>
  <c r="DQ3" i="2"/>
  <c r="DR3" i="2"/>
  <c r="DS3" i="2"/>
  <c r="DO14" i="2"/>
  <c r="DP14" i="2"/>
  <c r="DQ14" i="2"/>
  <c r="DR14" i="2"/>
  <c r="DS14" i="2"/>
  <c r="DT14" i="2"/>
  <c r="DO16" i="2"/>
  <c r="DP16" i="2"/>
  <c r="DQ16" i="2"/>
  <c r="DR16" i="2"/>
  <c r="DS16" i="2"/>
  <c r="DT16" i="2"/>
  <c r="DO21" i="2"/>
  <c r="DP21" i="2"/>
  <c r="DQ21" i="2"/>
  <c r="DR21" i="2"/>
  <c r="DS21" i="2"/>
  <c r="DS26" i="2" s="1"/>
  <c r="DT21" i="2"/>
  <c r="DT26" i="2" s="1"/>
  <c r="DO23" i="2"/>
  <c r="DP23" i="2"/>
  <c r="DQ23" i="2"/>
  <c r="DR23" i="2"/>
  <c r="DS23" i="2"/>
  <c r="DT23" i="2"/>
  <c r="DO25" i="2"/>
  <c r="DP25" i="2"/>
  <c r="DQ25" i="2"/>
  <c r="DR25" i="2"/>
  <c r="DS25" i="2"/>
  <c r="DT25" i="2"/>
  <c r="DP26" i="2"/>
  <c r="DQ26" i="2"/>
  <c r="DR26" i="2"/>
  <c r="DQ19" i="2" l="1"/>
  <c r="DQ27" i="2" s="1"/>
  <c r="DP19" i="2"/>
  <c r="DO26" i="2"/>
  <c r="DP27" i="2"/>
  <c r="DO19" i="2"/>
  <c r="DT19" i="2"/>
  <c r="DT27" i="2" s="1"/>
  <c r="DS19" i="2"/>
  <c r="DS27" i="2" s="1"/>
  <c r="DR19" i="2"/>
  <c r="DR27" i="2" s="1"/>
  <c r="DO27" i="2" l="1"/>
  <c r="F51" i="6"/>
  <c r="C50" i="6"/>
  <c r="C49" i="6"/>
  <c r="C48" i="6"/>
  <c r="J43" i="6"/>
  <c r="I43" i="6"/>
  <c r="H43" i="6"/>
  <c r="G43" i="6"/>
  <c r="F43" i="6"/>
  <c r="E43" i="6"/>
  <c r="B39" i="6"/>
  <c r="C33" i="6"/>
  <c r="C31" i="6"/>
  <c r="C32" i="6"/>
  <c r="L1" i="6"/>
  <c r="M1" i="6" s="1"/>
  <c r="N1" i="6" s="1"/>
  <c r="O1" i="6" s="1"/>
  <c r="P1" i="6" s="1"/>
  <c r="Q1" i="6" s="1"/>
  <c r="R1" i="6" s="1"/>
  <c r="E1" i="6"/>
  <c r="F1" i="6" s="1"/>
  <c r="G1" i="6" s="1"/>
  <c r="H1" i="6" s="1"/>
  <c r="I1" i="6" s="1"/>
  <c r="J1" i="6" s="1"/>
  <c r="C34" i="6" l="1"/>
  <c r="D52" i="6" l="1"/>
  <c r="DT5" i="3"/>
  <c r="DU5" i="3"/>
  <c r="DV5" i="3"/>
  <c r="DW5" i="3"/>
  <c r="DX5" i="3"/>
  <c r="DY5" i="3"/>
  <c r="DZ5" i="3"/>
  <c r="DT7" i="3"/>
  <c r="DU7" i="3"/>
  <c r="DV7" i="3"/>
  <c r="DW7" i="3"/>
  <c r="DX7" i="3"/>
  <c r="DY7" i="3"/>
  <c r="DZ7" i="3"/>
  <c r="DT9" i="3"/>
  <c r="DU9" i="3"/>
  <c r="DV9" i="3"/>
  <c r="DW9" i="3"/>
  <c r="DX9" i="3"/>
  <c r="DY9" i="3"/>
  <c r="DZ9" i="3"/>
  <c r="DT11" i="3"/>
  <c r="DU11" i="3"/>
  <c r="DV11" i="3"/>
  <c r="DW11" i="3"/>
  <c r="DX11" i="3"/>
  <c r="DY11" i="3"/>
  <c r="DZ11" i="3"/>
  <c r="DT13" i="3"/>
  <c r="DU13" i="3"/>
  <c r="DV13" i="3"/>
  <c r="DW13" i="3"/>
  <c r="DX13" i="3"/>
  <c r="DY13" i="3"/>
  <c r="DZ13" i="3"/>
  <c r="DT16" i="3"/>
  <c r="DU16" i="3"/>
  <c r="DV16" i="3"/>
  <c r="DW16" i="3"/>
  <c r="DX16" i="3"/>
  <c r="DY16" i="3"/>
  <c r="DZ16" i="3"/>
  <c r="DT18" i="3"/>
  <c r="DU18" i="3"/>
  <c r="DV18" i="3"/>
  <c r="DW18" i="3"/>
  <c r="DX18" i="3"/>
  <c r="DY18" i="3"/>
  <c r="DZ18" i="3"/>
  <c r="DT20" i="3"/>
  <c r="DU20" i="3"/>
  <c r="DV20" i="3"/>
  <c r="DW20" i="3"/>
  <c r="DX20" i="3"/>
  <c r="DY20" i="3"/>
  <c r="DZ20" i="3"/>
  <c r="DN5" i="3"/>
  <c r="DO5" i="3"/>
  <c r="DP5" i="3"/>
  <c r="DQ5" i="3"/>
  <c r="DR5" i="3"/>
  <c r="DS5" i="3"/>
  <c r="DN7" i="3"/>
  <c r="DO7" i="3"/>
  <c r="DP7" i="3"/>
  <c r="DQ7" i="3"/>
  <c r="DR7" i="3"/>
  <c r="DS7" i="3"/>
  <c r="DN9" i="3"/>
  <c r="DO9" i="3"/>
  <c r="DP9" i="3"/>
  <c r="DQ9" i="3"/>
  <c r="DR9" i="3"/>
  <c r="DS9" i="3"/>
  <c r="DN11" i="3"/>
  <c r="DO11" i="3"/>
  <c r="DP11" i="3"/>
  <c r="DQ11" i="3"/>
  <c r="DR11" i="3"/>
  <c r="DS11" i="3"/>
  <c r="DN13" i="3"/>
  <c r="DO13" i="3"/>
  <c r="DP13" i="3"/>
  <c r="DQ13" i="3"/>
  <c r="DR13" i="3"/>
  <c r="DS13" i="3"/>
  <c r="DN16" i="3"/>
  <c r="DO16" i="3"/>
  <c r="DP16" i="3"/>
  <c r="DQ16" i="3"/>
  <c r="DR16" i="3"/>
  <c r="DS16" i="3"/>
  <c r="DN18" i="3"/>
  <c r="DO18" i="3"/>
  <c r="DP18" i="3"/>
  <c r="DQ18" i="3"/>
  <c r="DR18" i="3"/>
  <c r="DS18" i="3"/>
  <c r="DN20" i="3"/>
  <c r="DO20" i="3"/>
  <c r="DP20" i="3"/>
  <c r="DQ20" i="3"/>
  <c r="DR20" i="3"/>
  <c r="DS20" i="3"/>
  <c r="DZ23" i="3" l="1"/>
  <c r="DV23" i="3"/>
  <c r="DT23" i="3"/>
  <c r="DU23" i="3"/>
  <c r="DY23" i="3"/>
  <c r="DW23" i="3"/>
  <c r="DW14" i="3"/>
  <c r="DW31" i="3" s="1"/>
  <c r="DV14" i="3"/>
  <c r="DV31" i="3" s="1"/>
  <c r="DT14" i="3"/>
  <c r="DT31" i="3" s="1"/>
  <c r="DS23" i="3"/>
  <c r="DX23" i="3"/>
  <c r="DR23" i="3"/>
  <c r="DX14" i="3"/>
  <c r="DX31" i="3" s="1"/>
  <c r="DZ14" i="3"/>
  <c r="DZ31" i="3" s="1"/>
  <c r="DY14" i="3"/>
  <c r="DU14" i="3"/>
  <c r="DU31" i="3" s="1"/>
  <c r="DQ23" i="3"/>
  <c r="DP23" i="3"/>
  <c r="DO23" i="3"/>
  <c r="DN23" i="3"/>
  <c r="DR14" i="3"/>
  <c r="DP14" i="3"/>
  <c r="DP31" i="3" s="1"/>
  <c r="DO14" i="3"/>
  <c r="DO31" i="3" s="1"/>
  <c r="DS14" i="3"/>
  <c r="DS31" i="3" s="1"/>
  <c r="DQ14" i="3"/>
  <c r="DQ31" i="3" s="1"/>
  <c r="DN14" i="3"/>
  <c r="DN31" i="3" s="1"/>
  <c r="DF5" i="3"/>
  <c r="DG5" i="3"/>
  <c r="DH5" i="3"/>
  <c r="DI5" i="3"/>
  <c r="DJ5" i="3"/>
  <c r="DK5" i="3"/>
  <c r="DL5" i="3"/>
  <c r="DM5" i="3"/>
  <c r="DF7" i="3"/>
  <c r="DG7" i="3"/>
  <c r="DH7" i="3"/>
  <c r="DI7" i="3"/>
  <c r="DJ7" i="3"/>
  <c r="DK7" i="3"/>
  <c r="DL7" i="3"/>
  <c r="DM7" i="3"/>
  <c r="DF9" i="3"/>
  <c r="DG9" i="3"/>
  <c r="DH9" i="3"/>
  <c r="DI9" i="3"/>
  <c r="DJ9" i="3"/>
  <c r="DK9" i="3"/>
  <c r="DL9" i="3"/>
  <c r="DM9" i="3"/>
  <c r="DF11" i="3"/>
  <c r="DG11" i="3"/>
  <c r="DH11" i="3"/>
  <c r="DI11" i="3"/>
  <c r="DJ11" i="3"/>
  <c r="DK11" i="3"/>
  <c r="DL11" i="3"/>
  <c r="DM11" i="3"/>
  <c r="DF13" i="3"/>
  <c r="DG13" i="3"/>
  <c r="DH13" i="3"/>
  <c r="DI13" i="3"/>
  <c r="DJ13" i="3"/>
  <c r="DK13" i="3"/>
  <c r="DL13" i="3"/>
  <c r="DM13" i="3"/>
  <c r="DF16" i="3"/>
  <c r="DG16" i="3"/>
  <c r="DH16" i="3"/>
  <c r="DI16" i="3"/>
  <c r="DJ16" i="3"/>
  <c r="DK16" i="3"/>
  <c r="DL16" i="3"/>
  <c r="DM16" i="3"/>
  <c r="DF18" i="3"/>
  <c r="DG18" i="3"/>
  <c r="DH18" i="3"/>
  <c r="DI18" i="3"/>
  <c r="DJ18" i="3"/>
  <c r="DK18" i="3"/>
  <c r="DL18" i="3"/>
  <c r="DM18" i="3"/>
  <c r="DF20" i="3"/>
  <c r="DG20" i="3"/>
  <c r="DH20" i="3"/>
  <c r="DI20" i="3"/>
  <c r="DJ20" i="3"/>
  <c r="DK20" i="3"/>
  <c r="DL20" i="3"/>
  <c r="DM20" i="3"/>
  <c r="DR31" i="3" l="1"/>
  <c r="DY31" i="3"/>
  <c r="DM23" i="3"/>
  <c r="DJ23" i="3"/>
  <c r="DI23" i="3"/>
  <c r="DH23" i="3"/>
  <c r="DG23" i="3"/>
  <c r="DL23" i="3"/>
  <c r="DK23" i="3"/>
  <c r="DF23" i="3"/>
  <c r="DG14" i="3"/>
  <c r="DG31" i="3" s="1"/>
  <c r="DL14" i="3"/>
  <c r="DL31" i="3" s="1"/>
  <c r="DI14" i="3"/>
  <c r="DI31" i="3" s="1"/>
  <c r="DF14" i="3"/>
  <c r="DF31" i="3" s="1"/>
  <c r="DH14" i="3"/>
  <c r="DK14" i="3"/>
  <c r="DM14" i="3"/>
  <c r="DM31" i="3" s="1"/>
  <c r="DJ14" i="3"/>
  <c r="DJ31" i="3" s="1"/>
  <c r="DK31" i="3" l="1"/>
  <c r="DH31" i="3"/>
  <c r="DF3" i="2"/>
  <c r="DG3" i="2"/>
  <c r="DH3" i="2"/>
  <c r="DI3" i="2"/>
  <c r="DJ3" i="2"/>
  <c r="DK3" i="2"/>
  <c r="DL3" i="2"/>
  <c r="DJ14" i="2"/>
  <c r="DK14" i="2"/>
  <c r="DL14" i="2"/>
  <c r="DM14" i="2"/>
  <c r="DN14" i="2"/>
  <c r="DJ16" i="2"/>
  <c r="DK16" i="2"/>
  <c r="DL16" i="2"/>
  <c r="DM16" i="2"/>
  <c r="DN16" i="2"/>
  <c r="DJ19" i="2"/>
  <c r="DJ21" i="2"/>
  <c r="DK21" i="2"/>
  <c r="DL21" i="2"/>
  <c r="DM21" i="2"/>
  <c r="DN21" i="2"/>
  <c r="DJ23" i="2"/>
  <c r="DK23" i="2"/>
  <c r="DL23" i="2"/>
  <c r="DM23" i="2"/>
  <c r="DN23" i="2"/>
  <c r="DJ25" i="2"/>
  <c r="DK25" i="2"/>
  <c r="DL25" i="2"/>
  <c r="DM25" i="2"/>
  <c r="DM26" i="2" s="1"/>
  <c r="DN25" i="2"/>
  <c r="DN26" i="2" s="1"/>
  <c r="DF14" i="2"/>
  <c r="DG14" i="2"/>
  <c r="DH14" i="2"/>
  <c r="DI14" i="2"/>
  <c r="DF16" i="2"/>
  <c r="DG16" i="2"/>
  <c r="DH16" i="2"/>
  <c r="DI16" i="2"/>
  <c r="DF21" i="2"/>
  <c r="DF26" i="2" s="1"/>
  <c r="DG21" i="2"/>
  <c r="DG26" i="2" s="1"/>
  <c r="DH21" i="2"/>
  <c r="DI21" i="2"/>
  <c r="DF23" i="2"/>
  <c r="DG23" i="2"/>
  <c r="DH23" i="2"/>
  <c r="DI23" i="2"/>
  <c r="DF25" i="2"/>
  <c r="DG25" i="2"/>
  <c r="DH25" i="2"/>
  <c r="DI25" i="2"/>
  <c r="DL26" i="2" l="1"/>
  <c r="DL27" i="2" s="1"/>
  <c r="DK26" i="2"/>
  <c r="DI19" i="2"/>
  <c r="DG19" i="2"/>
  <c r="DG27" i="2" s="1"/>
  <c r="DH19" i="2"/>
  <c r="DN19" i="2"/>
  <c r="DN27" i="2" s="1"/>
  <c r="DF19" i="2"/>
  <c r="DF27" i="2" s="1"/>
  <c r="DL19" i="2"/>
  <c r="DI26" i="2"/>
  <c r="DK19" i="2"/>
  <c r="DH26" i="2"/>
  <c r="DM19" i="2"/>
  <c r="DM27" i="2" s="1"/>
  <c r="DJ26" i="2"/>
  <c r="DJ27" i="2" s="1"/>
  <c r="DK27" i="2" l="1"/>
  <c r="DI27" i="2"/>
  <c r="DH27" i="2"/>
  <c r="DA14" i="2"/>
  <c r="DB14" i="2"/>
  <c r="DC14" i="2"/>
  <c r="DD14" i="2"/>
  <c r="DE14" i="2"/>
  <c r="DA16" i="2"/>
  <c r="DB16" i="2"/>
  <c r="DC16" i="2"/>
  <c r="DD16" i="2"/>
  <c r="DE16" i="2"/>
  <c r="DA21" i="2"/>
  <c r="DB21" i="2"/>
  <c r="DC21" i="2"/>
  <c r="DC26" i="2" s="1"/>
  <c r="DD21" i="2"/>
  <c r="DE21" i="2"/>
  <c r="DA23" i="2"/>
  <c r="DB23" i="2"/>
  <c r="DC23" i="2"/>
  <c r="DD23" i="2"/>
  <c r="DE23" i="2"/>
  <c r="DA25" i="2"/>
  <c r="DB25" i="2"/>
  <c r="DC25" i="2"/>
  <c r="DD25" i="2"/>
  <c r="DE25" i="2"/>
  <c r="DE3" i="2"/>
  <c r="CZ23" i="2"/>
  <c r="CY23" i="2"/>
  <c r="CX23" i="2"/>
  <c r="CW23" i="2"/>
  <c r="CV23" i="2"/>
  <c r="CU23" i="2"/>
  <c r="CT23" i="2"/>
  <c r="CS23" i="2"/>
  <c r="CR23" i="2"/>
  <c r="DD26" i="2" l="1"/>
  <c r="DD19" i="2"/>
  <c r="DD27" i="2" s="1"/>
  <c r="DB19" i="2"/>
  <c r="DC19" i="2"/>
  <c r="DC27" i="2" s="1"/>
  <c r="DE26" i="2"/>
  <c r="DA19" i="2"/>
  <c r="DE19" i="2"/>
  <c r="DB26" i="2"/>
  <c r="DA26" i="2"/>
  <c r="DB27" i="2" l="1"/>
  <c r="DE27" i="2"/>
  <c r="DA27" i="2"/>
  <c r="CR14" i="2"/>
  <c r="CS14" i="2"/>
  <c r="CT14" i="2"/>
  <c r="CU14" i="2"/>
  <c r="CV14" i="2"/>
  <c r="CW14" i="2"/>
  <c r="CX14" i="2"/>
  <c r="CY14" i="2"/>
  <c r="CY19" i="2" s="1"/>
  <c r="CZ14" i="2"/>
  <c r="CZ19" i="2" s="1"/>
  <c r="CR16" i="2"/>
  <c r="CS16" i="2"/>
  <c r="CT16" i="2"/>
  <c r="CU16" i="2"/>
  <c r="CV16" i="2"/>
  <c r="CW16" i="2"/>
  <c r="CX16" i="2"/>
  <c r="CY16" i="2"/>
  <c r="CZ16" i="2"/>
  <c r="CR21" i="2"/>
  <c r="CS21" i="2"/>
  <c r="CT21" i="2"/>
  <c r="CT26" i="2" s="1"/>
  <c r="CU21" i="2"/>
  <c r="CV21" i="2"/>
  <c r="CW21" i="2"/>
  <c r="CX21" i="2"/>
  <c r="CY21" i="2"/>
  <c r="CZ21" i="2"/>
  <c r="CR25" i="2"/>
  <c r="CS25" i="2"/>
  <c r="CT25" i="2"/>
  <c r="CU25" i="2"/>
  <c r="CV25" i="2"/>
  <c r="CW25" i="2"/>
  <c r="CX25" i="2"/>
  <c r="CY25" i="2"/>
  <c r="CZ25" i="2"/>
  <c r="CU3" i="2"/>
  <c r="CV3" i="2"/>
  <c r="CX3" i="2"/>
  <c r="CY3" i="2"/>
  <c r="CZ3" i="2"/>
  <c r="DA3" i="2"/>
  <c r="DB3" i="2"/>
  <c r="DC3" i="2"/>
  <c r="DD3" i="2"/>
  <c r="CW3" i="2"/>
  <c r="CZ26" i="2" l="1"/>
  <c r="CU19" i="2"/>
  <c r="CT19" i="2"/>
  <c r="CT27" i="2" s="1"/>
  <c r="CS26" i="2"/>
  <c r="CX26" i="2"/>
  <c r="CV26" i="2"/>
  <c r="CU26" i="2"/>
  <c r="CX19" i="2"/>
  <c r="CX27" i="2" s="1"/>
  <c r="CS19" i="2"/>
  <c r="CY26" i="2"/>
  <c r="CW26" i="2"/>
  <c r="CR19" i="2"/>
  <c r="CV19" i="2"/>
  <c r="CV27" i="2" s="1"/>
  <c r="CW19" i="2"/>
  <c r="CW27" i="2" s="1"/>
  <c r="CZ27" i="2"/>
  <c r="CR26" i="2"/>
  <c r="CR27" i="2" s="1"/>
  <c r="CY27" i="2"/>
  <c r="CU27" i="2" l="1"/>
  <c r="CS27" i="2"/>
  <c r="CY5" i="3"/>
  <c r="CZ5" i="3"/>
  <c r="DA5" i="3"/>
  <c r="DB5" i="3"/>
  <c r="DC5" i="3"/>
  <c r="DD5" i="3"/>
  <c r="DE5" i="3"/>
  <c r="CY7" i="3"/>
  <c r="CZ7" i="3"/>
  <c r="DA7" i="3"/>
  <c r="DB7" i="3"/>
  <c r="DC7" i="3"/>
  <c r="DD7" i="3"/>
  <c r="DE7" i="3"/>
  <c r="CY9" i="3"/>
  <c r="CZ9" i="3"/>
  <c r="DA9" i="3"/>
  <c r="DB9" i="3"/>
  <c r="DC9" i="3"/>
  <c r="DD9" i="3"/>
  <c r="DE9" i="3"/>
  <c r="CY11" i="3"/>
  <c r="CZ11" i="3"/>
  <c r="DA11" i="3"/>
  <c r="DB11" i="3"/>
  <c r="DC11" i="3"/>
  <c r="DD11" i="3"/>
  <c r="DE11" i="3"/>
  <c r="CY13" i="3"/>
  <c r="CZ13" i="3"/>
  <c r="DA13" i="3"/>
  <c r="DB13" i="3"/>
  <c r="DC13" i="3"/>
  <c r="DD13" i="3"/>
  <c r="DE13" i="3"/>
  <c r="CY16" i="3"/>
  <c r="CZ16" i="3"/>
  <c r="DA16" i="3"/>
  <c r="DB16" i="3"/>
  <c r="DC16" i="3"/>
  <c r="DD16" i="3"/>
  <c r="DE16" i="3"/>
  <c r="CY18" i="3"/>
  <c r="CZ18" i="3"/>
  <c r="DA18" i="3"/>
  <c r="DB18" i="3"/>
  <c r="DC18" i="3"/>
  <c r="DD18" i="3"/>
  <c r="DE18" i="3"/>
  <c r="CY20" i="3"/>
  <c r="CZ20" i="3"/>
  <c r="DA20" i="3"/>
  <c r="DB20" i="3"/>
  <c r="DC20" i="3"/>
  <c r="DD20" i="3"/>
  <c r="DE20" i="3"/>
  <c r="CR5" i="3"/>
  <c r="CS5" i="3"/>
  <c r="CT5" i="3"/>
  <c r="CU5" i="3"/>
  <c r="CV5" i="3"/>
  <c r="CW5" i="3"/>
  <c r="CX5" i="3"/>
  <c r="CR7" i="3"/>
  <c r="CS7" i="3"/>
  <c r="CT7" i="3"/>
  <c r="CU7" i="3"/>
  <c r="CV7" i="3"/>
  <c r="CW7" i="3"/>
  <c r="CX7" i="3"/>
  <c r="CR9" i="3"/>
  <c r="CS9" i="3"/>
  <c r="CT9" i="3"/>
  <c r="CU9" i="3"/>
  <c r="CV9" i="3"/>
  <c r="CW9" i="3"/>
  <c r="CX9" i="3"/>
  <c r="CR11" i="3"/>
  <c r="CS11" i="3"/>
  <c r="CT11" i="3"/>
  <c r="CU11" i="3"/>
  <c r="CV11" i="3"/>
  <c r="CW11" i="3"/>
  <c r="CX11" i="3"/>
  <c r="CR13" i="3"/>
  <c r="CS13" i="3"/>
  <c r="CT13" i="3"/>
  <c r="CU13" i="3"/>
  <c r="CV13" i="3"/>
  <c r="CW13" i="3"/>
  <c r="CX13" i="3"/>
  <c r="CR16" i="3"/>
  <c r="CS16" i="3"/>
  <c r="CT16" i="3"/>
  <c r="CU16" i="3"/>
  <c r="CV16" i="3"/>
  <c r="CW16" i="3"/>
  <c r="CX16" i="3"/>
  <c r="CR18" i="3"/>
  <c r="CS18" i="3"/>
  <c r="CT18" i="3"/>
  <c r="CU18" i="3"/>
  <c r="CV18" i="3"/>
  <c r="CW18" i="3"/>
  <c r="CX18" i="3"/>
  <c r="CR20" i="3"/>
  <c r="CS20" i="3"/>
  <c r="CT20" i="3"/>
  <c r="CU20" i="3"/>
  <c r="CV20" i="3"/>
  <c r="CW20" i="3"/>
  <c r="CX20" i="3"/>
  <c r="CV23" i="3" l="1"/>
  <c r="CW14" i="3"/>
  <c r="CV14" i="3"/>
  <c r="CV31" i="3" s="1"/>
  <c r="CX23" i="3"/>
  <c r="CW23" i="3"/>
  <c r="CU23" i="3"/>
  <c r="CS23" i="3"/>
  <c r="CR23" i="3"/>
  <c r="CY23" i="3"/>
  <c r="CT23" i="3"/>
  <c r="DD14" i="3"/>
  <c r="DC23" i="3"/>
  <c r="DB23" i="3"/>
  <c r="DD23" i="3"/>
  <c r="CZ23" i="3"/>
  <c r="DC14" i="3"/>
  <c r="DB14" i="3"/>
  <c r="DE14" i="3"/>
  <c r="CY14" i="3"/>
  <c r="CT14" i="3"/>
  <c r="CX14" i="3"/>
  <c r="CX31" i="3" s="1"/>
  <c r="DE23" i="3"/>
  <c r="DA14" i="3"/>
  <c r="CS14" i="3"/>
  <c r="CS31" i="3" s="1"/>
  <c r="CZ14" i="3"/>
  <c r="CZ31" i="3" s="1"/>
  <c r="DA23" i="3"/>
  <c r="CU14" i="3"/>
  <c r="CU31" i="3" s="1"/>
  <c r="CR14" i="3"/>
  <c r="CR31" i="3" s="1"/>
  <c r="DD31" i="3" l="1"/>
  <c r="DA31" i="3"/>
  <c r="CT31" i="3"/>
  <c r="CY31" i="3"/>
  <c r="DE31" i="3"/>
  <c r="DB31" i="3"/>
  <c r="DC31" i="3"/>
  <c r="CW31" i="3"/>
  <c r="CF16" i="2"/>
  <c r="CQ16" i="2" l="1"/>
  <c r="CL14" i="2" l="1"/>
  <c r="CM14" i="2"/>
  <c r="CN14" i="2"/>
  <c r="CO14" i="2"/>
  <c r="CP14" i="2"/>
  <c r="CQ14" i="2"/>
  <c r="CL16" i="2"/>
  <c r="CM16" i="2"/>
  <c r="CN16" i="2"/>
  <c r="CO16" i="2"/>
  <c r="CP16" i="2"/>
  <c r="CP19" i="2" s="1"/>
  <c r="CM19" i="2"/>
  <c r="CL21" i="2"/>
  <c r="CM21" i="2"/>
  <c r="CM26" i="2" s="1"/>
  <c r="CN21" i="2"/>
  <c r="CO21" i="2"/>
  <c r="CP21" i="2"/>
  <c r="CQ21" i="2"/>
  <c r="CL25" i="2"/>
  <c r="CM25" i="2"/>
  <c r="CN25" i="2"/>
  <c r="CO25" i="2"/>
  <c r="CP25" i="2"/>
  <c r="CQ25" i="2"/>
  <c r="CL19" i="2" l="1"/>
  <c r="CM27" i="2"/>
  <c r="CL26" i="2"/>
  <c r="CQ26" i="2"/>
  <c r="CO26" i="2"/>
  <c r="CN26" i="2"/>
  <c r="CP26" i="2"/>
  <c r="CQ19" i="2"/>
  <c r="CN19" i="2"/>
  <c r="CN27" i="2" s="1"/>
  <c r="CO19" i="2"/>
  <c r="CO27" i="2" s="1"/>
  <c r="CP27" i="2"/>
  <c r="CL27" i="2" l="1"/>
  <c r="CQ27" i="2"/>
  <c r="CK5" i="3"/>
  <c r="CL5" i="3"/>
  <c r="CM5" i="3"/>
  <c r="CN5" i="3"/>
  <c r="CO5" i="3"/>
  <c r="CP5" i="3"/>
  <c r="CQ5" i="3"/>
  <c r="CK7" i="3"/>
  <c r="CL7" i="3"/>
  <c r="CM7" i="3"/>
  <c r="CN7" i="3"/>
  <c r="CO7" i="3"/>
  <c r="CP7" i="3"/>
  <c r="CQ7" i="3"/>
  <c r="CK9" i="3"/>
  <c r="CL9" i="3"/>
  <c r="CM9" i="3"/>
  <c r="CN9" i="3"/>
  <c r="CO9" i="3"/>
  <c r="CP9" i="3"/>
  <c r="CQ9" i="3"/>
  <c r="CK11" i="3"/>
  <c r="CL11" i="3"/>
  <c r="CM11" i="3"/>
  <c r="CN11" i="3"/>
  <c r="CO11" i="3"/>
  <c r="CP11" i="3"/>
  <c r="CQ11" i="3"/>
  <c r="CK13" i="3"/>
  <c r="CL13" i="3"/>
  <c r="CM13" i="3"/>
  <c r="CN13" i="3"/>
  <c r="CO13" i="3"/>
  <c r="CP13" i="3"/>
  <c r="CQ13" i="3"/>
  <c r="CK16" i="3"/>
  <c r="CL16" i="3"/>
  <c r="CM16" i="3"/>
  <c r="CN16" i="3"/>
  <c r="CO16" i="3"/>
  <c r="CP16" i="3"/>
  <c r="CQ16" i="3"/>
  <c r="CK18" i="3"/>
  <c r="CL18" i="3"/>
  <c r="CM18" i="3"/>
  <c r="CN18" i="3"/>
  <c r="CO18" i="3"/>
  <c r="CP18" i="3"/>
  <c r="CQ18" i="3"/>
  <c r="CK20" i="3"/>
  <c r="CL20" i="3"/>
  <c r="CM20" i="3"/>
  <c r="CN20" i="3"/>
  <c r="CO20" i="3"/>
  <c r="CP20" i="3"/>
  <c r="CQ20" i="3"/>
  <c r="CD5" i="3"/>
  <c r="CE5" i="3"/>
  <c r="CF5" i="3"/>
  <c r="CG5" i="3"/>
  <c r="CH5" i="3"/>
  <c r="CI5" i="3"/>
  <c r="CJ5" i="3"/>
  <c r="CD7" i="3"/>
  <c r="CE7" i="3"/>
  <c r="CF7" i="3"/>
  <c r="CG7" i="3"/>
  <c r="CH7" i="3"/>
  <c r="CI7" i="3"/>
  <c r="CJ7" i="3"/>
  <c r="CD9" i="3"/>
  <c r="CE9" i="3"/>
  <c r="CF9" i="3"/>
  <c r="CG9" i="3"/>
  <c r="CH9" i="3"/>
  <c r="CI9" i="3"/>
  <c r="CJ9" i="3"/>
  <c r="CD11" i="3"/>
  <c r="CE11" i="3"/>
  <c r="CF11" i="3"/>
  <c r="CG11" i="3"/>
  <c r="CH11" i="3"/>
  <c r="CI11" i="3"/>
  <c r="CJ11" i="3"/>
  <c r="CD13" i="3"/>
  <c r="CE13" i="3"/>
  <c r="CF13" i="3"/>
  <c r="CG13" i="3"/>
  <c r="CH13" i="3"/>
  <c r="CI13" i="3"/>
  <c r="CJ13" i="3"/>
  <c r="CD16" i="3"/>
  <c r="CE16" i="3"/>
  <c r="CF16" i="3"/>
  <c r="CG16" i="3"/>
  <c r="CH16" i="3"/>
  <c r="CI16" i="3"/>
  <c r="CJ16" i="3"/>
  <c r="CD18" i="3"/>
  <c r="CE18" i="3"/>
  <c r="CF18" i="3"/>
  <c r="CG18" i="3"/>
  <c r="CH18" i="3"/>
  <c r="CI18" i="3"/>
  <c r="CJ18" i="3"/>
  <c r="CD20" i="3"/>
  <c r="CE20" i="3"/>
  <c r="CF20" i="3"/>
  <c r="CG20" i="3"/>
  <c r="CH20" i="3"/>
  <c r="CI20" i="3"/>
  <c r="CJ20" i="3"/>
  <c r="CD23" i="3" l="1"/>
  <c r="CQ23" i="3"/>
  <c r="CH23" i="3"/>
  <c r="CG23" i="3"/>
  <c r="CN23" i="3"/>
  <c r="CF23" i="3"/>
  <c r="CE23" i="3"/>
  <c r="CI23" i="3"/>
  <c r="CP23" i="3"/>
  <c r="CO23" i="3"/>
  <c r="CM23" i="3"/>
  <c r="CL23" i="3"/>
  <c r="CK23" i="3"/>
  <c r="CJ23" i="3"/>
  <c r="CN14" i="3"/>
  <c r="CM14" i="3"/>
  <c r="CL14" i="3"/>
  <c r="CK14" i="3"/>
  <c r="CJ14" i="3"/>
  <c r="CI14" i="3"/>
  <c r="CH14" i="3"/>
  <c r="CH31" i="3" s="1"/>
  <c r="CD14" i="3"/>
  <c r="CD31" i="3" s="1"/>
  <c r="CG14" i="3"/>
  <c r="CG31" i="3" s="1"/>
  <c r="CF14" i="3"/>
  <c r="CF31" i="3" s="1"/>
  <c r="CE14" i="3"/>
  <c r="CE31" i="3" s="1"/>
  <c r="CQ14" i="3"/>
  <c r="CQ31" i="3" s="1"/>
  <c r="CP14" i="3"/>
  <c r="CP31" i="3" s="1"/>
  <c r="CO14" i="3"/>
  <c r="CO31" i="3" s="1"/>
  <c r="CJ31" i="3" l="1"/>
  <c r="CK31" i="3"/>
  <c r="CL31" i="3"/>
  <c r="CI31" i="3"/>
  <c r="CM31" i="3"/>
  <c r="CN31" i="3"/>
  <c r="CC16" i="3"/>
  <c r="BW5" i="3"/>
  <c r="BX5" i="3"/>
  <c r="BY5" i="3"/>
  <c r="BZ5" i="3"/>
  <c r="CA5" i="3"/>
  <c r="CB5" i="3"/>
  <c r="CC5" i="3"/>
  <c r="BW7" i="3"/>
  <c r="BX7" i="3"/>
  <c r="BY7" i="3"/>
  <c r="BZ7" i="3"/>
  <c r="CA7" i="3"/>
  <c r="CB7" i="3"/>
  <c r="CC7" i="3"/>
  <c r="BW9" i="3"/>
  <c r="BX9" i="3"/>
  <c r="BY9" i="3"/>
  <c r="BZ9" i="3"/>
  <c r="CA9" i="3"/>
  <c r="CB9" i="3"/>
  <c r="CC9" i="3"/>
  <c r="BW11" i="3"/>
  <c r="BX11" i="3"/>
  <c r="BY11" i="3"/>
  <c r="BZ11" i="3"/>
  <c r="CA11" i="3"/>
  <c r="CB11" i="3"/>
  <c r="CC11" i="3"/>
  <c r="BW13" i="3"/>
  <c r="BX13" i="3"/>
  <c r="BY13" i="3"/>
  <c r="BZ13" i="3"/>
  <c r="CA13" i="3"/>
  <c r="CB13" i="3"/>
  <c r="CC13" i="3"/>
  <c r="BW16" i="3"/>
  <c r="BX16" i="3"/>
  <c r="BY16" i="3"/>
  <c r="BZ16" i="3"/>
  <c r="CA16" i="3"/>
  <c r="CB16" i="3"/>
  <c r="BW18" i="3"/>
  <c r="BX18" i="3"/>
  <c r="BY18" i="3"/>
  <c r="BZ18" i="3"/>
  <c r="CA18" i="3"/>
  <c r="CB18" i="3"/>
  <c r="CC18" i="3"/>
  <c r="BW20" i="3"/>
  <c r="BX20" i="3"/>
  <c r="BY20" i="3"/>
  <c r="BZ20" i="3"/>
  <c r="CA20" i="3"/>
  <c r="CB20" i="3"/>
  <c r="CC20" i="3"/>
  <c r="BW23" i="3" l="1"/>
  <c r="BY23" i="3"/>
  <c r="BZ23" i="3"/>
  <c r="CC23" i="3"/>
  <c r="CB23" i="3"/>
  <c r="CA23" i="3"/>
  <c r="BX23" i="3"/>
  <c r="BW14" i="3"/>
  <c r="BW31" i="3" s="1"/>
  <c r="BY14" i="3"/>
  <c r="BY31" i="3" s="1"/>
  <c r="BX14" i="3"/>
  <c r="BX31" i="3" s="1"/>
  <c r="CC14" i="3"/>
  <c r="CC31" i="3" s="1"/>
  <c r="CA14" i="3"/>
  <c r="CA31" i="3" s="1"/>
  <c r="CB14" i="3"/>
  <c r="CB31" i="3" s="1"/>
  <c r="BZ14" i="3"/>
  <c r="BZ31" i="3" s="1"/>
  <c r="CD14" i="2"/>
  <c r="CE14" i="2"/>
  <c r="CF14" i="2"/>
  <c r="CG14" i="2"/>
  <c r="CH14" i="2"/>
  <c r="CI14" i="2"/>
  <c r="CJ14" i="2"/>
  <c r="CK14" i="2"/>
  <c r="CD16" i="2"/>
  <c r="CE16" i="2"/>
  <c r="CE19" i="2" s="1"/>
  <c r="CF19" i="2"/>
  <c r="CG16" i="2"/>
  <c r="CH16" i="2"/>
  <c r="CH19" i="2" s="1"/>
  <c r="CI16" i="2"/>
  <c r="CI19" i="2" s="1"/>
  <c r="CJ16" i="2"/>
  <c r="CK16" i="2"/>
  <c r="CD21" i="2"/>
  <c r="CE21" i="2"/>
  <c r="CF21" i="2"/>
  <c r="CG21" i="2"/>
  <c r="CH21" i="2"/>
  <c r="CI21" i="2"/>
  <c r="CJ21" i="2"/>
  <c r="CK21" i="2"/>
  <c r="CD25" i="2"/>
  <c r="CD26" i="2" s="1"/>
  <c r="CE25" i="2"/>
  <c r="CE26" i="2" s="1"/>
  <c r="CF25" i="2"/>
  <c r="CG25" i="2"/>
  <c r="CH25" i="2"/>
  <c r="CI25" i="2"/>
  <c r="CJ25" i="2"/>
  <c r="CK25" i="2"/>
  <c r="BT14" i="2"/>
  <c r="BU14" i="2"/>
  <c r="BV14" i="2"/>
  <c r="BW14" i="2"/>
  <c r="BX14" i="2"/>
  <c r="BY14" i="2"/>
  <c r="BY19" i="2" s="1"/>
  <c r="BZ14" i="2"/>
  <c r="BZ19" i="2" s="1"/>
  <c r="CA14" i="2"/>
  <c r="CB14" i="2"/>
  <c r="CC14" i="2"/>
  <c r="BT16" i="2"/>
  <c r="BU16" i="2"/>
  <c r="BV16" i="2"/>
  <c r="BW16" i="2"/>
  <c r="BX16" i="2"/>
  <c r="BY16" i="2"/>
  <c r="BZ16" i="2"/>
  <c r="CA16" i="2"/>
  <c r="CB16" i="2"/>
  <c r="CC16" i="2"/>
  <c r="BX19" i="2"/>
  <c r="BT21" i="2"/>
  <c r="BU21" i="2"/>
  <c r="BV21" i="2"/>
  <c r="BW21" i="2"/>
  <c r="BX21" i="2"/>
  <c r="BY21" i="2"/>
  <c r="BZ21" i="2"/>
  <c r="CA21" i="2"/>
  <c r="CA26" i="2" s="1"/>
  <c r="CB21" i="2"/>
  <c r="CB26" i="2" s="1"/>
  <c r="CC21" i="2"/>
  <c r="CC26" i="2" s="1"/>
  <c r="BT25" i="2"/>
  <c r="BU25" i="2"/>
  <c r="BV25" i="2"/>
  <c r="BW25" i="2"/>
  <c r="BX25" i="2"/>
  <c r="BY25" i="2"/>
  <c r="BZ25" i="2"/>
  <c r="CA25" i="2"/>
  <c r="CB25" i="2"/>
  <c r="CC25" i="2"/>
  <c r="BS25" i="2"/>
  <c r="BS21" i="2"/>
  <c r="BS16" i="2"/>
  <c r="BS14" i="2"/>
  <c r="BT3" i="2"/>
  <c r="BU3" i="2"/>
  <c r="BV3" i="2"/>
  <c r="BW3" i="2"/>
  <c r="BX3" i="2"/>
  <c r="BY3" i="2"/>
  <c r="BZ3" i="2"/>
  <c r="CA3" i="2"/>
  <c r="CB3" i="2"/>
  <c r="CC3" i="2"/>
  <c r="CD3" i="2"/>
  <c r="CE3" i="2"/>
  <c r="BS3" i="2"/>
  <c r="CA19" i="2" l="1"/>
  <c r="BS26" i="2"/>
  <c r="BV26" i="2"/>
  <c r="BU26" i="2"/>
  <c r="BY26" i="2"/>
  <c r="CB19" i="2"/>
  <c r="CG19" i="2"/>
  <c r="CK19" i="2"/>
  <c r="BZ26" i="2"/>
  <c r="CJ19" i="2"/>
  <c r="CG26" i="2"/>
  <c r="CG27" i="2" s="1"/>
  <c r="CF26" i="2"/>
  <c r="CF27" i="2" s="1"/>
  <c r="BS19" i="2"/>
  <c r="CD19" i="2"/>
  <c r="CD27" i="2" s="1"/>
  <c r="BT19" i="2"/>
  <c r="BX26" i="2"/>
  <c r="BX27" i="2" s="1"/>
  <c r="CC19" i="2"/>
  <c r="CC27" i="2" s="1"/>
  <c r="CE27" i="2"/>
  <c r="CK26" i="2"/>
  <c r="CK27" i="2" s="1"/>
  <c r="CH26" i="2"/>
  <c r="CH27" i="2" s="1"/>
  <c r="CI26" i="2"/>
  <c r="CI27" i="2" s="1"/>
  <c r="CJ26" i="2"/>
  <c r="BT26" i="2"/>
  <c r="BT27" i="2" s="1"/>
  <c r="BW26" i="2"/>
  <c r="BW19" i="2"/>
  <c r="BV19" i="2"/>
  <c r="BU19" i="2"/>
  <c r="BU27" i="2" s="1"/>
  <c r="CB27" i="2"/>
  <c r="BY27" i="2"/>
  <c r="CA27" i="2"/>
  <c r="BZ27" i="2"/>
  <c r="BV27" i="2" l="1"/>
  <c r="CJ27" i="2"/>
  <c r="BS27" i="2"/>
  <c r="BW27" i="2"/>
  <c r="BV16" i="3"/>
  <c r="BP20" i="3" l="1"/>
  <c r="BQ20" i="3"/>
  <c r="BR20" i="3"/>
  <c r="BS20" i="3"/>
  <c r="BT20" i="3"/>
  <c r="BU20" i="3"/>
  <c r="BV20" i="3"/>
  <c r="BP18" i="3"/>
  <c r="BQ18" i="3"/>
  <c r="BR18" i="3"/>
  <c r="BS18" i="3"/>
  <c r="BT18" i="3"/>
  <c r="BU18" i="3"/>
  <c r="BV18" i="3"/>
  <c r="BP16" i="3"/>
  <c r="BQ16" i="3"/>
  <c r="BR16" i="3"/>
  <c r="BS16" i="3"/>
  <c r="BT16" i="3"/>
  <c r="BU16" i="3"/>
  <c r="BN20" i="3"/>
  <c r="BN18" i="3"/>
  <c r="BN16" i="3"/>
  <c r="BN23" i="3" s="1"/>
  <c r="BO20" i="3"/>
  <c r="BO18" i="3"/>
  <c r="BO16" i="3"/>
  <c r="BV13" i="3"/>
  <c r="BU13" i="3"/>
  <c r="BT13" i="3"/>
  <c r="BS13" i="3"/>
  <c r="BR13" i="3"/>
  <c r="BQ13" i="3"/>
  <c r="BP13" i="3"/>
  <c r="BO13" i="3"/>
  <c r="BN13" i="3"/>
  <c r="BV11" i="3"/>
  <c r="BU11" i="3"/>
  <c r="BT11" i="3"/>
  <c r="BS11" i="3"/>
  <c r="BR11" i="3"/>
  <c r="BQ11" i="3"/>
  <c r="BP11" i="3"/>
  <c r="BO11" i="3"/>
  <c r="BN11" i="3"/>
  <c r="BN9" i="3"/>
  <c r="BO9" i="3"/>
  <c r="BQ9" i="3"/>
  <c r="BR9" i="3"/>
  <c r="BS9" i="3"/>
  <c r="BT9" i="3"/>
  <c r="BU9" i="3"/>
  <c r="BV9" i="3"/>
  <c r="BP9" i="3"/>
  <c r="BQ7" i="3"/>
  <c r="BR7" i="3"/>
  <c r="BS7" i="3"/>
  <c r="BT7" i="3"/>
  <c r="BU7" i="3"/>
  <c r="BV7" i="3"/>
  <c r="BP7" i="3"/>
  <c r="BP5" i="3"/>
  <c r="BQ5" i="3"/>
  <c r="BR5" i="3"/>
  <c r="BS5" i="3"/>
  <c r="BT5" i="3"/>
  <c r="BU5" i="3"/>
  <c r="BV5" i="3"/>
  <c r="BV23" i="3" l="1"/>
  <c r="BT23" i="3"/>
  <c r="BS23" i="3"/>
  <c r="BQ23" i="3"/>
  <c r="BP23" i="3"/>
  <c r="BU23" i="3"/>
  <c r="BO23" i="3"/>
  <c r="BR23" i="3"/>
  <c r="BQ14" i="3"/>
  <c r="BQ31" i="3" s="1"/>
  <c r="BR14" i="3"/>
  <c r="BR31" i="3" s="1"/>
  <c r="BP14" i="3"/>
  <c r="BP31" i="3" s="1"/>
  <c r="BV14" i="3"/>
  <c r="BV31" i="3" s="1"/>
  <c r="BU14" i="3"/>
  <c r="BU31" i="3" s="1"/>
  <c r="BT14" i="3"/>
  <c r="BT31" i="3" s="1"/>
  <c r="BS14" i="3"/>
  <c r="BS31" i="3" l="1"/>
  <c r="BI23" i="3"/>
  <c r="BJ23" i="3"/>
  <c r="BK23" i="3"/>
  <c r="BL23" i="3"/>
  <c r="BM23" i="3"/>
  <c r="BI5" i="3"/>
  <c r="BJ5" i="3"/>
  <c r="BK5" i="3"/>
  <c r="BL5" i="3"/>
  <c r="BM5" i="3"/>
  <c r="BN5" i="3"/>
  <c r="BN14" i="3" s="1"/>
  <c r="BN31" i="3" s="1"/>
  <c r="BO5" i="3"/>
  <c r="BO14" i="3" s="1"/>
  <c r="BO31" i="3" s="1"/>
  <c r="BI36" i="3"/>
  <c r="BJ36" i="3"/>
  <c r="BK36" i="3"/>
  <c r="BL36" i="3"/>
  <c r="BM36" i="3"/>
  <c r="BK14" i="3" l="1"/>
  <c r="BK31" i="3" s="1"/>
  <c r="BJ14" i="3"/>
  <c r="BJ31" i="3" s="1"/>
  <c r="BI14" i="3"/>
  <c r="BI31" i="3" s="1"/>
  <c r="BM14" i="3"/>
  <c r="BM31" i="3" s="1"/>
  <c r="BL14" i="3"/>
  <c r="BL31" i="3" s="1"/>
  <c r="BP19" i="2" l="1"/>
  <c r="BP26" i="2" s="1" a="1"/>
  <c r="BP26" i="2" s="1"/>
  <c r="BQ19" i="2"/>
  <c r="BQ26" i="2" s="1" a="1"/>
  <c r="BQ26" i="2" s="1"/>
  <c r="BR19" i="2"/>
  <c r="BR26" i="2" s="1" a="1"/>
  <c r="BR26" i="2" s="1"/>
  <c r="BP29" i="2"/>
  <c r="BQ29" i="2"/>
  <c r="BR29" i="2"/>
  <c r="BP30" i="2"/>
  <c r="BQ30" i="2"/>
  <c r="BR30" i="2"/>
  <c r="BP31" i="2"/>
  <c r="BQ31" i="2"/>
  <c r="BR31" i="2"/>
  <c r="BJ19" i="2"/>
  <c r="BK19" i="2"/>
  <c r="BL19" i="2"/>
  <c r="BL26" i="2" s="1" a="1"/>
  <c r="BL26" i="2" s="1"/>
  <c r="BM19" i="2"/>
  <c r="BM26" i="2" s="1" a="1"/>
  <c r="BM26" i="2" s="1"/>
  <c r="BN19" i="2"/>
  <c r="BN26" i="2" s="1" a="1"/>
  <c r="BN26" i="2" s="1"/>
  <c r="BO19" i="2"/>
  <c r="BO26" i="2" s="1" a="1"/>
  <c r="BO26" i="2" s="1"/>
  <c r="BO27" i="2" s="1"/>
  <c r="BJ26" i="2" a="1"/>
  <c r="BJ26" i="2" s="1"/>
  <c r="BK26" i="2" a="1"/>
  <c r="BK26" i="2" s="1"/>
  <c r="BJ29" i="2"/>
  <c r="BK29" i="2"/>
  <c r="BL29" i="2"/>
  <c r="BM29" i="2"/>
  <c r="BN29" i="2"/>
  <c r="BO29" i="2"/>
  <c r="BJ30" i="2"/>
  <c r="BK30" i="2"/>
  <c r="BL30" i="2"/>
  <c r="BM30" i="2"/>
  <c r="BN30" i="2"/>
  <c r="BO30" i="2"/>
  <c r="BJ31" i="2"/>
  <c r="BK31" i="2"/>
  <c r="BL31" i="2"/>
  <c r="BM31" i="2"/>
  <c r="BN31" i="2"/>
  <c r="BO31" i="2"/>
  <c r="BR27" i="2" l="1"/>
  <c r="BP27" i="2"/>
  <c r="BN27" i="2"/>
  <c r="BM27" i="2"/>
  <c r="BL27" i="2"/>
  <c r="BK27" i="2"/>
  <c r="BJ27" i="2"/>
  <c r="BQ27" i="2"/>
  <c r="AZ30" i="2" l="1"/>
  <c r="BA30" i="2"/>
  <c r="BB30" i="2"/>
  <c r="BC30" i="2"/>
  <c r="BD30" i="2"/>
  <c r="BE30" i="2"/>
  <c r="BF30" i="2"/>
  <c r="BG30" i="2"/>
  <c r="BH30" i="2"/>
  <c r="BI30" i="2"/>
  <c r="AZ31" i="2"/>
  <c r="BA31" i="2"/>
  <c r="BB31" i="2"/>
  <c r="BC31" i="2"/>
  <c r="BD31" i="2"/>
  <c r="BE31" i="2"/>
  <c r="BF31" i="2"/>
  <c r="BG31" i="2"/>
  <c r="BH31" i="2"/>
  <c r="BI31" i="2"/>
  <c r="BH29" i="2"/>
  <c r="BI29" i="2"/>
  <c r="BB29" i="2"/>
  <c r="BC29" i="2"/>
  <c r="BD29" i="2"/>
  <c r="BE29" i="2"/>
  <c r="BF29" i="2"/>
  <c r="BG29" i="2"/>
  <c r="BA29" i="2" l="1"/>
  <c r="AZ29" i="2"/>
  <c r="BB5" i="2"/>
  <c r="BC5" i="2"/>
  <c r="BD5" i="2"/>
  <c r="BE5" i="2"/>
  <c r="BF5" i="2"/>
  <c r="BG5" i="2"/>
  <c r="BH5" i="2"/>
  <c r="BI5" i="2"/>
  <c r="BJ5" i="2"/>
  <c r="BK5" i="2"/>
  <c r="BL5" i="2"/>
  <c r="BB36" i="3"/>
  <c r="BC36" i="3"/>
  <c r="BD36" i="3"/>
  <c r="BE36" i="3"/>
  <c r="BF36" i="3"/>
  <c r="BG36" i="3"/>
  <c r="BH36" i="3"/>
  <c r="AZ36" i="3" l="1"/>
  <c r="BA36" i="3"/>
  <c r="BB23" i="3" l="1"/>
  <c r="BC23" i="3"/>
  <c r="BD23" i="3"/>
  <c r="BE23" i="3"/>
  <c r="BF23" i="3"/>
  <c r="BG23" i="3"/>
  <c r="BH23" i="3"/>
  <c r="BB5" i="3"/>
  <c r="BC5" i="3"/>
  <c r="BD5" i="3"/>
  <c r="BE5" i="3"/>
  <c r="BF5" i="3"/>
  <c r="BG5" i="3"/>
  <c r="BH5" i="3"/>
  <c r="BF14" i="3" l="1"/>
  <c r="BF31" i="3" s="1"/>
  <c r="BD14" i="3"/>
  <c r="BD31" i="3" s="1"/>
  <c r="BE14" i="3"/>
  <c r="BE31" i="3" s="1"/>
  <c r="BC14" i="3"/>
  <c r="BC31" i="3" s="1"/>
  <c r="BB14" i="3"/>
  <c r="BB31" i="3" s="1"/>
  <c r="BH14" i="3"/>
  <c r="BH31" i="3" s="1"/>
  <c r="BG14" i="3"/>
  <c r="BG31" i="3" s="1"/>
  <c r="V54" i="3" l="1"/>
  <c r="U54" i="3"/>
  <c r="T54" i="3"/>
  <c r="S54" i="3"/>
  <c r="O55" i="3"/>
  <c r="N55" i="3"/>
  <c r="M55" i="3"/>
  <c r="L55" i="3"/>
  <c r="K55" i="3"/>
  <c r="J55" i="3"/>
  <c r="I55" i="3"/>
  <c r="H55" i="3"/>
  <c r="G55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E23" i="3"/>
  <c r="AD23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H46" i="3"/>
  <c r="G46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H5" i="3"/>
  <c r="G5" i="3"/>
  <c r="F5" i="3"/>
  <c r="F13" i="3" s="1"/>
  <c r="E5" i="3"/>
  <c r="E13" i="3" s="1"/>
  <c r="D5" i="3"/>
  <c r="D13" i="3" s="1"/>
  <c r="C5" i="3"/>
  <c r="C13" i="3" s="1"/>
  <c r="B5" i="3"/>
  <c r="B13" i="3" s="1"/>
  <c r="D2" i="3"/>
  <c r="C2" i="3"/>
  <c r="BE26" i="2" a="1"/>
  <c r="BE26" i="2" s="1"/>
  <c r="BD26" i="2" a="1"/>
  <c r="BD26" i="2" s="1"/>
  <c r="BC26" i="2" a="1"/>
  <c r="BC26" i="2" s="1"/>
  <c r="AQ26" i="2" a="1"/>
  <c r="AQ26" i="2" s="1"/>
  <c r="AP26" i="2" a="1"/>
  <c r="AP26" i="2" s="1"/>
  <c r="AO26" i="2" a="1"/>
  <c r="AO26" i="2" s="1"/>
  <c r="AK26" i="2"/>
  <c r="AJ26" i="2"/>
  <c r="AI26" i="2"/>
  <c r="AH26" i="2"/>
  <c r="AG26" i="2"/>
  <c r="BI19" i="2"/>
  <c r="BI26" i="2" s="1" a="1"/>
  <c r="BI26" i="2" s="1"/>
  <c r="BH19" i="2"/>
  <c r="BH26" i="2" s="1" a="1"/>
  <c r="BH26" i="2" s="1"/>
  <c r="BG19" i="2"/>
  <c r="BG26" i="2" s="1" a="1"/>
  <c r="BG26" i="2" s="1"/>
  <c r="BF19" i="2"/>
  <c r="BF26" i="2" s="1" a="1"/>
  <c r="BF26" i="2" s="1"/>
  <c r="BE19" i="2"/>
  <c r="BD19" i="2"/>
  <c r="BC19" i="2"/>
  <c r="BB19" i="2"/>
  <c r="BB26" i="2" s="1" a="1"/>
  <c r="BB26" i="2" s="1"/>
  <c r="BA19" i="2"/>
  <c r="BA26" i="2" s="1" a="1"/>
  <c r="BA26" i="2" s="1"/>
  <c r="AZ19" i="2"/>
  <c r="AZ26" i="2" s="1" a="1"/>
  <c r="AZ26" i="2" s="1"/>
  <c r="AY19" i="2"/>
  <c r="AY26" i="2" s="1" a="1"/>
  <c r="AY26" i="2" s="1"/>
  <c r="AX19" i="2"/>
  <c r="AX26" i="2" s="1" a="1"/>
  <c r="AX26" i="2" s="1"/>
  <c r="AW19" i="2"/>
  <c r="AW26" i="2" s="1" a="1"/>
  <c r="AW26" i="2" s="1"/>
  <c r="AV19" i="2"/>
  <c r="AV26" i="2" s="1" a="1"/>
  <c r="AV26" i="2" s="1"/>
  <c r="AU19" i="2"/>
  <c r="AT19" i="2"/>
  <c r="AT26" i="2" s="1" a="1"/>
  <c r="AT26" i="2" s="1"/>
  <c r="AS19" i="2"/>
  <c r="AS26" i="2" s="1" a="1"/>
  <c r="AS26" i="2" s="1"/>
  <c r="AR19" i="2"/>
  <c r="AR26" i="2" s="1" a="1"/>
  <c r="AR26" i="2" s="1"/>
  <c r="AQ19" i="2"/>
  <c r="AP19" i="2"/>
  <c r="AO19" i="2"/>
  <c r="AN19" i="2"/>
  <c r="AN26" i="2" s="1" a="1"/>
  <c r="AN26" i="2" s="1"/>
  <c r="AM19" i="2"/>
  <c r="AM26" i="2" s="1" a="1"/>
  <c r="AM26" i="2" s="1"/>
  <c r="AL19" i="2"/>
  <c r="AL26" i="2" s="1" a="1"/>
  <c r="AL26" i="2" s="1"/>
  <c r="AK19" i="2"/>
  <c r="AJ19" i="2"/>
  <c r="AI19" i="2"/>
  <c r="AH19" i="2"/>
  <c r="AG19" i="2"/>
  <c r="AG27" i="2" s="1"/>
  <c r="AE19" i="2"/>
  <c r="AD19" i="2"/>
  <c r="AD25" i="2" s="1"/>
  <c r="AD26" i="2" s="1"/>
  <c r="AC19" i="2"/>
  <c r="AC25" i="2" s="1"/>
  <c r="AC26" i="2" s="1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P25" i="2" s="1"/>
  <c r="P26" i="2" s="1"/>
  <c r="O19" i="2"/>
  <c r="O25" i="2" s="1"/>
  <c r="O26" i="2" s="1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E25" i="2"/>
  <c r="AE26" i="2" s="1"/>
  <c r="AB25" i="2"/>
  <c r="AB26" i="2" s="1"/>
  <c r="AA25" i="2"/>
  <c r="AA26" i="2" s="1"/>
  <c r="Z25" i="2"/>
  <c r="Z26" i="2" s="1"/>
  <c r="Y25" i="2"/>
  <c r="Y26" i="2" s="1"/>
  <c r="Y27" i="2" s="1"/>
  <c r="X25" i="2"/>
  <c r="X26" i="2" s="1"/>
  <c r="W25" i="2"/>
  <c r="W26" i="2" s="1"/>
  <c r="V25" i="2"/>
  <c r="V26" i="2" s="1"/>
  <c r="U25" i="2"/>
  <c r="U26" i="2" s="1"/>
  <c r="T25" i="2"/>
  <c r="T26" i="2" s="1"/>
  <c r="S25" i="2"/>
  <c r="S26" i="2" s="1"/>
  <c r="R25" i="2"/>
  <c r="R26" i="2" s="1"/>
  <c r="Q25" i="2"/>
  <c r="Q26" i="2" s="1"/>
  <c r="N25" i="2"/>
  <c r="N26" i="2" s="1"/>
  <c r="M25" i="2"/>
  <c r="M26" i="2" s="1"/>
  <c r="L25" i="2"/>
  <c r="L26" i="2" s="1"/>
  <c r="K25" i="2"/>
  <c r="K26" i="2" s="1"/>
  <c r="J25" i="2"/>
  <c r="J26" i="2" s="1"/>
  <c r="I25" i="2"/>
  <c r="I26" i="2" s="1"/>
  <c r="H25" i="2"/>
  <c r="H26" i="2" s="1"/>
  <c r="G25" i="2"/>
  <c r="G26" i="2" s="1"/>
  <c r="F25" i="2"/>
  <c r="F26" i="2" s="1"/>
  <c r="E25" i="2"/>
  <c r="E26" i="2" s="1"/>
  <c r="D25" i="2"/>
  <c r="D26" i="2" s="1"/>
  <c r="Q6" i="2"/>
  <c r="P6" i="2"/>
  <c r="O6" i="2"/>
  <c r="N6" i="2"/>
  <c r="M6" i="2"/>
  <c r="L6" i="2"/>
  <c r="K6" i="2"/>
  <c r="J6" i="2"/>
  <c r="I6" i="2"/>
  <c r="H6" i="2"/>
  <c r="G6" i="2"/>
  <c r="BA5" i="2"/>
  <c r="AZ5" i="2"/>
  <c r="AY5" i="2"/>
  <c r="AX5" i="2"/>
  <c r="AW5" i="2"/>
  <c r="AV5" i="2"/>
  <c r="AU5" i="2"/>
  <c r="AT5" i="2"/>
  <c r="AS5" i="2"/>
  <c r="Q5" i="2"/>
  <c r="P5" i="2"/>
  <c r="O5" i="2"/>
  <c r="N5" i="2"/>
  <c r="M5" i="2"/>
  <c r="L5" i="2"/>
  <c r="K5" i="2"/>
  <c r="J5" i="2"/>
  <c r="I5" i="2"/>
  <c r="H5" i="2"/>
  <c r="G5" i="2"/>
  <c r="AI27" i="2" l="1"/>
  <c r="L7" i="2"/>
  <c r="AW27" i="2"/>
  <c r="AU26" i="2" a="1"/>
  <c r="AU26" i="2" s="1"/>
  <c r="AU27" i="2" s="1"/>
  <c r="AJ27" i="2"/>
  <c r="AX27" i="2"/>
  <c r="AK27" i="2"/>
  <c r="AY27" i="2"/>
  <c r="K27" i="2"/>
  <c r="M7" i="2"/>
  <c r="N7" i="2"/>
  <c r="AA27" i="2"/>
  <c r="AB27" i="2"/>
  <c r="H7" i="2"/>
  <c r="N27" i="2"/>
  <c r="I7" i="2"/>
  <c r="Q27" i="2"/>
  <c r="AE27" i="2"/>
  <c r="J7" i="2"/>
  <c r="AS27" i="2"/>
  <c r="G7" i="2"/>
  <c r="K7" i="2"/>
  <c r="E27" i="2"/>
  <c r="S27" i="2"/>
  <c r="M27" i="2"/>
  <c r="AV27" i="2"/>
  <c r="O7" i="2"/>
  <c r="Q7" i="2"/>
  <c r="I27" i="2"/>
  <c r="W27" i="2"/>
  <c r="AL27" i="2"/>
  <c r="AZ27" i="2"/>
  <c r="P7" i="2"/>
  <c r="AM27" i="2"/>
  <c r="BA27" i="2"/>
  <c r="O27" i="2"/>
  <c r="AC27" i="2"/>
  <c r="P27" i="2"/>
  <c r="AD27" i="2"/>
  <c r="U27" i="2"/>
  <c r="AT27" i="2"/>
  <c r="AH27" i="2"/>
  <c r="G27" i="2"/>
  <c r="AO27" i="2"/>
  <c r="BC27" i="2"/>
  <c r="AN27" i="2"/>
  <c r="BB27" i="2"/>
  <c r="AB14" i="3"/>
  <c r="AQ14" i="3"/>
  <c r="AQ31" i="3" s="1"/>
  <c r="AR14" i="3"/>
  <c r="AR31" i="3" s="1"/>
  <c r="U14" i="3"/>
  <c r="Z14" i="3"/>
  <c r="AA14" i="3"/>
  <c r="AP14" i="3"/>
  <c r="AP31" i="3" s="1"/>
  <c r="V13" i="3"/>
  <c r="P14" i="3"/>
  <c r="AD14" i="3"/>
  <c r="AD31" i="3" s="1"/>
  <c r="AS14" i="3"/>
  <c r="AS31" i="3" s="1"/>
  <c r="Q14" i="3"/>
  <c r="AE14" i="3"/>
  <c r="AE31" i="3" s="1"/>
  <c r="AT14" i="3"/>
  <c r="AT31" i="3" s="1"/>
  <c r="AE13" i="3"/>
  <c r="AA13" i="3"/>
  <c r="Q13" i="3"/>
  <c r="W13" i="3"/>
  <c r="Y14" i="3"/>
  <c r="AN14" i="3"/>
  <c r="AN31" i="3" s="1"/>
  <c r="AC13" i="3"/>
  <c r="AG14" i="3"/>
  <c r="AG31" i="3" s="1"/>
  <c r="AO14" i="3"/>
  <c r="AO31" i="3" s="1"/>
  <c r="X13" i="3"/>
  <c r="Z13" i="3"/>
  <c r="R14" i="3"/>
  <c r="S14" i="3"/>
  <c r="T14" i="3"/>
  <c r="AI14" i="3"/>
  <c r="AI31" i="3" s="1"/>
  <c r="U13" i="3"/>
  <c r="AC14" i="3"/>
  <c r="AB13" i="3"/>
  <c r="X14" i="3"/>
  <c r="AM14" i="3"/>
  <c r="AM31" i="3" s="1"/>
  <c r="AH14" i="3"/>
  <c r="AH31" i="3" s="1"/>
  <c r="AJ14" i="3"/>
  <c r="AJ31" i="3" s="1"/>
  <c r="BG27" i="2"/>
  <c r="BI27" i="2"/>
  <c r="BH27" i="2"/>
  <c r="AW14" i="3"/>
  <c r="AW31" i="3" s="1"/>
  <c r="AX14" i="3"/>
  <c r="AX31" i="3" s="1"/>
  <c r="AV14" i="3"/>
  <c r="AV31" i="3" s="1"/>
  <c r="AU14" i="3"/>
  <c r="AU31" i="3" s="1"/>
  <c r="BA14" i="3"/>
  <c r="BA31" i="3" s="1"/>
  <c r="AZ14" i="3"/>
  <c r="AZ31" i="3" s="1"/>
  <c r="AY14" i="3"/>
  <c r="AY31" i="3" s="1"/>
  <c r="F27" i="2"/>
  <c r="R27" i="2"/>
  <c r="T27" i="2"/>
  <c r="H27" i="2"/>
  <c r="V27" i="2"/>
  <c r="J27" i="2"/>
  <c r="X27" i="2"/>
  <c r="D27" i="2"/>
  <c r="L27" i="2"/>
  <c r="Z27" i="2"/>
  <c r="AP27" i="2"/>
  <c r="BD27" i="2"/>
  <c r="AQ27" i="2"/>
  <c r="BE27" i="2"/>
  <c r="AR27" i="2"/>
  <c r="BF27" i="2"/>
  <c r="Y13" i="3"/>
  <c r="V14" i="3"/>
  <c r="AK14" i="3"/>
  <c r="AK31" i="3" s="1"/>
  <c r="W14" i="3"/>
  <c r="AL14" i="3"/>
  <c r="AL31" i="3" s="1"/>
  <c r="P13" i="3"/>
  <c r="AD13" i="3"/>
  <c r="R13" i="3"/>
  <c r="S13" i="3"/>
  <c r="T13" i="3"/>
  <c r="B32" i="6" l="1"/>
  <c r="B34" i="6" s="1"/>
  <c r="A2" i="6"/>
  <c r="B33" i="6"/>
  <c r="B40" i="6" l="1"/>
  <c r="B38" i="6"/>
  <c r="B41" i="6"/>
  <c r="P7" i="6" l="1"/>
  <c r="P24" i="6"/>
  <c r="P6" i="6"/>
  <c r="P22" i="6"/>
  <c r="P9" i="6"/>
  <c r="P15" i="6"/>
  <c r="P25" i="6"/>
  <c r="P3" i="6"/>
  <c r="P12" i="6"/>
  <c r="P13" i="6"/>
  <c r="P27" i="6"/>
  <c r="P5" i="6"/>
  <c r="P20" i="6"/>
  <c r="P11" i="6"/>
  <c r="P16" i="6"/>
  <c r="P14" i="6"/>
  <c r="P28" i="6"/>
  <c r="P8" i="6"/>
  <c r="P26" i="6"/>
  <c r="P4" i="6"/>
  <c r="P10" i="6"/>
  <c r="P30" i="6"/>
  <c r="P18" i="6"/>
  <c r="P17" i="6"/>
  <c r="P21" i="6"/>
  <c r="P23" i="6"/>
  <c r="P19" i="6"/>
  <c r="P29" i="6"/>
  <c r="P32" i="6" l="1"/>
  <c r="P36" i="6" s="1"/>
  <c r="P31" i="6"/>
  <c r="P35" i="6" s="1"/>
  <c r="P33" i="6"/>
  <c r="O26" i="6"/>
  <c r="O4" i="6"/>
  <c r="O20" i="6"/>
  <c r="O9" i="6"/>
  <c r="O29" i="6"/>
  <c r="O21" i="6"/>
  <c r="O19" i="6"/>
  <c r="O28" i="6"/>
  <c r="O8" i="6"/>
  <c r="O27" i="6"/>
  <c r="O5" i="6"/>
  <c r="O30" i="6"/>
  <c r="O12" i="6"/>
  <c r="O17" i="6"/>
  <c r="O7" i="6"/>
  <c r="O13" i="6"/>
  <c r="O10" i="6"/>
  <c r="O6" i="6"/>
  <c r="O15" i="6"/>
  <c r="O22" i="6"/>
  <c r="O24" i="6"/>
  <c r="O2" i="6"/>
  <c r="O25" i="6"/>
  <c r="O3" i="6"/>
  <c r="O16" i="6"/>
  <c r="O11" i="6"/>
  <c r="O14" i="6"/>
  <c r="O23" i="6"/>
  <c r="O18" i="6"/>
  <c r="O33" i="6" l="1"/>
  <c r="O32" i="6"/>
  <c r="O36" i="6" s="1"/>
  <c r="P34" i="6"/>
  <c r="O31" i="6"/>
  <c r="N23" i="6"/>
  <c r="N21" i="6"/>
  <c r="N14" i="6"/>
  <c r="N22" i="6"/>
  <c r="N9" i="6"/>
  <c r="N28" i="6"/>
  <c r="N8" i="6"/>
  <c r="N27" i="6"/>
  <c r="N26" i="6"/>
  <c r="N4" i="6"/>
  <c r="N18" i="6"/>
  <c r="N20" i="6"/>
  <c r="N5" i="6"/>
  <c r="N15" i="6"/>
  <c r="N17" i="6"/>
  <c r="N24" i="6"/>
  <c r="N2" i="6"/>
  <c r="N25" i="6"/>
  <c r="N3" i="6"/>
  <c r="N16" i="6"/>
  <c r="N30" i="6"/>
  <c r="N29" i="6"/>
  <c r="N12" i="6"/>
  <c r="N11" i="6"/>
  <c r="N19" i="6"/>
  <c r="N13" i="6"/>
  <c r="N10" i="6"/>
  <c r="N6" i="6"/>
  <c r="N7" i="6"/>
  <c r="O34" i="6" l="1"/>
  <c r="O35" i="6"/>
  <c r="N32" i="6"/>
  <c r="N36" i="6" s="1"/>
  <c r="N31" i="6"/>
  <c r="N35" i="6" s="1"/>
  <c r="N33" i="6"/>
  <c r="M13" i="6"/>
  <c r="M20" i="6"/>
  <c r="M18" i="6"/>
  <c r="M10" i="6"/>
  <c r="M19" i="6"/>
  <c r="M25" i="6"/>
  <c r="M5" i="6"/>
  <c r="M3" i="6"/>
  <c r="M27" i="6"/>
  <c r="M17" i="6"/>
  <c r="M6" i="6"/>
  <c r="M15" i="6"/>
  <c r="M23" i="6"/>
  <c r="M16" i="6"/>
  <c r="M21" i="6"/>
  <c r="M14" i="6"/>
  <c r="M22" i="6"/>
  <c r="M9" i="6"/>
  <c r="M11" i="6"/>
  <c r="M26" i="6"/>
  <c r="M4" i="6"/>
  <c r="M30" i="6"/>
  <c r="M7" i="6"/>
  <c r="M24" i="6"/>
  <c r="M2" i="6"/>
  <c r="M28" i="6"/>
  <c r="M8" i="6"/>
  <c r="M12" i="6"/>
  <c r="M29" i="6"/>
  <c r="N34" i="6" l="1"/>
  <c r="M31" i="6"/>
  <c r="M35" i="6" s="1"/>
  <c r="M32" i="6"/>
  <c r="M36" i="6" s="1"/>
  <c r="M33" i="6"/>
  <c r="L30" i="6"/>
  <c r="S30" i="6" s="1"/>
  <c r="L26" i="6"/>
  <c r="S26" i="6" s="1"/>
  <c r="L7" i="6"/>
  <c r="S7" i="6" s="1"/>
  <c r="L24" i="6"/>
  <c r="S24" i="6" s="1"/>
  <c r="L2" i="6"/>
  <c r="L28" i="6"/>
  <c r="S28" i="6" s="1"/>
  <c r="L8" i="6"/>
  <c r="S8" i="6" s="1"/>
  <c r="L15" i="6"/>
  <c r="S15" i="6" s="1"/>
  <c r="L12" i="6"/>
  <c r="L22" i="6"/>
  <c r="S22" i="6" s="1"/>
  <c r="L3" i="6"/>
  <c r="S3" i="6" s="1"/>
  <c r="L17" i="6"/>
  <c r="S17" i="6" s="1"/>
  <c r="L16" i="6"/>
  <c r="S16" i="6" s="1"/>
  <c r="L11" i="6"/>
  <c r="L25" i="6"/>
  <c r="S25" i="6" s="1"/>
  <c r="L19" i="6"/>
  <c r="L20" i="6"/>
  <c r="S20" i="6" s="1"/>
  <c r="L13" i="6"/>
  <c r="L10" i="6"/>
  <c r="S10" i="6" s="1"/>
  <c r="L14" i="6"/>
  <c r="S14" i="6" s="1"/>
  <c r="L18" i="6"/>
  <c r="S18" i="6" s="1"/>
  <c r="L27" i="6"/>
  <c r="L5" i="6"/>
  <c r="S5" i="6" s="1"/>
  <c r="L4" i="6"/>
  <c r="L23" i="6"/>
  <c r="S23" i="6" s="1"/>
  <c r="L9" i="6"/>
  <c r="S9" i="6" s="1"/>
  <c r="L29" i="6"/>
  <c r="L21" i="6"/>
  <c r="S21" i="6" s="1"/>
  <c r="L6" i="6"/>
  <c r="S6" i="6" s="1"/>
  <c r="M34" i="6" l="1"/>
  <c r="S13" i="6"/>
  <c r="L32" i="6"/>
  <c r="L33" i="6"/>
  <c r="S33" i="6" s="1"/>
  <c r="S19" i="6"/>
  <c r="L31" i="6"/>
  <c r="S2" i="6"/>
  <c r="L35" i="6" l="1"/>
  <c r="S35" i="6" s="1"/>
  <c r="S31" i="6"/>
  <c r="L34" i="6"/>
  <c r="S34" i="6" s="1"/>
  <c r="S32" i="6"/>
  <c r="L36" i="6"/>
  <c r="S3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tc={D5295FED-C250-4D61-98EB-F7BCB024C4BB}</author>
    <author>tc={2DA1985C-42CB-4008-AC6D-7EC4E38CD770}</author>
    <author>tc={B11DF107-8179-4AA1-BBE1-1F44669FEDA8}</author>
  </authors>
  <commentList>
    <comment ref="DF17" authorId="0" shapeId="0" xr:uid="{D5295FED-C250-4D61-98EB-F7BCB024C4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改为stand
</t>
      </text>
    </comment>
    <comment ref="DF24" authorId="1" shapeId="0" xr:uid="{2DA1985C-42CB-4008-AC6D-7EC4E38CD7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改为stand
</t>
      </text>
    </comment>
    <comment ref="A77" authorId="2" shapeId="0" xr:uid="{B11DF107-8179-4AA1-BBE1-1F44669FED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LEI， 28800 Batch 发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<sst xmlns="http://schemas.openxmlformats.org/spreadsheetml/2006/main" count="245" uniqueCount="154">
  <si>
    <t>Category</t>
  </si>
  <si>
    <t>T523H</t>
  </si>
  <si>
    <t>T523W</t>
  </si>
  <si>
    <t>T59V</t>
  </si>
  <si>
    <t>T59D 1</t>
  </si>
  <si>
    <t>T59D 2</t>
  </si>
  <si>
    <t>T530Y</t>
  </si>
  <si>
    <t>T521X</t>
  </si>
  <si>
    <t>T530X</t>
  </si>
  <si>
    <t>Y</t>
  </si>
  <si>
    <t>X</t>
  </si>
  <si>
    <t>2.0V</t>
  </si>
  <si>
    <t>1.9V</t>
  </si>
  <si>
    <t>D</t>
  </si>
  <si>
    <t>T-A42</t>
  </si>
  <si>
    <t>T</t>
  </si>
  <si>
    <t>T59B</t>
  </si>
  <si>
    <t>B</t>
  </si>
  <si>
    <t>SIP</t>
  </si>
  <si>
    <t>32UP</t>
  </si>
  <si>
    <t>42UP</t>
  </si>
  <si>
    <t>TOTAL</t>
  </si>
  <si>
    <t>SIGMA</t>
  </si>
  <si>
    <t>D-Sigma</t>
  </si>
  <si>
    <t>Sigma</t>
  </si>
  <si>
    <t>59V</t>
  </si>
  <si>
    <t>59D2</t>
  </si>
  <si>
    <t>K</t>
  </si>
  <si>
    <t>T598D687M2R5ATE006</t>
  </si>
  <si>
    <t>60 批 12/27 orders   12days</t>
  </si>
  <si>
    <t>Non-687</t>
  </si>
  <si>
    <t>Total</t>
  </si>
  <si>
    <t>530D 2</t>
  </si>
  <si>
    <t>687 /21号之前需要39  12/15 orders</t>
  </si>
  <si>
    <t>12/4 9 12/28 orders</t>
  </si>
  <si>
    <t>T530D687M2R5ATE0067280</t>
  </si>
  <si>
    <t>T530D687M2R5ATE006</t>
  </si>
  <si>
    <t>T530D337M006ATE010</t>
  </si>
  <si>
    <t>11/30 之前需要11批</t>
  </si>
  <si>
    <t>12/4 22 批</t>
  </si>
  <si>
    <t>T521D106M050ATE0907654</t>
  </si>
  <si>
    <t>QTY</t>
  </si>
  <si>
    <t>T521D107M025ATE040</t>
  </si>
  <si>
    <t>hold</t>
  </si>
  <si>
    <t>T521D107M025ATE050</t>
  </si>
  <si>
    <t>T521D107M025ATE060</t>
  </si>
  <si>
    <t>T521D107M025ATE0407280</t>
  </si>
  <si>
    <t>Total D107</t>
  </si>
  <si>
    <t>T521D686M025AT4146</t>
  </si>
  <si>
    <t>T521D686M025ATE0707652</t>
  </si>
  <si>
    <t>T521D686M025ATE070</t>
  </si>
  <si>
    <t>Total 686</t>
  </si>
  <si>
    <t>T598D337M006AT4143</t>
  </si>
  <si>
    <t>T598D337M006AT41437280</t>
  </si>
  <si>
    <t>T598D337M006ATE025</t>
  </si>
  <si>
    <t>Total D59-1</t>
  </si>
  <si>
    <t>Total D-sigma</t>
  </si>
  <si>
    <t>T520D337M006ATE009</t>
  </si>
  <si>
    <t>T520D337M006ATE0097280</t>
  </si>
  <si>
    <t>T520D477M004ATE010</t>
  </si>
  <si>
    <t>T520D477M004ATE012</t>
  </si>
  <si>
    <t>MTAS</t>
  </si>
  <si>
    <t>32-Sigma (Actual)</t>
  </si>
  <si>
    <t>Coif</t>
  </si>
  <si>
    <t>Rest-Coif</t>
  </si>
  <si>
    <t>P</t>
  </si>
  <si>
    <t>W</t>
  </si>
  <si>
    <t># Coif</t>
  </si>
  <si>
    <t>T530D687M2R5</t>
  </si>
  <si>
    <t>Status</t>
  </si>
  <si>
    <t>PN</t>
  </si>
  <si>
    <t>T521X336M050ATE075</t>
  </si>
  <si>
    <t>T521X336M050ATE050</t>
  </si>
  <si>
    <t>需要全部删除</t>
  </si>
  <si>
    <t>T521X156M063ATE035</t>
  </si>
  <si>
    <t>T598D226M035AT4334</t>
  </si>
  <si>
    <t>KS2</t>
  </si>
  <si>
    <t>T598D106M050ATE090</t>
  </si>
  <si>
    <t>T598D476M025ATE060</t>
  </si>
  <si>
    <t>T530D477M004ATE010</t>
  </si>
  <si>
    <t>T530D687M003ATE010</t>
  </si>
  <si>
    <t>T521X107M025ATE060</t>
  </si>
  <si>
    <t>T521X476M035ATE030</t>
  </si>
  <si>
    <t>521X</t>
  </si>
  <si>
    <t>T521X476M035ATE070</t>
  </si>
  <si>
    <t>T521X226M050ATE075</t>
  </si>
  <si>
    <t>T521X156M075AHE035</t>
  </si>
  <si>
    <t>T521X156M075ATE035</t>
  </si>
  <si>
    <t>T521X337M016ATE025</t>
  </si>
  <si>
    <t>Formation:</t>
  </si>
  <si>
    <t>NGZ</t>
  </si>
  <si>
    <t>T598D477M2R5AHS009</t>
  </si>
  <si>
    <t>T521D227M016ATE050</t>
  </si>
  <si>
    <t>16K/8cycle</t>
  </si>
  <si>
    <t>T521X106M075ATE050</t>
  </si>
  <si>
    <t>59d1</t>
  </si>
  <si>
    <t>T598D226M035ATE065</t>
  </si>
  <si>
    <t>convert to 080,多发一些</t>
  </si>
  <si>
    <t>T530D 2</t>
  </si>
  <si>
    <t>T530X158M2R5ATE005</t>
  </si>
  <si>
    <t>530X</t>
  </si>
  <si>
    <t>`</t>
  </si>
  <si>
    <t>T530X687M006ATE018</t>
  </si>
  <si>
    <t>T530X337M010ATE006</t>
  </si>
  <si>
    <t>T530X477M006ATE004</t>
  </si>
  <si>
    <t>32UP GAP</t>
  </si>
  <si>
    <t>42UP GAP</t>
  </si>
  <si>
    <t>T530D687M2R5ATE010</t>
  </si>
  <si>
    <t>T530X687M004ATE004</t>
  </si>
  <si>
    <t>T530X337M010ATE010</t>
  </si>
  <si>
    <t>T530D 3</t>
  </si>
  <si>
    <t>T530D687M2R5AHE006</t>
  </si>
  <si>
    <t>T-G</t>
  </si>
  <si>
    <t>T528Z 1</t>
  </si>
  <si>
    <t>T528Z 2</t>
  </si>
  <si>
    <t>T598D336M025ATE060</t>
  </si>
  <si>
    <t>T523T</t>
  </si>
  <si>
    <t>T528B</t>
  </si>
  <si>
    <t>Flat T</t>
  </si>
  <si>
    <t>C</t>
  </si>
  <si>
    <t>Cycle  高</t>
  </si>
  <si>
    <t>L</t>
  </si>
  <si>
    <t>T59B 2</t>
  </si>
  <si>
    <t>T521D107M020ATE055</t>
  </si>
  <si>
    <t>T521D157M016ATE050</t>
  </si>
  <si>
    <t>Total T521X</t>
  </si>
  <si>
    <t>T521X336M050AHE075</t>
  </si>
  <si>
    <t>T520V477M2R5ATE018</t>
  </si>
  <si>
    <t>2624Y557</t>
  </si>
  <si>
    <t>A521V107M020ASMH01</t>
  </si>
  <si>
    <t>ANODE-KO</t>
  </si>
  <si>
    <t>2624Y657</t>
  </si>
  <si>
    <t>2624Y757</t>
  </si>
  <si>
    <t>2624Y857</t>
  </si>
  <si>
    <t>2624Z357</t>
  </si>
  <si>
    <t>2624ZE47</t>
  </si>
  <si>
    <t>2624ZF47</t>
  </si>
  <si>
    <t>2624ZG47</t>
  </si>
  <si>
    <t>2624ZH47</t>
  </si>
  <si>
    <t>2624ZU57</t>
  </si>
  <si>
    <t>2624ZW57</t>
  </si>
  <si>
    <t>2624ZX57</t>
  </si>
  <si>
    <t>2625YK17</t>
  </si>
  <si>
    <t>ANODE-ENG</t>
  </si>
  <si>
    <t>2625YL17</t>
  </si>
  <si>
    <t>2625YN17</t>
  </si>
  <si>
    <t>2625Z527</t>
  </si>
  <si>
    <t>A520V227M006ASMHSM</t>
  </si>
  <si>
    <t>2625ZH47</t>
  </si>
  <si>
    <t>2625ZW27</t>
  </si>
  <si>
    <t>2625ZZ27</t>
  </si>
  <si>
    <t>LOT_NUMBER</t>
  </si>
  <si>
    <t>ITEM_NAME</t>
  </si>
  <si>
    <t>SUBINVENTORY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</si>
</sst>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color theme="3" tint="0.3999755851924192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0" borderId="0" xfId="0" applyNumberFormat="1"/>
    <xf numFmtId="16" fontId="0" fillId="5" borderId="0" xfId="0" applyNumberFormat="1" applyFill="1"/>
    <xf numFmtId="0" fontId="0" fillId="6" borderId="0" xfId="0" applyFill="1"/>
    <xf numFmtId="14" fontId="2" fillId="0" borderId="0" xfId="0" applyNumberFormat="1" applyFont="1"/>
    <xf numFmtId="14" fontId="0" fillId="0" borderId="0" xfId="0" applyNumberFormat="1"/>
    <xf numFmtId="14" fontId="0" fillId="5" borderId="0" xfId="0" applyNumberFormat="1" applyFill="1"/>
    <xf numFmtId="0" fontId="0" fillId="5" borderId="0" xfId="0" applyFill="1"/>
    <xf numFmtId="0" fontId="0" fillId="7" borderId="0" xfId="0" applyFill="1"/>
    <xf numFmtId="164" fontId="0" fillId="0" borderId="0" xfId="1" applyNumberFormat="1" applyFont="1" applyFill="1"/>
    <xf numFmtId="164" fontId="0" fillId="7" borderId="0" xfId="1" applyNumberFormat="1" applyFont="1" applyFill="1"/>
    <xf numFmtId="164" fontId="0" fillId="2" borderId="0" xfId="1" applyNumberFormat="1" applyFont="1" applyFill="1"/>
    <xf numFmtId="14" fontId="0" fillId="2" borderId="0" xfId="0" applyNumberFormat="1" applyFill="1"/>
    <xf numFmtId="164" fontId="0" fillId="5" borderId="0" xfId="1" applyNumberFormat="1" applyFont="1" applyFill="1"/>
    <xf numFmtId="164" fontId="0" fillId="3" borderId="0" xfId="1" applyNumberFormat="1" applyFont="1" applyFill="1"/>
    <xf numFmtId="164" fontId="0" fillId="0" borderId="0" xfId="1" applyNumberFormat="1" applyFont="1"/>
    <xf numFmtId="14" fontId="0" fillId="0" borderId="0" xfId="1" applyNumberFormat="1" applyFont="1"/>
    <xf numFmtId="0" fontId="0" fillId="9" borderId="0" xfId="0" applyFill="1"/>
    <xf numFmtId="164" fontId="0" fillId="9" borderId="0" xfId="1" applyNumberFormat="1" applyFont="1" applyFill="1"/>
    <xf numFmtId="164" fontId="0" fillId="5" borderId="0" xfId="0" applyNumberFormat="1" applyFill="1"/>
    <xf numFmtId="164" fontId="0" fillId="7" borderId="0" xfId="0" applyNumberFormat="1" applyFill="1"/>
    <xf numFmtId="0" fontId="2" fillId="9" borderId="0" xfId="0" applyFont="1" applyFill="1"/>
    <xf numFmtId="16" fontId="2" fillId="9" borderId="0" xfId="0" applyNumberFormat="1" applyFont="1" applyFill="1"/>
    <xf numFmtId="43" fontId="0" fillId="2" borderId="0" xfId="1" applyFont="1" applyFill="1"/>
    <xf numFmtId="164" fontId="0" fillId="2" borderId="0" xfId="0" applyNumberFormat="1" applyFill="1"/>
    <xf numFmtId="1" fontId="0" fillId="2" borderId="0" xfId="0" applyNumberFormat="1" applyFill="1"/>
    <xf numFmtId="164" fontId="0" fillId="9" borderId="0" xfId="0" applyNumberFormat="1" applyFill="1"/>
    <xf numFmtId="164" fontId="0" fillId="3" borderId="0" xfId="0" applyNumberFormat="1" applyFill="1"/>
    <xf numFmtId="164" fontId="0" fillId="8" borderId="0" xfId="1" applyNumberFormat="1" applyFont="1" applyFill="1"/>
    <xf numFmtId="164" fontId="0" fillId="0" borderId="1" xfId="1" applyNumberFormat="1" applyFont="1" applyBorder="1" applyAlignment="1">
      <alignment horizontal="left"/>
    </xf>
    <xf numFmtId="164" fontId="2" fillId="0" borderId="0" xfId="1" applyNumberFormat="1" applyFont="1"/>
    <xf numFmtId="14" fontId="4" fillId="0" borderId="0" xfId="0" applyNumberFormat="1" applyFont="1"/>
    <xf numFmtId="0" fontId="4" fillId="0" borderId="0" xfId="0" applyFont="1"/>
    <xf numFmtId="0" fontId="0" fillId="10" borderId="2" xfId="0" applyFill="1" applyBorder="1"/>
    <xf numFmtId="164" fontId="1" fillId="2" borderId="0" xfId="1" applyNumberFormat="1" applyFont="1" applyFill="1"/>
    <xf numFmtId="0" fontId="0" fillId="0" borderId="2" xfId="0" applyBorder="1"/>
    <xf numFmtId="0" fontId="5" fillId="0" borderId="0" xfId="0" applyFont="1"/>
    <xf numFmtId="0" fontId="0" fillId="11" borderId="4" xfId="0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12" xfId="2" xr:uid="{BB666B9C-58A9-4D6D-9255-85DB748A6AA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ppData/Local/Microsoft/Olk/Attachments/ooa-35439fb9-50f9-4790-89ce-637000cbd842/179cdca3994c1018b6c10037f00603b117057251698c31ef56b5f8e20d50456b/Weekly%20SIP%20WK31%202026-internal.xlsx" TargetMode="External"/><Relationship Id="rId2" Type="http://schemas.openxmlformats.org/officeDocument/2006/relationships/externalLinkPath" Target="file:///C:\Users\CEXLSZ4\AppData\Local\Microsoft\Olk\Attachments\ooa-35439fb9-50f9-4790-89ce-637000cbd842\179cdca3994c1018b6c10037f00603b117057251698c31ef56b5f8e20d50456b\Weekly%20SIP%20WK31%202026-internal.xlsx" TargetMode="External"/><Relationship Id="rId1" Type="http://schemas.openxmlformats.org/officeDocument/2006/relationships/externalLinkPath" Target="/Users/CEXLSZ4/AppData/Local/Microsoft/Olk/Attachments/ooa-35439fb9-50f9-4790-89ce-637000cbd842/179cdca3994c1018b6c10037f00603b117057251698c31ef56b5f8e20d50456b/Weekly%20SIP%20WK31%202026-interna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7.29/Anode%203-4-7.29.xlsx" TargetMode="External"/><Relationship Id="rId2" Type="http://schemas.openxmlformats.org/officeDocument/2006/relationships/externalLinkPath" Target="file:///C:\Users\CEXLSZ4\Desktop\Monica\Daily%20Plan\7.29\Anode%203-4-7.29.xlsx" TargetMode="External"/><Relationship Id="rId1" Type="http://schemas.openxmlformats.org/officeDocument/2006/relationships/externalLinkPath" Target="/Users/CEXLSZ4/Desktop/Monica/Daily%20Plan/7.29/Anode%203-4-7.2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wnloads/PlanningSIPSummary%20(1).xlsx" TargetMode="External"/><Relationship Id="rId1" Type="http://schemas.openxmlformats.org/officeDocument/2006/relationships/externalLinkPath" Target="/Users/CEXLSZ4/Downloads/PlanningSIPSummar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11.26/CategorySIPMaintain11.20.xlsx" TargetMode="External"/><Relationship Id="rId2" Type="http://schemas.openxmlformats.org/officeDocument/2006/relationships/externalLinkPath" Target="file:///C:\Users\CEXLSZ4\Desktop\Monica\Daily%20Plan\11.26\CategorySIPMaintain11.20.xlsx" TargetMode="External"/><Relationship Id="rId1" Type="http://schemas.openxmlformats.org/officeDocument/2006/relationships/externalLinkPath" Target="/Users/CEXLSZ4/Desktop/Monica/Daily%20Plan/11.26/CategorySIPMaintain11.20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11/CategorySIPMaintain12.05.xlsx" TargetMode="External"/><Relationship Id="rId2" Type="http://schemas.openxmlformats.org/officeDocument/2006/relationships/externalLinkPath" Target="file:///C:\Users\CEXLSZ4\Desktop\Monica\Daily%20Plan\12.11\CategorySIPMaintain12.05.xlsx" TargetMode="External"/><Relationship Id="rId1" Type="http://schemas.openxmlformats.org/officeDocument/2006/relationships/externalLinkPath" Target="/Users/CEXLSZ4/Desktop/Monica/Daily%20Plan/12.11/CategorySIPMaintain12.0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19/CategorySIPMaintain12.12.xlsx" TargetMode="External"/><Relationship Id="rId2" Type="http://schemas.openxmlformats.org/officeDocument/2006/relationships/externalLinkPath" Target="file:///C:\Users\CEXLSZ4\Desktop\Monica\Daily%20Plan\12.19\CategorySIPMaintain12.12.xlsx" TargetMode="External"/><Relationship Id="rId1" Type="http://schemas.openxmlformats.org/officeDocument/2006/relationships/externalLinkPath" Target="/Users/CEXLSZ4/Desktop/Monica/Daily%20Plan/12.19/CategorySIPMaintain12.12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24/CategorySIPMaintain12.19.xlsx" TargetMode="External"/><Relationship Id="rId2" Type="http://schemas.openxmlformats.org/officeDocument/2006/relationships/externalLinkPath" Target="file:///C:\Users\CEXLSZ4\Desktop\Monica\Daily%20Plan\12.24\CategorySIPMaintain12.19.xlsx" TargetMode="External"/><Relationship Id="rId1" Type="http://schemas.openxmlformats.org/officeDocument/2006/relationships/externalLinkPath" Target="/Users/CEXLSZ4/Desktop/Monica/Daily%20Plan/12.24/CategorySIPMaintain12.19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7.27/Anode%203-4-7.27.xlsx" TargetMode="External"/><Relationship Id="rId2" Type="http://schemas.openxmlformats.org/officeDocument/2006/relationships/externalLinkPath" Target="file:///C:\Users\CEXLSZ4\Desktop\Monica\Daily%20Plan\7.27\Anode%203-4-7.27.xlsx" TargetMode="External"/><Relationship Id="rId1" Type="http://schemas.openxmlformats.org/officeDocument/2006/relationships/externalLinkPath" Target="/Users/CEXLSZ4/Desktop/Monica/Daily%20Plan/7.27/Anode%203-4-7.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lding- Cap"/>
      <sheetName val="Summary"/>
      <sheetName val="KO SIP Plan history"/>
      <sheetName val="KO SIP Plan"/>
      <sheetName val="42up Cap"/>
      <sheetName val="Model line"/>
      <sheetName val="2026CNY Att."/>
      <sheetName val="Daily SIP"/>
      <sheetName val="Weekly SIP"/>
      <sheetName val="ENG Request"/>
      <sheetName val="HC"/>
      <sheetName val="Key PN Rate"/>
      <sheetName val="2022 National Day Shut down"/>
      <sheetName val="2023 Tomb-Sweeping Day"/>
      <sheetName val="2024 Labour Day"/>
      <sheetName val="2023 Dragon Boat Festival"/>
      <sheetName val="2022 Dec Shut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/>
        </row>
        <row r="2">
          <cell r="A2" t="str">
            <v>Efficiency Avg</v>
          </cell>
          <cell r="K2"/>
        </row>
        <row r="3">
          <cell r="A3" t="str">
            <v>Weeknum</v>
          </cell>
          <cell r="K3" t="str">
            <v>WK32</v>
          </cell>
        </row>
        <row r="4">
          <cell r="A4" t="str">
            <v>Work days</v>
          </cell>
          <cell r="K4">
            <v>7</v>
          </cell>
        </row>
        <row r="5">
          <cell r="A5" t="str">
            <v>WK End</v>
          </cell>
          <cell r="K5">
            <v>46241</v>
          </cell>
        </row>
        <row r="6">
          <cell r="A6" t="str">
            <v>B</v>
          </cell>
          <cell r="K6">
            <v>500</v>
          </cell>
        </row>
        <row r="7">
          <cell r="A7" t="str">
            <v>T59B</v>
          </cell>
          <cell r="K7">
            <v>250</v>
          </cell>
        </row>
        <row r="8">
          <cell r="A8" t="str">
            <v>T59B 2</v>
          </cell>
          <cell r="K8"/>
        </row>
        <row r="9">
          <cell r="A9" t="str">
            <v>B-A42</v>
          </cell>
          <cell r="K9"/>
        </row>
        <row r="10">
          <cell r="A10" t="str">
            <v>T528B</v>
          </cell>
          <cell r="K10">
            <v>67</v>
          </cell>
        </row>
        <row r="11">
          <cell r="A11" t="str">
            <v>M</v>
          </cell>
          <cell r="K11"/>
        </row>
        <row r="12">
          <cell r="A12" t="str">
            <v>T</v>
          </cell>
          <cell r="K12">
            <v>200</v>
          </cell>
        </row>
        <row r="13">
          <cell r="A13" t="str">
            <v>T-G</v>
          </cell>
          <cell r="K13">
            <v>0</v>
          </cell>
        </row>
        <row r="14">
          <cell r="A14" t="str">
            <v>Flat T</v>
          </cell>
          <cell r="K14">
            <v>0</v>
          </cell>
        </row>
        <row r="15">
          <cell r="A15" t="str">
            <v>T-A42</v>
          </cell>
          <cell r="K15">
            <v>1450</v>
          </cell>
        </row>
        <row r="16">
          <cell r="A16" t="str">
            <v>T-FP</v>
          </cell>
          <cell r="K16"/>
        </row>
        <row r="17">
          <cell r="A17" t="str">
            <v>C</v>
          </cell>
          <cell r="K17"/>
        </row>
        <row r="18">
          <cell r="A18" t="str">
            <v>U</v>
          </cell>
          <cell r="K18"/>
        </row>
        <row r="19">
          <cell r="A19" t="str">
            <v>L</v>
          </cell>
          <cell r="K19">
            <v>15</v>
          </cell>
        </row>
        <row r="20">
          <cell r="A20" t="str">
            <v>T523T</v>
          </cell>
          <cell r="K20"/>
        </row>
        <row r="21">
          <cell r="A21" t="str">
            <v>T523K</v>
          </cell>
          <cell r="K21"/>
        </row>
        <row r="22">
          <cell r="A22" t="str">
            <v>D</v>
          </cell>
          <cell r="K22">
            <v>930</v>
          </cell>
        </row>
        <row r="23">
          <cell r="A23" t="str">
            <v>1.9V</v>
          </cell>
          <cell r="K23">
            <v>100</v>
          </cell>
        </row>
        <row r="24">
          <cell r="A24" t="str">
            <v>2.0V</v>
          </cell>
          <cell r="K24">
            <v>100</v>
          </cell>
        </row>
        <row r="25">
          <cell r="A25" t="str">
            <v>W</v>
          </cell>
          <cell r="K25">
            <v>60</v>
          </cell>
        </row>
        <row r="26">
          <cell r="A26" t="str">
            <v>Q</v>
          </cell>
          <cell r="K26">
            <v>0</v>
          </cell>
        </row>
        <row r="27">
          <cell r="A27" t="str">
            <v>X</v>
          </cell>
          <cell r="K27">
            <v>10</v>
          </cell>
        </row>
        <row r="28">
          <cell r="A28" t="str">
            <v>Y</v>
          </cell>
          <cell r="K28">
            <v>10</v>
          </cell>
        </row>
        <row r="29">
          <cell r="A29" t="str">
            <v>T530D 2</v>
          </cell>
          <cell r="K29">
            <v>42</v>
          </cell>
        </row>
        <row r="30">
          <cell r="A30" t="str">
            <v>T530D 3</v>
          </cell>
          <cell r="K30">
            <v>168</v>
          </cell>
        </row>
        <row r="31">
          <cell r="A31" t="str">
            <v>T530X</v>
          </cell>
          <cell r="K31">
            <v>220</v>
          </cell>
        </row>
        <row r="32">
          <cell r="A32" t="str">
            <v>T521X</v>
          </cell>
          <cell r="K32">
            <v>120</v>
          </cell>
        </row>
        <row r="33">
          <cell r="A33" t="str">
            <v>T530Y</v>
          </cell>
          <cell r="K33">
            <v>220</v>
          </cell>
        </row>
        <row r="34">
          <cell r="A34" t="str">
            <v>T59D 2</v>
          </cell>
          <cell r="K34">
            <v>630</v>
          </cell>
        </row>
        <row r="35">
          <cell r="A35" t="str">
            <v>T59D 1</v>
          </cell>
          <cell r="K35">
            <v>180</v>
          </cell>
        </row>
        <row r="36">
          <cell r="A36" t="str">
            <v>T59V</v>
          </cell>
          <cell r="K36">
            <v>380</v>
          </cell>
        </row>
        <row r="37">
          <cell r="A37" t="str">
            <v>T59X</v>
          </cell>
          <cell r="K37"/>
        </row>
        <row r="38">
          <cell r="A38" t="str">
            <v>T528Z 1</v>
          </cell>
          <cell r="K38"/>
        </row>
        <row r="39">
          <cell r="A39" t="str">
            <v>T528Z 2</v>
          </cell>
          <cell r="K39"/>
        </row>
        <row r="40">
          <cell r="A40" t="str">
            <v>T520DV 2</v>
          </cell>
          <cell r="K40"/>
        </row>
        <row r="41">
          <cell r="A41" t="str">
            <v>T528W</v>
          </cell>
          <cell r="K41"/>
        </row>
        <row r="42">
          <cell r="A42" t="str">
            <v>T523V</v>
          </cell>
          <cell r="K42"/>
        </row>
        <row r="43">
          <cell r="A43" t="str">
            <v>T523W</v>
          </cell>
          <cell r="K43">
            <v>322</v>
          </cell>
        </row>
        <row r="44">
          <cell r="A44" t="str">
            <v>T523H</v>
          </cell>
          <cell r="K44">
            <v>80</v>
          </cell>
        </row>
        <row r="45">
          <cell r="A45" t="str">
            <v>Total</v>
          </cell>
          <cell r="K45">
            <v>6054</v>
          </cell>
        </row>
        <row r="46">
          <cell r="A46" t="str">
            <v>42up</v>
          </cell>
          <cell r="K46">
            <v>2482</v>
          </cell>
        </row>
        <row r="47">
          <cell r="A47" t="str">
            <v>32up</v>
          </cell>
          <cell r="K47">
            <v>3572</v>
          </cell>
        </row>
        <row r="48">
          <cell r="A48" t="str">
            <v>42Age</v>
          </cell>
          <cell r="K48">
            <v>2437.3333333333335</v>
          </cell>
        </row>
        <row r="49">
          <cell r="A49" t="str">
            <v>32Age</v>
          </cell>
          <cell r="K49">
            <v>2750.6666666666665</v>
          </cell>
        </row>
        <row r="50">
          <cell r="A50" t="str">
            <v>Mats+Tesla</v>
          </cell>
          <cell r="K50">
            <v>1400</v>
          </cell>
        </row>
        <row r="51">
          <cell r="A51" t="str">
            <v>B</v>
          </cell>
          <cell r="K51">
            <v>750</v>
          </cell>
        </row>
        <row r="52">
          <cell r="A52" t="str">
            <v>T</v>
          </cell>
          <cell r="K52">
            <v>200</v>
          </cell>
        </row>
        <row r="53">
          <cell r="A53" t="str">
            <v>M</v>
          </cell>
          <cell r="K53">
            <v>0</v>
          </cell>
        </row>
        <row r="54">
          <cell r="A54" t="str">
            <v>CUL</v>
          </cell>
          <cell r="K54">
            <v>15</v>
          </cell>
        </row>
        <row r="55">
          <cell r="A55" t="str">
            <v>FT</v>
          </cell>
          <cell r="K55">
            <v>0</v>
          </cell>
        </row>
        <row r="56">
          <cell r="A56" t="str">
            <v>FD</v>
          </cell>
          <cell r="K56">
            <v>67</v>
          </cell>
        </row>
        <row r="57">
          <cell r="A57" t="str">
            <v>520DVWQ</v>
          </cell>
          <cell r="K57">
            <v>1190</v>
          </cell>
        </row>
        <row r="58">
          <cell r="A58" t="str">
            <v>Auto(59DV)</v>
          </cell>
          <cell r="K58">
            <v>560</v>
          </cell>
        </row>
        <row r="59">
          <cell r="A59" t="str">
            <v>T528Z/T523WV</v>
          </cell>
          <cell r="K59">
            <v>322</v>
          </cell>
        </row>
        <row r="60">
          <cell r="A60" t="str">
            <v>XY</v>
          </cell>
          <cell r="K60">
            <v>206.66666666666666</v>
          </cell>
        </row>
        <row r="61">
          <cell r="A61" t="str">
            <v>Mats</v>
          </cell>
          <cell r="K61">
            <v>770</v>
          </cell>
        </row>
        <row r="62">
          <cell r="A62" t="str">
            <v>Mats-Tesla</v>
          </cell>
          <cell r="K62">
            <v>630</v>
          </cell>
        </row>
        <row r="63">
          <cell r="A63" t="str">
            <v>D-CV</v>
          </cell>
          <cell r="K63">
            <v>1007</v>
          </cell>
        </row>
        <row r="64">
          <cell r="A64" t="str">
            <v>D-GH</v>
          </cell>
          <cell r="K64">
            <v>495</v>
          </cell>
        </row>
        <row r="65">
          <cell r="A65" t="str">
            <v>Total D</v>
          </cell>
          <cell r="K65">
            <v>1502</v>
          </cell>
        </row>
        <row r="66">
          <cell r="A66" t="str">
            <v>V</v>
          </cell>
          <cell r="K66">
            <v>580</v>
          </cell>
        </row>
        <row r="67">
          <cell r="A67" t="str">
            <v>530D 2</v>
          </cell>
          <cell r="K67">
            <v>672</v>
          </cell>
        </row>
        <row r="68">
          <cell r="A68" t="str">
            <v>Total X</v>
          </cell>
          <cell r="K68">
            <v>560</v>
          </cell>
        </row>
        <row r="69">
          <cell r="A69" t="str">
            <v>T530X - 2</v>
          </cell>
          <cell r="K69">
            <v>20</v>
          </cell>
        </row>
        <row r="70">
          <cell r="A70" t="str">
            <v>T530X - 3</v>
          </cell>
          <cell r="K70">
            <v>200</v>
          </cell>
        </row>
        <row r="71">
          <cell r="A71" t="str">
            <v>T521X - 2</v>
          </cell>
          <cell r="K71">
            <v>90</v>
          </cell>
        </row>
        <row r="72">
          <cell r="A72" t="str">
            <v>T521X - 3</v>
          </cell>
          <cell r="K72">
            <v>30</v>
          </cell>
        </row>
        <row r="73">
          <cell r="A73" t="str">
            <v xml:space="preserve">T530Y - 2 </v>
          </cell>
          <cell r="K73">
            <v>218</v>
          </cell>
        </row>
        <row r="74">
          <cell r="A74" t="str">
            <v>T530Y - 3</v>
          </cell>
          <cell r="K74">
            <v>2</v>
          </cell>
        </row>
        <row r="75">
          <cell r="A75"/>
          <cell r="K75"/>
        </row>
        <row r="76">
          <cell r="A76" t="str">
            <v>After Ass</v>
          </cell>
        </row>
        <row r="77">
          <cell r="A77" t="str">
            <v>Total X</v>
          </cell>
          <cell r="K77">
            <v>141.66666666666669</v>
          </cell>
        </row>
        <row r="78">
          <cell r="A78" t="str">
            <v>Total Y</v>
          </cell>
          <cell r="K78">
            <v>119.66666666666667</v>
          </cell>
        </row>
        <row r="79">
          <cell r="A79"/>
          <cell r="K79">
            <v>261.33333333333337</v>
          </cell>
        </row>
        <row r="80">
          <cell r="A80"/>
          <cell r="K80"/>
        </row>
        <row r="81">
          <cell r="A81" t="str">
            <v>1.9V</v>
          </cell>
          <cell r="K81">
            <v>100</v>
          </cell>
        </row>
        <row r="82">
          <cell r="A82" t="str">
            <v>2.0V</v>
          </cell>
          <cell r="K82">
            <v>100</v>
          </cell>
        </row>
        <row r="83">
          <cell r="A83" t="str">
            <v>59*V</v>
          </cell>
          <cell r="K83">
            <v>380</v>
          </cell>
        </row>
        <row r="84">
          <cell r="A84" t="str">
            <v>W</v>
          </cell>
          <cell r="K84">
            <v>60</v>
          </cell>
        </row>
        <row r="85">
          <cell r="A85" t="str">
            <v>Y</v>
          </cell>
          <cell r="K85">
            <v>119.66666666666667</v>
          </cell>
        </row>
        <row r="86">
          <cell r="A86" t="str">
            <v>59*D-CV</v>
          </cell>
          <cell r="K86">
            <v>930</v>
          </cell>
        </row>
        <row r="87">
          <cell r="A87" t="str">
            <v>59*D-G</v>
          </cell>
          <cell r="K87">
            <v>495</v>
          </cell>
        </row>
        <row r="88">
          <cell r="A88" t="str">
            <v>X</v>
          </cell>
          <cell r="K88">
            <v>141.66666666666669</v>
          </cell>
        </row>
        <row r="89">
          <cell r="A89"/>
        </row>
        <row r="91">
          <cell r="A91" t="str">
            <v>1.9V</v>
          </cell>
          <cell r="K91">
            <v>0.55555555555555558</v>
          </cell>
        </row>
        <row r="92">
          <cell r="A92" t="str">
            <v>2.0V</v>
          </cell>
          <cell r="K92">
            <v>0.55555555555555558</v>
          </cell>
        </row>
        <row r="93">
          <cell r="A93" t="str">
            <v>59*V</v>
          </cell>
          <cell r="K93">
            <v>3.1666666666666665</v>
          </cell>
        </row>
        <row r="94">
          <cell r="A94" t="str">
            <v>W-NFT</v>
          </cell>
          <cell r="K94">
            <v>0.6</v>
          </cell>
        </row>
        <row r="95">
          <cell r="A95" t="str">
            <v>59*Y</v>
          </cell>
          <cell r="K95">
            <v>0.85476190476190483</v>
          </cell>
        </row>
        <row r="96">
          <cell r="A96" t="str">
            <v>59*D-CV</v>
          </cell>
          <cell r="K96">
            <v>5.166666666666667</v>
          </cell>
        </row>
        <row r="97">
          <cell r="A97" t="str">
            <v>59*D-G</v>
          </cell>
          <cell r="K97">
            <v>4.125</v>
          </cell>
        </row>
        <row r="98">
          <cell r="A98" t="str">
            <v>59*X-CV</v>
          </cell>
          <cell r="K98">
            <v>1.1805555555555558</v>
          </cell>
        </row>
        <row r="99">
          <cell r="A99" t="str">
            <v>Total Mold</v>
          </cell>
          <cell r="K99">
            <v>16.204761904761906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me"/>
      <sheetName val="List-cate-anode"/>
      <sheetName val="D107"/>
      <sheetName val="523W"/>
      <sheetName val="H107"/>
      <sheetName val="Summary"/>
      <sheetName val="Waybill-1"/>
      <sheetName val="C-Inventory"/>
      <sheetName val="details"/>
      <sheetName val="Key point"/>
      <sheetName val="Anode_Tantalum_Mapping"/>
      <sheetName val="Waybill-2"/>
      <sheetName val="SIP"/>
      <sheetName val="ENG Request"/>
      <sheetName val="Anode Tantalum Mapping"/>
      <sheetName val="ParametersECP_v"/>
      <sheetName val="OraAnodeInstOH_v"/>
      <sheetName val="Formation 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/>
          <cell r="C1">
            <v>46228</v>
          </cell>
          <cell r="D1">
            <v>46229</v>
          </cell>
          <cell r="E1">
            <v>46230</v>
          </cell>
          <cell r="F1">
            <v>46231</v>
          </cell>
          <cell r="G1">
            <v>46232</v>
          </cell>
        </row>
        <row r="2">
          <cell r="A2" t="str">
            <v>B</v>
          </cell>
          <cell r="C2">
            <v>788.64599999999996</v>
          </cell>
          <cell r="D2">
            <v>760.58299999999997</v>
          </cell>
          <cell r="E2">
            <v>759.78599999999994</v>
          </cell>
          <cell r="F2">
            <v>801.13</v>
          </cell>
          <cell r="G2">
            <v>506.87799999999999</v>
          </cell>
        </row>
        <row r="3">
          <cell r="A3" t="str">
            <v>T59B</v>
          </cell>
          <cell r="C3">
            <v>195.65299999999999</v>
          </cell>
          <cell r="D3">
            <v>194.81</v>
          </cell>
          <cell r="E3">
            <v>201.95</v>
          </cell>
          <cell r="F3">
            <v>203.04</v>
          </cell>
          <cell r="G3">
            <v>202.84100000000001</v>
          </cell>
        </row>
        <row r="4">
          <cell r="A4" t="str">
            <v>T59B 2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152.14400000000001</v>
          </cell>
        </row>
        <row r="5">
          <cell r="A5" t="str">
            <v>B-A42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A6" t="str">
            <v>T528B</v>
          </cell>
          <cell r="C6">
            <v>67.5</v>
          </cell>
          <cell r="D6">
            <v>67.105000000000004</v>
          </cell>
          <cell r="E6">
            <v>67.5</v>
          </cell>
          <cell r="F6">
            <v>67.5</v>
          </cell>
          <cell r="G6">
            <v>67.5</v>
          </cell>
        </row>
        <row r="7">
          <cell r="A7" t="str">
            <v>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>T</v>
          </cell>
          <cell r="C8">
            <v>162</v>
          </cell>
          <cell r="D8">
            <v>161.61099999999999</v>
          </cell>
          <cell r="E8">
            <v>162</v>
          </cell>
          <cell r="F8">
            <v>156.434</v>
          </cell>
          <cell r="G8">
            <v>215.643</v>
          </cell>
        </row>
        <row r="9">
          <cell r="A9" t="str">
            <v>T-G</v>
          </cell>
          <cell r="C9">
            <v>152.28</v>
          </cell>
          <cell r="D9">
            <v>152.28</v>
          </cell>
          <cell r="E9">
            <v>160.583</v>
          </cell>
          <cell r="F9">
            <v>168.78</v>
          </cell>
          <cell r="G9">
            <v>168.28</v>
          </cell>
        </row>
        <row r="10">
          <cell r="A10" t="str">
            <v>Flat T</v>
          </cell>
          <cell r="C10">
            <v>42.177</v>
          </cell>
          <cell r="D10">
            <v>42.3</v>
          </cell>
          <cell r="E10">
            <v>42.286999999999999</v>
          </cell>
          <cell r="F10">
            <v>42.3</v>
          </cell>
          <cell r="G10">
            <v>42.3</v>
          </cell>
        </row>
        <row r="11">
          <cell r="A11" t="str">
            <v>T-A42</v>
          </cell>
          <cell r="C11">
            <v>1064.355</v>
          </cell>
          <cell r="D11">
            <v>1059.519</v>
          </cell>
          <cell r="E11">
            <v>1057.7660000000001</v>
          </cell>
          <cell r="F11">
            <v>1062.922</v>
          </cell>
          <cell r="G11">
            <v>1057.527</v>
          </cell>
        </row>
        <row r="12">
          <cell r="A12" t="str">
            <v>T-FP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C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 t="str">
            <v>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T523T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 t="str">
            <v>T523K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 t="str">
            <v>D</v>
          </cell>
          <cell r="C18">
            <v>932.11</v>
          </cell>
          <cell r="D18">
            <v>906.94200000000001</v>
          </cell>
          <cell r="E18">
            <v>1091.566</v>
          </cell>
          <cell r="F18">
            <v>946.07100000000003</v>
          </cell>
          <cell r="G18">
            <v>1023.843</v>
          </cell>
        </row>
        <row r="19">
          <cell r="A19" t="str">
            <v>1.9V</v>
          </cell>
          <cell r="C19">
            <v>66</v>
          </cell>
          <cell r="D19">
            <v>99.409000000000006</v>
          </cell>
          <cell r="E19">
            <v>101.161</v>
          </cell>
          <cell r="F19">
            <v>66</v>
          </cell>
          <cell r="G19">
            <v>99.534000000000006</v>
          </cell>
        </row>
        <row r="20">
          <cell r="A20" t="str">
            <v>2.0V</v>
          </cell>
          <cell r="C20">
            <v>137.572</v>
          </cell>
          <cell r="D20">
            <v>113.203</v>
          </cell>
          <cell r="E20">
            <v>90.995000000000005</v>
          </cell>
          <cell r="F20">
            <v>90.795000000000002</v>
          </cell>
          <cell r="G20">
            <v>91</v>
          </cell>
        </row>
        <row r="21">
          <cell r="A21" t="str">
            <v>W</v>
          </cell>
          <cell r="C21">
            <v>47.192</v>
          </cell>
          <cell r="D21">
            <v>70.694000000000003</v>
          </cell>
          <cell r="E21">
            <v>47.155999999999999</v>
          </cell>
          <cell r="F21">
            <v>70.644999999999996</v>
          </cell>
          <cell r="G21">
            <v>46.738</v>
          </cell>
        </row>
        <row r="22">
          <cell r="A22" t="str">
            <v>Q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X</v>
          </cell>
          <cell r="C23">
            <v>33.447000000000003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T530D 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 t="str">
            <v>T530D 3</v>
          </cell>
          <cell r="C26">
            <v>168.90700000000001</v>
          </cell>
          <cell r="D26">
            <v>170.33500000000001</v>
          </cell>
          <cell r="E26">
            <v>168.714</v>
          </cell>
          <cell r="F26">
            <v>169.15299999999999</v>
          </cell>
          <cell r="G26">
            <v>169.13800000000001</v>
          </cell>
        </row>
        <row r="27">
          <cell r="A27" t="str">
            <v>T530X</v>
          </cell>
          <cell r="C27">
            <v>166.268</v>
          </cell>
          <cell r="D27">
            <v>199.761</v>
          </cell>
          <cell r="E27">
            <v>199.435</v>
          </cell>
          <cell r="F27">
            <v>199.77600000000001</v>
          </cell>
          <cell r="G27">
            <v>199.72399999999999</v>
          </cell>
        </row>
        <row r="28">
          <cell r="A28" t="str">
            <v>T521X</v>
          </cell>
          <cell r="C28">
            <v>128.685</v>
          </cell>
          <cell r="D28">
            <v>113.072</v>
          </cell>
          <cell r="E28">
            <v>90.885999999999996</v>
          </cell>
          <cell r="F28">
            <v>130.28899999999999</v>
          </cell>
          <cell r="G28">
            <v>117.553</v>
          </cell>
        </row>
        <row r="29">
          <cell r="A29" t="str">
            <v>T530Y</v>
          </cell>
          <cell r="C29">
            <v>248.37899999999999</v>
          </cell>
          <cell r="D29">
            <v>248.071</v>
          </cell>
          <cell r="E29">
            <v>251.666</v>
          </cell>
          <cell r="F29">
            <v>254.86799999999999</v>
          </cell>
          <cell r="G29">
            <v>257.90699999999998</v>
          </cell>
        </row>
        <row r="30">
          <cell r="A30" t="str">
            <v>T59D 2</v>
          </cell>
          <cell r="C30">
            <v>675.41</v>
          </cell>
          <cell r="D30">
            <v>675.404</v>
          </cell>
          <cell r="E30">
            <v>672.24599999999998</v>
          </cell>
          <cell r="F30">
            <v>668.95899999999995</v>
          </cell>
          <cell r="G30">
            <v>675.36199999999997</v>
          </cell>
        </row>
        <row r="31">
          <cell r="A31" t="str">
            <v>T59D 1</v>
          </cell>
          <cell r="C31">
            <v>189.52699999999999</v>
          </cell>
          <cell r="D31">
            <v>205.68700000000001</v>
          </cell>
          <cell r="E31">
            <v>176.298</v>
          </cell>
          <cell r="F31">
            <v>163.17599999999999</v>
          </cell>
          <cell r="G31">
            <v>180.102</v>
          </cell>
        </row>
        <row r="32">
          <cell r="A32" t="str">
            <v>T59V</v>
          </cell>
          <cell r="C32">
            <v>412.279</v>
          </cell>
          <cell r="D32">
            <v>399.22199999999998</v>
          </cell>
          <cell r="E32">
            <v>332.86799999999999</v>
          </cell>
          <cell r="F32">
            <v>365.435</v>
          </cell>
          <cell r="G32">
            <v>384.20699999999999</v>
          </cell>
        </row>
        <row r="33">
          <cell r="A33" t="str">
            <v>T59X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T528Z 1</v>
          </cell>
          <cell r="C34">
            <v>33</v>
          </cell>
          <cell r="D34">
            <v>31.838000000000001</v>
          </cell>
          <cell r="E34">
            <v>33</v>
          </cell>
          <cell r="F34">
            <v>33</v>
          </cell>
          <cell r="G34">
            <v>33.527000000000001</v>
          </cell>
        </row>
        <row r="35">
          <cell r="A35" t="str">
            <v>T528Z 2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T520DV 2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T528W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T523V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T523W</v>
          </cell>
          <cell r="C39">
            <v>257.06799999999998</v>
          </cell>
          <cell r="D39">
            <v>280.62</v>
          </cell>
          <cell r="E39">
            <v>257.25099999999998</v>
          </cell>
          <cell r="F39">
            <v>280.67099999999999</v>
          </cell>
          <cell r="G39">
            <v>257.065</v>
          </cell>
        </row>
        <row r="40">
          <cell r="A40" t="str">
            <v>T523H</v>
          </cell>
          <cell r="C40">
            <v>76.262</v>
          </cell>
          <cell r="D40">
            <v>75.944000000000003</v>
          </cell>
          <cell r="E40">
            <v>84.435000000000002</v>
          </cell>
          <cell r="F40">
            <v>84.096999999999994</v>
          </cell>
          <cell r="G40">
            <v>82.55</v>
          </cell>
        </row>
        <row r="41">
          <cell r="A41" t="str">
            <v>Total Qty</v>
          </cell>
          <cell r="C41">
            <v>6044.7170000000006</v>
          </cell>
          <cell r="D41">
            <v>6028.41</v>
          </cell>
          <cell r="E41">
            <v>6049.5490000000018</v>
          </cell>
          <cell r="F41">
            <v>6025.0410000000002</v>
          </cell>
          <cell r="G41">
            <v>6031.3630000000003</v>
          </cell>
        </row>
        <row r="42">
          <cell r="A42" t="str">
            <v>NGZ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P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Y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Cycles</v>
          </cell>
          <cell r="C45">
            <v>8836</v>
          </cell>
          <cell r="D45">
            <v>8871</v>
          </cell>
          <cell r="E45">
            <v>8941</v>
          </cell>
          <cell r="F45">
            <v>8971</v>
          </cell>
          <cell r="G45">
            <v>8971</v>
          </cell>
        </row>
        <row r="46">
          <cell r="A46" t="str">
            <v>RH</v>
          </cell>
          <cell r="C46">
            <v>2204</v>
          </cell>
          <cell r="D46">
            <v>2232</v>
          </cell>
          <cell r="E46">
            <v>2213</v>
          </cell>
          <cell r="F46">
            <v>2274</v>
          </cell>
          <cell r="G46">
            <v>2270</v>
          </cell>
        </row>
        <row r="47">
          <cell r="A47" t="str">
            <v>R</v>
          </cell>
          <cell r="C47">
            <v>6632</v>
          </cell>
          <cell r="D47">
            <v>6639</v>
          </cell>
          <cell r="E47">
            <v>6728</v>
          </cell>
          <cell r="F47">
            <v>6697</v>
          </cell>
          <cell r="G47">
            <v>6701</v>
          </cell>
        </row>
        <row r="48">
          <cell r="A48">
            <v>35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50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>
            <v>60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Batches(EG)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Batches</v>
          </cell>
          <cell r="C52">
            <v>173</v>
          </cell>
          <cell r="D52">
            <v>174</v>
          </cell>
          <cell r="E52">
            <v>179</v>
          </cell>
          <cell r="F52">
            <v>178</v>
          </cell>
          <cell r="G52">
            <v>177</v>
          </cell>
        </row>
        <row r="53">
          <cell r="A53" t="str">
            <v>Total Batches</v>
          </cell>
          <cell r="C53">
            <v>173</v>
          </cell>
          <cell r="D53">
            <v>174</v>
          </cell>
          <cell r="E53">
            <v>179</v>
          </cell>
          <cell r="F53">
            <v>178</v>
          </cell>
          <cell r="G53">
            <v>177</v>
          </cell>
        </row>
        <row r="54">
          <cell r="A54" t="str">
            <v>Kpcs/Cycle</v>
          </cell>
          <cell r="C54">
            <v>0.6841010638297873</v>
          </cell>
          <cell r="D54">
            <v>0.67956374704091982</v>
          </cell>
          <cell r="E54">
            <v>0.67660765015099</v>
          </cell>
          <cell r="F54">
            <v>0.67161308661241781</v>
          </cell>
          <cell r="G54">
            <v>0.67231780180581879</v>
          </cell>
        </row>
        <row r="55">
          <cell r="A55" t="str">
            <v>Mat’s</v>
          </cell>
          <cell r="C55">
            <v>1387.6489999999999</v>
          </cell>
          <cell r="D55">
            <v>1406.643</v>
          </cell>
          <cell r="E55">
            <v>1382.9469999999999</v>
          </cell>
          <cell r="F55">
            <v>1423.0449999999998</v>
          </cell>
          <cell r="G55">
            <v>1419.6839999999997</v>
          </cell>
        </row>
        <row r="56">
          <cell r="A56" t="str">
            <v>Cycles(EG)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Total Cycles</v>
          </cell>
          <cell r="C57">
            <v>8836</v>
          </cell>
          <cell r="D57">
            <v>8871</v>
          </cell>
          <cell r="E57">
            <v>8941</v>
          </cell>
          <cell r="F57">
            <v>8971</v>
          </cell>
          <cell r="G57">
            <v>8971</v>
          </cell>
        </row>
        <row r="58">
          <cell r="A58" t="str">
            <v>High Voltage Qty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 t="str">
            <v>Category</v>
          </cell>
          <cell r="B1" t="str">
            <v>07-30</v>
          </cell>
          <cell r="C1" t="str">
            <v>07-31</v>
          </cell>
        </row>
        <row r="2">
          <cell r="A2" t="str">
            <v>1.9V</v>
          </cell>
          <cell r="B2">
            <v>98905</v>
          </cell>
          <cell r="C2">
            <v>97101</v>
          </cell>
        </row>
        <row r="3">
          <cell r="A3" t="str">
            <v>2.0V</v>
          </cell>
          <cell r="B3">
            <v>115456</v>
          </cell>
          <cell r="C3">
            <v>114339</v>
          </cell>
        </row>
        <row r="4">
          <cell r="A4" t="str">
            <v>T</v>
          </cell>
          <cell r="B4">
            <v>322800</v>
          </cell>
          <cell r="C4">
            <v>107930</v>
          </cell>
        </row>
        <row r="5">
          <cell r="A5" t="str">
            <v>T523H</v>
          </cell>
          <cell r="B5">
            <v>84466</v>
          </cell>
          <cell r="C5">
            <v>76148</v>
          </cell>
        </row>
        <row r="6">
          <cell r="A6" t="str">
            <v>T528B</v>
          </cell>
          <cell r="B6">
            <v>66825</v>
          </cell>
          <cell r="C6">
            <v>67500</v>
          </cell>
        </row>
        <row r="7">
          <cell r="A7" t="str">
            <v>T530D 3</v>
          </cell>
          <cell r="B7">
            <v>169115</v>
          </cell>
          <cell r="C7">
            <v>170036</v>
          </cell>
        </row>
        <row r="8">
          <cell r="A8" t="str">
            <v>T530Y</v>
          </cell>
          <cell r="B8">
            <v>209640</v>
          </cell>
          <cell r="C8">
            <v>202464</v>
          </cell>
        </row>
        <row r="9">
          <cell r="A9" t="str">
            <v>T59V</v>
          </cell>
          <cell r="B9">
            <v>394840</v>
          </cell>
          <cell r="C9">
            <v>400660</v>
          </cell>
        </row>
        <row r="10">
          <cell r="A10" t="str">
            <v>W</v>
          </cell>
          <cell r="B10">
            <v>70624</v>
          </cell>
          <cell r="C10">
            <v>46800</v>
          </cell>
        </row>
        <row r="11">
          <cell r="A11" t="str">
            <v>X</v>
          </cell>
          <cell r="B11">
            <v>33600</v>
          </cell>
          <cell r="C11">
            <v>33600</v>
          </cell>
        </row>
        <row r="12">
          <cell r="A12" t="str">
            <v>B</v>
          </cell>
          <cell r="B12">
            <v>506768</v>
          </cell>
          <cell r="C12">
            <v>536239</v>
          </cell>
        </row>
        <row r="13">
          <cell r="A13" t="str">
            <v>Flat T</v>
          </cell>
          <cell r="B13">
            <v>42300</v>
          </cell>
          <cell r="C13">
            <v>41685</v>
          </cell>
        </row>
        <row r="14">
          <cell r="A14" t="str">
            <v>T530X</v>
          </cell>
          <cell r="B14">
            <v>232762</v>
          </cell>
          <cell r="C14">
            <v>232792</v>
          </cell>
        </row>
        <row r="15">
          <cell r="A15" t="str">
            <v>T59B</v>
          </cell>
          <cell r="B15">
            <v>177888</v>
          </cell>
          <cell r="C15">
            <v>186197</v>
          </cell>
        </row>
        <row r="16">
          <cell r="A16" t="str">
            <v>Y</v>
          </cell>
          <cell r="B16">
            <v>33402</v>
          </cell>
          <cell r="C16" t="str">
            <v>-</v>
          </cell>
        </row>
        <row r="17">
          <cell r="A17" t="str">
            <v>D</v>
          </cell>
          <cell r="B17">
            <v>884772</v>
          </cell>
          <cell r="C17">
            <v>985129</v>
          </cell>
        </row>
        <row r="18">
          <cell r="A18" t="str">
            <v>T521X</v>
          </cell>
          <cell r="B18">
            <v>94550</v>
          </cell>
          <cell r="C18">
            <v>114266</v>
          </cell>
        </row>
        <row r="19">
          <cell r="A19" t="str">
            <v>T59D 1</v>
          </cell>
          <cell r="B19">
            <v>146395</v>
          </cell>
          <cell r="C19">
            <v>194243</v>
          </cell>
        </row>
        <row r="20">
          <cell r="A20" t="str">
            <v>T59D 2</v>
          </cell>
          <cell r="B20">
            <v>675325</v>
          </cell>
          <cell r="C20">
            <v>673403</v>
          </cell>
        </row>
        <row r="21">
          <cell r="A21" t="str">
            <v>T523W</v>
          </cell>
          <cell r="B21">
            <v>280737</v>
          </cell>
          <cell r="C21">
            <v>280412</v>
          </cell>
        </row>
        <row r="22">
          <cell r="A22" t="str">
            <v>T-A42</v>
          </cell>
          <cell r="B22">
            <v>1065529</v>
          </cell>
          <cell r="C22">
            <v>1064246</v>
          </cell>
        </row>
        <row r="23">
          <cell r="A23" t="str">
            <v>T-G</v>
          </cell>
          <cell r="B23">
            <v>151886</v>
          </cell>
          <cell r="C23">
            <v>152081</v>
          </cell>
        </row>
        <row r="24">
          <cell r="A24" t="str">
            <v>T528Z 1</v>
          </cell>
          <cell r="B24">
            <v>33563</v>
          </cell>
          <cell r="C24">
            <v>31925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 refreshError="1"/>
      <sheetData sheetId="1" refreshError="1"/>
      <sheetData sheetId="2">
        <row r="32">
          <cell r="D32">
            <v>760</v>
          </cell>
          <cell r="E32">
            <v>760</v>
          </cell>
          <cell r="F32">
            <v>790</v>
          </cell>
          <cell r="G32">
            <v>820</v>
          </cell>
          <cell r="H32">
            <v>820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/>
      <sheetData sheetId="1"/>
      <sheetData sheetId="2">
        <row r="35">
          <cell r="D35">
            <v>720</v>
          </cell>
          <cell r="E35">
            <v>720</v>
          </cell>
          <cell r="F35">
            <v>720</v>
          </cell>
          <cell r="G35">
            <v>720</v>
          </cell>
          <cell r="H35">
            <v>720</v>
          </cell>
          <cell r="I35">
            <v>720</v>
          </cell>
          <cell r="J35">
            <v>720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/>
      <sheetData sheetId="1"/>
      <sheetData sheetId="2">
        <row r="37">
          <cell r="D37">
            <v>740</v>
          </cell>
          <cell r="E37">
            <v>780</v>
          </cell>
          <cell r="F37">
            <v>780</v>
          </cell>
          <cell r="G37">
            <v>680</v>
          </cell>
          <cell r="H37">
            <v>680</v>
          </cell>
          <cell r="I37">
            <v>680</v>
          </cell>
          <cell r="J37">
            <v>680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heet1"/>
    </sheetNames>
    <sheetDataSet>
      <sheetData sheetId="0" refreshError="1"/>
      <sheetData sheetId="1" refreshError="1"/>
      <sheetData sheetId="2">
        <row r="33">
          <cell r="D33">
            <v>1000</v>
          </cell>
          <cell r="E33">
            <v>1000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me"/>
      <sheetName val="List-cate-anode"/>
      <sheetName val="D107"/>
      <sheetName val="523W"/>
      <sheetName val="H107"/>
      <sheetName val="Summary"/>
      <sheetName val="Waybill-1"/>
      <sheetName val="C-Inventory"/>
      <sheetName val="details"/>
      <sheetName val="Key point"/>
      <sheetName val="Anode_Tantalum_Mapping"/>
      <sheetName val="Waybill-2"/>
      <sheetName val="SIP"/>
      <sheetName val="ENG Request"/>
      <sheetName val="Anode Tantalum Mapping"/>
      <sheetName val="ParametersECP_v"/>
      <sheetName val="OraAnodeInstOH_v"/>
      <sheetName val="Formation 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LOT_NUMBER</v>
          </cell>
          <cell r="D1" t="str">
            <v>PowderType</v>
          </cell>
          <cell r="E1" t="str">
            <v>PlanDate</v>
          </cell>
        </row>
        <row r="2">
          <cell r="A2" t="str">
            <v>2409F227</v>
          </cell>
          <cell r="D2" t="str">
            <v>FTW102K</v>
          </cell>
          <cell r="E2"/>
        </row>
        <row r="3">
          <cell r="A3" t="str">
            <v>2409G547</v>
          </cell>
          <cell r="D3" t="str">
            <v>FTW102K</v>
          </cell>
          <cell r="E3"/>
        </row>
        <row r="4">
          <cell r="A4" t="str">
            <v>2409G147</v>
          </cell>
          <cell r="D4" t="str">
            <v>FTW102K</v>
          </cell>
          <cell r="E4"/>
        </row>
        <row r="5">
          <cell r="A5" t="str">
            <v>2409FY47</v>
          </cell>
          <cell r="D5" t="str">
            <v>FTW102K</v>
          </cell>
          <cell r="E5"/>
        </row>
        <row r="6">
          <cell r="A6" t="str">
            <v>2409G347</v>
          </cell>
          <cell r="D6" t="str">
            <v>FTW102K</v>
          </cell>
          <cell r="E6"/>
        </row>
        <row r="7">
          <cell r="A7" t="str">
            <v>2413DJ27</v>
          </cell>
          <cell r="D7" t="str">
            <v>KBP74</v>
          </cell>
          <cell r="E7"/>
        </row>
        <row r="8">
          <cell r="A8" t="str">
            <v>2416LP57</v>
          </cell>
          <cell r="D8" t="str">
            <v>FTW102K</v>
          </cell>
          <cell r="E8"/>
        </row>
        <row r="9">
          <cell r="A9" t="str">
            <v>2416LL57</v>
          </cell>
          <cell r="D9" t="str">
            <v>FTW102K</v>
          </cell>
          <cell r="E9"/>
        </row>
        <row r="10">
          <cell r="A10" t="str">
            <v>2416LJ57</v>
          </cell>
          <cell r="D10" t="str">
            <v>FTW102K</v>
          </cell>
          <cell r="E10"/>
        </row>
        <row r="11">
          <cell r="A11" t="str">
            <v>2416LK57</v>
          </cell>
          <cell r="D11" t="str">
            <v>FTW102K</v>
          </cell>
          <cell r="E11"/>
        </row>
        <row r="12">
          <cell r="A12" t="str">
            <v>2416LM57</v>
          </cell>
          <cell r="D12" t="str">
            <v>FTW102K</v>
          </cell>
          <cell r="E12"/>
        </row>
        <row r="13">
          <cell r="A13" t="str">
            <v>2416LN57</v>
          </cell>
          <cell r="D13" t="str">
            <v>FTW102K</v>
          </cell>
          <cell r="E13"/>
        </row>
        <row r="14">
          <cell r="A14" t="str">
            <v>2416LO57</v>
          </cell>
          <cell r="D14" t="str">
            <v>FTW102K</v>
          </cell>
          <cell r="E14"/>
        </row>
        <row r="15">
          <cell r="A15" t="str">
            <v>2417DG17</v>
          </cell>
          <cell r="D15" t="str">
            <v>FTW102K</v>
          </cell>
          <cell r="E15"/>
        </row>
        <row r="16">
          <cell r="A16" t="str">
            <v>2417DI17</v>
          </cell>
          <cell r="D16" t="str">
            <v>FTW102K</v>
          </cell>
          <cell r="E16"/>
        </row>
        <row r="17">
          <cell r="A17" t="str">
            <v>2417DS37</v>
          </cell>
          <cell r="D17" t="str">
            <v>FTW102K</v>
          </cell>
          <cell r="E17"/>
        </row>
        <row r="18">
          <cell r="A18" t="str">
            <v>2417GO27</v>
          </cell>
          <cell r="D18" t="str">
            <v>FTW102K</v>
          </cell>
          <cell r="E18"/>
        </row>
        <row r="19">
          <cell r="A19" t="str">
            <v>2417GL27</v>
          </cell>
          <cell r="D19" t="str">
            <v>FTW102K</v>
          </cell>
          <cell r="E19"/>
        </row>
        <row r="20">
          <cell r="A20" t="str">
            <v>2417GM27</v>
          </cell>
          <cell r="D20" t="str">
            <v>FTW102K</v>
          </cell>
          <cell r="E20"/>
        </row>
        <row r="21">
          <cell r="A21" t="str">
            <v>2417GN27</v>
          </cell>
          <cell r="D21" t="str">
            <v>FTW102K</v>
          </cell>
          <cell r="E21"/>
        </row>
        <row r="22">
          <cell r="A22" t="str">
            <v>2417DR37</v>
          </cell>
          <cell r="D22" t="str">
            <v>FTW102K</v>
          </cell>
          <cell r="E22"/>
        </row>
        <row r="23">
          <cell r="A23" t="str">
            <v>2417J347</v>
          </cell>
          <cell r="D23" t="str">
            <v>FTW102K</v>
          </cell>
          <cell r="E23"/>
        </row>
        <row r="24">
          <cell r="A24" t="str">
            <v>2425L527</v>
          </cell>
          <cell r="D24" t="str">
            <v>TTS80</v>
          </cell>
          <cell r="E24"/>
        </row>
        <row r="25">
          <cell r="A25" t="str">
            <v>2445KG47</v>
          </cell>
          <cell r="D25" t="str">
            <v>TTS50</v>
          </cell>
          <cell r="E25"/>
        </row>
        <row r="26">
          <cell r="A26" t="str">
            <v>2446F437</v>
          </cell>
          <cell r="D26" t="str">
            <v>FTW700</v>
          </cell>
          <cell r="E26"/>
        </row>
        <row r="27">
          <cell r="A27" t="str">
            <v>2448DI37</v>
          </cell>
          <cell r="D27" t="str">
            <v>KBP52</v>
          </cell>
          <cell r="E27"/>
        </row>
        <row r="28">
          <cell r="A28" t="str">
            <v>2448GD37</v>
          </cell>
          <cell r="D28" t="str">
            <v>FTW700</v>
          </cell>
          <cell r="E28"/>
        </row>
        <row r="29">
          <cell r="A29" t="str">
            <v>2448XY57</v>
          </cell>
          <cell r="D29" t="str">
            <v>TTS40</v>
          </cell>
          <cell r="E29"/>
        </row>
        <row r="30">
          <cell r="A30" t="str">
            <v>2452UA57</v>
          </cell>
          <cell r="D30" t="str">
            <v>STA156KA</v>
          </cell>
          <cell r="E30"/>
        </row>
        <row r="31">
          <cell r="A31" t="str">
            <v>2506CQ57</v>
          </cell>
          <cell r="D31" t="str">
            <v>STA156KA</v>
          </cell>
          <cell r="E31"/>
        </row>
        <row r="32">
          <cell r="A32" t="str">
            <v>2507BH37</v>
          </cell>
          <cell r="D32" t="str">
            <v>KBP52</v>
          </cell>
          <cell r="E32"/>
        </row>
        <row r="33">
          <cell r="A33" t="str">
            <v>2508ZA27</v>
          </cell>
          <cell r="D33" t="str">
            <v>KBP52</v>
          </cell>
          <cell r="E33"/>
        </row>
        <row r="34">
          <cell r="A34" t="str">
            <v>2509FF27</v>
          </cell>
          <cell r="D34" t="str">
            <v>TTS175</v>
          </cell>
          <cell r="E34"/>
        </row>
        <row r="35">
          <cell r="A35" t="str">
            <v>2509CU47</v>
          </cell>
          <cell r="D35" t="str">
            <v>KBP74</v>
          </cell>
          <cell r="E35"/>
        </row>
        <row r="36">
          <cell r="A36" t="str">
            <v>2514GO37</v>
          </cell>
          <cell r="D36" t="str">
            <v>KBP52</v>
          </cell>
          <cell r="E36"/>
        </row>
        <row r="37">
          <cell r="A37" t="str">
            <v>2518DJ67</v>
          </cell>
          <cell r="D37" t="str">
            <v>FTW102K</v>
          </cell>
          <cell r="E37"/>
        </row>
        <row r="38">
          <cell r="A38" t="str">
            <v>2518DG67</v>
          </cell>
          <cell r="D38" t="str">
            <v>FTW102K</v>
          </cell>
          <cell r="E38"/>
        </row>
        <row r="39">
          <cell r="A39" t="str">
            <v>2518DE67</v>
          </cell>
          <cell r="D39" t="str">
            <v>FTW102K</v>
          </cell>
          <cell r="E39"/>
        </row>
        <row r="40">
          <cell r="A40" t="str">
            <v>2518DH67</v>
          </cell>
          <cell r="D40" t="str">
            <v>FTW102K</v>
          </cell>
          <cell r="E40"/>
        </row>
        <row r="41">
          <cell r="A41" t="str">
            <v>2519JD17</v>
          </cell>
          <cell r="D41" t="str">
            <v>FTW102K</v>
          </cell>
          <cell r="E41"/>
        </row>
        <row r="42">
          <cell r="A42" t="str">
            <v>2519JA17</v>
          </cell>
          <cell r="D42" t="str">
            <v>FTW102K</v>
          </cell>
          <cell r="E42"/>
        </row>
        <row r="43">
          <cell r="A43" t="str">
            <v>2519FT27</v>
          </cell>
          <cell r="D43" t="str">
            <v>FTW102K</v>
          </cell>
          <cell r="E43"/>
        </row>
        <row r="44">
          <cell r="A44" t="str">
            <v>2519JC17</v>
          </cell>
          <cell r="D44" t="str">
            <v>FTW102K</v>
          </cell>
          <cell r="E44"/>
        </row>
        <row r="45">
          <cell r="A45" t="str">
            <v>2519JB17</v>
          </cell>
          <cell r="D45" t="str">
            <v>FTW102K</v>
          </cell>
          <cell r="E45"/>
        </row>
        <row r="46">
          <cell r="A46" t="str">
            <v>2520GX57</v>
          </cell>
          <cell r="D46" t="str">
            <v>TTS40</v>
          </cell>
          <cell r="E46"/>
        </row>
        <row r="47">
          <cell r="A47" t="str">
            <v>2521P427</v>
          </cell>
          <cell r="D47" t="str">
            <v>TTS80</v>
          </cell>
          <cell r="E47"/>
        </row>
        <row r="48">
          <cell r="A48" t="str">
            <v>2521GW47</v>
          </cell>
          <cell r="D48" t="str">
            <v>KBP74</v>
          </cell>
          <cell r="E48"/>
        </row>
        <row r="49">
          <cell r="A49" t="str">
            <v>2522UN57</v>
          </cell>
          <cell r="D49" t="str">
            <v>KBP74</v>
          </cell>
          <cell r="E49"/>
        </row>
        <row r="50">
          <cell r="A50" t="str">
            <v>2529IJ17</v>
          </cell>
          <cell r="D50" t="str">
            <v>TTS40</v>
          </cell>
          <cell r="E50"/>
        </row>
        <row r="51">
          <cell r="A51" t="str">
            <v>2530L747</v>
          </cell>
          <cell r="D51" t="str">
            <v>KBP74</v>
          </cell>
          <cell r="E51"/>
        </row>
        <row r="52">
          <cell r="A52" t="str">
            <v>2530PH57</v>
          </cell>
          <cell r="D52" t="str">
            <v>KBP23</v>
          </cell>
          <cell r="E52"/>
        </row>
        <row r="53">
          <cell r="A53" t="str">
            <v>2530PJ57</v>
          </cell>
          <cell r="D53" t="str">
            <v>KBP23</v>
          </cell>
          <cell r="E53"/>
        </row>
        <row r="54">
          <cell r="A54" t="str">
            <v>2532JL27</v>
          </cell>
          <cell r="D54" t="str">
            <v>KBP74</v>
          </cell>
          <cell r="E54"/>
        </row>
        <row r="55">
          <cell r="A55" t="str">
            <v>2533HT67</v>
          </cell>
          <cell r="D55" t="str">
            <v>FTW102K</v>
          </cell>
          <cell r="E55"/>
        </row>
        <row r="56">
          <cell r="A56" t="str">
            <v>2535ZC17</v>
          </cell>
          <cell r="D56" t="str">
            <v>FTW102K</v>
          </cell>
          <cell r="E56"/>
        </row>
        <row r="57">
          <cell r="A57" t="str">
            <v>2535BA47</v>
          </cell>
          <cell r="D57" t="str">
            <v>KBP74</v>
          </cell>
          <cell r="E57"/>
        </row>
        <row r="58">
          <cell r="A58" t="str">
            <v>2537HS27</v>
          </cell>
          <cell r="D58" t="str">
            <v>KBP74</v>
          </cell>
          <cell r="E58"/>
        </row>
        <row r="59">
          <cell r="A59" t="str">
            <v>2536GB67</v>
          </cell>
          <cell r="D59" t="str">
            <v>KBP74</v>
          </cell>
          <cell r="E59"/>
        </row>
        <row r="60">
          <cell r="A60" t="str">
            <v>2537DE27</v>
          </cell>
          <cell r="D60" t="str">
            <v>STA156KA</v>
          </cell>
          <cell r="E60"/>
        </row>
        <row r="61">
          <cell r="A61" t="str">
            <v>2537BY67</v>
          </cell>
          <cell r="D61" t="str">
            <v>KBP52</v>
          </cell>
          <cell r="E61"/>
        </row>
        <row r="62">
          <cell r="A62" t="str">
            <v>2538DK47</v>
          </cell>
          <cell r="D62" t="str">
            <v>TTS50</v>
          </cell>
          <cell r="E62"/>
        </row>
        <row r="63">
          <cell r="A63" t="str">
            <v>2538CG57</v>
          </cell>
          <cell r="D63" t="str">
            <v>KBP74</v>
          </cell>
          <cell r="E63"/>
        </row>
        <row r="64">
          <cell r="A64" t="str">
            <v>2538I757</v>
          </cell>
          <cell r="D64" t="str">
            <v>S506</v>
          </cell>
          <cell r="E64"/>
        </row>
        <row r="65">
          <cell r="A65" t="str">
            <v>2538C847</v>
          </cell>
          <cell r="D65" t="str">
            <v>FTP200</v>
          </cell>
          <cell r="E65"/>
        </row>
        <row r="66">
          <cell r="A66" t="str">
            <v>2545P827</v>
          </cell>
          <cell r="D66" t="str">
            <v>KBP76</v>
          </cell>
          <cell r="E66"/>
        </row>
        <row r="67">
          <cell r="A67" t="str">
            <v>2545C147</v>
          </cell>
          <cell r="D67" t="str">
            <v>KBP74</v>
          </cell>
          <cell r="E67"/>
        </row>
        <row r="68">
          <cell r="A68" t="str">
            <v>2546LK17</v>
          </cell>
          <cell r="D68" t="str">
            <v>KBP76</v>
          </cell>
          <cell r="E68"/>
        </row>
        <row r="69">
          <cell r="A69" t="str">
            <v>2546O347</v>
          </cell>
          <cell r="D69" t="str">
            <v>FTP200</v>
          </cell>
          <cell r="E69"/>
        </row>
        <row r="70">
          <cell r="A70" t="str">
            <v>2547IH27</v>
          </cell>
          <cell r="D70" t="str">
            <v>KBP76</v>
          </cell>
          <cell r="E70"/>
        </row>
        <row r="71">
          <cell r="A71" t="str">
            <v>2548OF27</v>
          </cell>
          <cell r="D71" t="str">
            <v>TTS50</v>
          </cell>
          <cell r="E71"/>
        </row>
        <row r="72">
          <cell r="A72" t="str">
            <v>2548GT57</v>
          </cell>
          <cell r="D72" t="str">
            <v>KBP126</v>
          </cell>
          <cell r="E72"/>
        </row>
        <row r="73">
          <cell r="A73" t="str">
            <v>2549K727</v>
          </cell>
          <cell r="D73" t="str">
            <v>KBP86</v>
          </cell>
          <cell r="E73"/>
        </row>
        <row r="74">
          <cell r="A74" t="str">
            <v>2549BL67</v>
          </cell>
          <cell r="D74" t="str">
            <v>KBP52</v>
          </cell>
          <cell r="E74"/>
        </row>
        <row r="75">
          <cell r="A75" t="str">
            <v>2550ZC17</v>
          </cell>
          <cell r="D75" t="str">
            <v>KBP126</v>
          </cell>
          <cell r="E75"/>
        </row>
        <row r="76">
          <cell r="A76" t="str">
            <v>2549OW47</v>
          </cell>
          <cell r="D76" t="str">
            <v>KBP86</v>
          </cell>
          <cell r="E76"/>
        </row>
        <row r="77">
          <cell r="A77" t="str">
            <v>2550KT17</v>
          </cell>
          <cell r="D77" t="str">
            <v>KBP86</v>
          </cell>
          <cell r="E77"/>
        </row>
        <row r="78">
          <cell r="A78" t="str">
            <v>2549YY57</v>
          </cell>
          <cell r="D78" t="str">
            <v>S506</v>
          </cell>
          <cell r="E78"/>
        </row>
        <row r="79">
          <cell r="A79" t="str">
            <v>2550ZI27</v>
          </cell>
          <cell r="D79" t="str">
            <v>KBP86</v>
          </cell>
          <cell r="E79"/>
        </row>
        <row r="80">
          <cell r="A80" t="str">
            <v>2550ZA37</v>
          </cell>
          <cell r="D80" t="str">
            <v>STA156KA</v>
          </cell>
          <cell r="E80"/>
        </row>
        <row r="81">
          <cell r="A81" t="str">
            <v>2549ZD57</v>
          </cell>
          <cell r="D81" t="str">
            <v>TTS50</v>
          </cell>
          <cell r="E81"/>
        </row>
        <row r="82">
          <cell r="A82" t="str">
            <v>2550ZD67</v>
          </cell>
          <cell r="D82" t="str">
            <v>STA156KA</v>
          </cell>
          <cell r="E82"/>
        </row>
        <row r="83">
          <cell r="A83" t="str">
            <v>2550ZC47</v>
          </cell>
          <cell r="D83" t="str">
            <v>KBP126</v>
          </cell>
          <cell r="E83"/>
        </row>
        <row r="84">
          <cell r="A84" t="str">
            <v>2551YW27</v>
          </cell>
          <cell r="D84" t="str">
            <v>FTP200</v>
          </cell>
          <cell r="E84"/>
        </row>
        <row r="85">
          <cell r="A85" t="str">
            <v>2551EJ47</v>
          </cell>
          <cell r="D85" t="str">
            <v>S506</v>
          </cell>
          <cell r="E85"/>
        </row>
        <row r="86">
          <cell r="A86" t="str">
            <v>2551EI47</v>
          </cell>
          <cell r="D86" t="str">
            <v>S506</v>
          </cell>
          <cell r="E86"/>
        </row>
        <row r="87">
          <cell r="A87" t="str">
            <v>2552EM17</v>
          </cell>
          <cell r="D87" t="str">
            <v>S506</v>
          </cell>
          <cell r="E87"/>
        </row>
        <row r="88">
          <cell r="A88" t="str">
            <v>2601HD27</v>
          </cell>
          <cell r="D88" t="str">
            <v>S805</v>
          </cell>
          <cell r="E88"/>
        </row>
        <row r="89">
          <cell r="A89" t="str">
            <v>2602SO57</v>
          </cell>
          <cell r="D89" t="str">
            <v>KBP52</v>
          </cell>
          <cell r="E89"/>
        </row>
        <row r="90">
          <cell r="A90" t="str">
            <v>2605YT47</v>
          </cell>
          <cell r="D90" t="str">
            <v>FTP150</v>
          </cell>
          <cell r="E90"/>
        </row>
        <row r="91">
          <cell r="A91" t="str">
            <v>2606QA37</v>
          </cell>
          <cell r="D91" t="str">
            <v>FTW102K</v>
          </cell>
          <cell r="E91"/>
        </row>
        <row r="92">
          <cell r="A92" t="str">
            <v>2605PC47</v>
          </cell>
          <cell r="D92" t="str">
            <v>S805</v>
          </cell>
          <cell r="E92"/>
        </row>
        <row r="93">
          <cell r="A93" t="str">
            <v>2606ZA27</v>
          </cell>
          <cell r="D93" t="str">
            <v>S805</v>
          </cell>
          <cell r="E93"/>
        </row>
        <row r="94">
          <cell r="A94" t="str">
            <v>2606LE57</v>
          </cell>
          <cell r="D94" t="str">
            <v>KBP52</v>
          </cell>
          <cell r="E94"/>
        </row>
        <row r="95">
          <cell r="A95" t="str">
            <v>2607A967</v>
          </cell>
          <cell r="D95" t="str">
            <v>KBP52</v>
          </cell>
          <cell r="E95"/>
        </row>
        <row r="96">
          <cell r="A96" t="str">
            <v>2607AA67</v>
          </cell>
          <cell r="D96" t="str">
            <v>KBP52</v>
          </cell>
          <cell r="E96"/>
        </row>
        <row r="97">
          <cell r="A97" t="str">
            <v>2608K517</v>
          </cell>
          <cell r="D97" t="str">
            <v>KBP52</v>
          </cell>
          <cell r="E97"/>
        </row>
        <row r="98">
          <cell r="A98" t="str">
            <v>2608CM47</v>
          </cell>
          <cell r="D98" t="str">
            <v>KBP52</v>
          </cell>
          <cell r="E98"/>
        </row>
        <row r="99">
          <cell r="A99" t="str">
            <v>2608PP17</v>
          </cell>
          <cell r="D99" t="str">
            <v>KBP74</v>
          </cell>
          <cell r="E99"/>
        </row>
        <row r="100">
          <cell r="A100" t="str">
            <v>2608GL57</v>
          </cell>
          <cell r="D100" t="str">
            <v>KBP52</v>
          </cell>
          <cell r="E100"/>
        </row>
        <row r="101">
          <cell r="A101" t="str">
            <v>2608UI27</v>
          </cell>
          <cell r="D101" t="str">
            <v>TTS80</v>
          </cell>
          <cell r="E101"/>
        </row>
        <row r="102">
          <cell r="A102" t="str">
            <v>2608GC27</v>
          </cell>
          <cell r="D102" t="str">
            <v>KBP52</v>
          </cell>
          <cell r="E102"/>
        </row>
        <row r="103">
          <cell r="A103" t="str">
            <v>2609IP17</v>
          </cell>
          <cell r="D103" t="str">
            <v>KBP52</v>
          </cell>
          <cell r="E103"/>
        </row>
        <row r="104">
          <cell r="A104" t="str">
            <v>2609IZ27</v>
          </cell>
          <cell r="D104" t="str">
            <v>KBP52</v>
          </cell>
          <cell r="E104"/>
        </row>
        <row r="105">
          <cell r="A105" t="str">
            <v>2609J227</v>
          </cell>
          <cell r="D105" t="str">
            <v>KBP52</v>
          </cell>
          <cell r="E105"/>
        </row>
        <row r="106">
          <cell r="A106" t="str">
            <v>2608CV57</v>
          </cell>
          <cell r="D106" t="str">
            <v>KBP40</v>
          </cell>
          <cell r="E106"/>
        </row>
        <row r="107">
          <cell r="A107" t="str">
            <v>2609JW37</v>
          </cell>
          <cell r="D107" t="str">
            <v>KBP52</v>
          </cell>
          <cell r="E107"/>
        </row>
        <row r="108">
          <cell r="A108" t="str">
            <v>2609AD27</v>
          </cell>
          <cell r="D108" t="str">
            <v>KBP74</v>
          </cell>
          <cell r="E108"/>
        </row>
        <row r="109">
          <cell r="A109" t="str">
            <v>2609JX37</v>
          </cell>
          <cell r="D109" t="str">
            <v>KBP52</v>
          </cell>
          <cell r="E109"/>
        </row>
        <row r="110">
          <cell r="A110" t="str">
            <v>2609C447</v>
          </cell>
          <cell r="D110" t="str">
            <v>KBP52</v>
          </cell>
          <cell r="E110"/>
        </row>
        <row r="111">
          <cell r="A111" t="str">
            <v>2609LZ27</v>
          </cell>
          <cell r="D111" t="str">
            <v>S805</v>
          </cell>
          <cell r="E111"/>
        </row>
        <row r="112">
          <cell r="A112" t="str">
            <v>2609GZ57</v>
          </cell>
          <cell r="D112" t="str">
            <v>KBP52</v>
          </cell>
          <cell r="E112"/>
        </row>
        <row r="113">
          <cell r="A113" t="str">
            <v>2609ZE37</v>
          </cell>
          <cell r="D113" t="str">
            <v>KBP76</v>
          </cell>
          <cell r="E113"/>
        </row>
        <row r="114">
          <cell r="A114" t="str">
            <v>2610ZE27</v>
          </cell>
          <cell r="D114" t="str">
            <v>S706</v>
          </cell>
          <cell r="E114"/>
        </row>
        <row r="115">
          <cell r="A115" t="str">
            <v>2610HA17</v>
          </cell>
          <cell r="D115" t="str">
            <v>KBP52</v>
          </cell>
          <cell r="E115"/>
        </row>
        <row r="116">
          <cell r="A116" t="str">
            <v>2610J227</v>
          </cell>
          <cell r="D116" t="str">
            <v>KBP52</v>
          </cell>
          <cell r="E116"/>
        </row>
        <row r="117">
          <cell r="A117" t="str">
            <v>2610ZJ27</v>
          </cell>
          <cell r="D117" t="str">
            <v>KBP74</v>
          </cell>
          <cell r="E117"/>
        </row>
        <row r="118">
          <cell r="A118" t="str">
            <v>2610ZH37</v>
          </cell>
          <cell r="D118" t="str">
            <v>S706</v>
          </cell>
          <cell r="E118"/>
        </row>
        <row r="119">
          <cell r="A119" t="str">
            <v>2610PM37</v>
          </cell>
          <cell r="D119" t="str">
            <v>KBP76</v>
          </cell>
          <cell r="E119"/>
        </row>
        <row r="120">
          <cell r="A120" t="str">
            <v>2610H137</v>
          </cell>
          <cell r="D120" t="str">
            <v>KBP76</v>
          </cell>
          <cell r="E120"/>
        </row>
        <row r="121">
          <cell r="A121" t="str">
            <v>2610DK17</v>
          </cell>
          <cell r="D121" t="str">
            <v>KBP76</v>
          </cell>
          <cell r="E121"/>
        </row>
        <row r="122">
          <cell r="A122" t="str">
            <v>2610EH67</v>
          </cell>
          <cell r="D122" t="str">
            <v>KBP52</v>
          </cell>
          <cell r="E122"/>
        </row>
        <row r="123">
          <cell r="A123" t="str">
            <v>2610L747</v>
          </cell>
          <cell r="D123" t="str">
            <v>KBP86</v>
          </cell>
          <cell r="E123"/>
        </row>
        <row r="124">
          <cell r="A124" t="str">
            <v>2611V157</v>
          </cell>
          <cell r="D124" t="str">
            <v>KBP76</v>
          </cell>
          <cell r="E124"/>
        </row>
        <row r="125">
          <cell r="A125" t="str">
            <v>2611I137</v>
          </cell>
          <cell r="D125" t="str">
            <v>TTS40</v>
          </cell>
          <cell r="E125"/>
        </row>
        <row r="126">
          <cell r="A126" t="str">
            <v>2612OU27</v>
          </cell>
          <cell r="D126" t="str">
            <v>TTS80</v>
          </cell>
          <cell r="E126"/>
        </row>
        <row r="127">
          <cell r="A127" t="str">
            <v>2612JE37</v>
          </cell>
          <cell r="D127" t="str">
            <v>KBP86</v>
          </cell>
          <cell r="E127"/>
        </row>
        <row r="128">
          <cell r="A128" t="str">
            <v>2612ZX57</v>
          </cell>
          <cell r="D128" t="str">
            <v>KBP34</v>
          </cell>
          <cell r="E128"/>
        </row>
        <row r="129">
          <cell r="A129" t="str">
            <v>2612ZY57</v>
          </cell>
          <cell r="D129" t="str">
            <v>KBP34</v>
          </cell>
          <cell r="E129"/>
        </row>
        <row r="130">
          <cell r="A130" t="str">
            <v>2612LP37</v>
          </cell>
          <cell r="D130" t="str">
            <v>TTS40</v>
          </cell>
          <cell r="E130"/>
        </row>
        <row r="131">
          <cell r="A131" t="str">
            <v>2612ZZ57</v>
          </cell>
          <cell r="D131" t="str">
            <v>KBP34</v>
          </cell>
          <cell r="E131"/>
        </row>
        <row r="132">
          <cell r="A132" t="str">
            <v>2612D867</v>
          </cell>
          <cell r="D132" t="str">
            <v>STA156KA</v>
          </cell>
          <cell r="E132"/>
        </row>
        <row r="133">
          <cell r="A133" t="str">
            <v>2613ZJ37</v>
          </cell>
          <cell r="D133" t="str">
            <v>S706</v>
          </cell>
          <cell r="E133"/>
        </row>
        <row r="134">
          <cell r="A134" t="str">
            <v>2613ZH47</v>
          </cell>
          <cell r="D134" t="str">
            <v>S706</v>
          </cell>
          <cell r="E134"/>
        </row>
        <row r="135">
          <cell r="A135" t="str">
            <v>2613HN27</v>
          </cell>
          <cell r="D135" t="str">
            <v>STA156KA</v>
          </cell>
          <cell r="E135"/>
        </row>
        <row r="136">
          <cell r="A136" t="str">
            <v>2613GP67</v>
          </cell>
          <cell r="D136" t="str">
            <v>STA156KA</v>
          </cell>
          <cell r="E136"/>
        </row>
        <row r="137">
          <cell r="A137" t="str">
            <v>2613JA27</v>
          </cell>
          <cell r="D137" t="str">
            <v>KBP86</v>
          </cell>
          <cell r="E137"/>
        </row>
        <row r="138">
          <cell r="A138" t="str">
            <v>2613J627</v>
          </cell>
          <cell r="D138" t="str">
            <v>KBP74</v>
          </cell>
          <cell r="E138"/>
        </row>
        <row r="139">
          <cell r="A139" t="str">
            <v>2613AJ67</v>
          </cell>
          <cell r="D139" t="str">
            <v>KBP86</v>
          </cell>
          <cell r="E139"/>
        </row>
        <row r="140">
          <cell r="A140" t="str">
            <v>2613J527</v>
          </cell>
          <cell r="D140" t="str">
            <v>KBP74</v>
          </cell>
          <cell r="E140"/>
        </row>
        <row r="141">
          <cell r="A141" t="str">
            <v>2613GN67</v>
          </cell>
          <cell r="D141" t="str">
            <v>S706</v>
          </cell>
          <cell r="E141"/>
        </row>
        <row r="142">
          <cell r="A142" t="str">
            <v>2613F247</v>
          </cell>
          <cell r="D142" t="str">
            <v>KBP52</v>
          </cell>
          <cell r="E142"/>
        </row>
        <row r="143">
          <cell r="A143" t="str">
            <v>2614PW17</v>
          </cell>
          <cell r="D143" t="str">
            <v>TTS50</v>
          </cell>
          <cell r="E143"/>
        </row>
        <row r="144">
          <cell r="A144" t="str">
            <v>2614Z237</v>
          </cell>
          <cell r="D144" t="str">
            <v>KBP76</v>
          </cell>
          <cell r="E144"/>
        </row>
        <row r="145">
          <cell r="A145" t="str">
            <v>2614O327</v>
          </cell>
          <cell r="D145" t="str">
            <v>TTS40</v>
          </cell>
          <cell r="E145"/>
        </row>
        <row r="146">
          <cell r="A146" t="str">
            <v>2614O627</v>
          </cell>
          <cell r="D146" t="str">
            <v>TTS40</v>
          </cell>
          <cell r="E146"/>
        </row>
        <row r="147">
          <cell r="A147" t="str">
            <v>2614OQ27</v>
          </cell>
          <cell r="D147" t="str">
            <v>STA156KA</v>
          </cell>
          <cell r="E147"/>
        </row>
        <row r="148">
          <cell r="A148" t="str">
            <v>2613GR67</v>
          </cell>
          <cell r="D148" t="str">
            <v>STA156KA</v>
          </cell>
          <cell r="E148"/>
        </row>
        <row r="149">
          <cell r="A149" t="str">
            <v>2613GW67</v>
          </cell>
          <cell r="D149" t="str">
            <v>STA156KA</v>
          </cell>
          <cell r="E149"/>
        </row>
        <row r="150">
          <cell r="A150" t="str">
            <v>2614QT17</v>
          </cell>
          <cell r="D150" t="str">
            <v>STA156KA</v>
          </cell>
          <cell r="E150"/>
        </row>
        <row r="151">
          <cell r="A151" t="str">
            <v>2614HS37</v>
          </cell>
          <cell r="D151" t="str">
            <v>STA156KA</v>
          </cell>
          <cell r="E151"/>
        </row>
        <row r="152">
          <cell r="A152" t="str">
            <v>2614O427</v>
          </cell>
          <cell r="D152" t="str">
            <v>TTS40</v>
          </cell>
          <cell r="E152"/>
        </row>
        <row r="153">
          <cell r="A153" t="str">
            <v>2614O727</v>
          </cell>
          <cell r="D153" t="str">
            <v>TTS40</v>
          </cell>
          <cell r="E153"/>
        </row>
        <row r="154">
          <cell r="A154" t="str">
            <v>2614OR27</v>
          </cell>
          <cell r="D154" t="str">
            <v>STA156KA</v>
          </cell>
          <cell r="E154"/>
        </row>
        <row r="155">
          <cell r="A155" t="str">
            <v>2614CG57</v>
          </cell>
          <cell r="D155" t="str">
            <v>KBP23</v>
          </cell>
          <cell r="E155"/>
        </row>
        <row r="156">
          <cell r="A156" t="str">
            <v>2614YQ47</v>
          </cell>
          <cell r="D156" t="str">
            <v>S706</v>
          </cell>
          <cell r="E156"/>
        </row>
        <row r="157">
          <cell r="A157" t="str">
            <v>2614Y347</v>
          </cell>
          <cell r="D157" t="str">
            <v>S706</v>
          </cell>
          <cell r="E157"/>
        </row>
        <row r="158">
          <cell r="A158" t="str">
            <v>2614YT47</v>
          </cell>
          <cell r="D158" t="str">
            <v>S706</v>
          </cell>
          <cell r="E158"/>
        </row>
        <row r="159">
          <cell r="A159" t="str">
            <v>2615ZG17</v>
          </cell>
          <cell r="D159" t="str">
            <v>S706</v>
          </cell>
          <cell r="E159"/>
        </row>
        <row r="160">
          <cell r="A160" t="str">
            <v>2615ZK27</v>
          </cell>
          <cell r="D160" t="str">
            <v>S706</v>
          </cell>
          <cell r="E160"/>
        </row>
        <row r="161">
          <cell r="A161" t="str">
            <v>2615ZC27</v>
          </cell>
          <cell r="D161" t="str">
            <v>KBP76</v>
          </cell>
          <cell r="E161"/>
        </row>
        <row r="162">
          <cell r="A162" t="str">
            <v>2615OB17</v>
          </cell>
          <cell r="D162" t="str">
            <v>STA156KA</v>
          </cell>
          <cell r="E162"/>
        </row>
        <row r="163">
          <cell r="A163" t="str">
            <v>2615OC17</v>
          </cell>
          <cell r="D163" t="str">
            <v>STA156KA</v>
          </cell>
          <cell r="E163"/>
        </row>
        <row r="164">
          <cell r="A164" t="str">
            <v>2615ZD27</v>
          </cell>
          <cell r="D164" t="str">
            <v>KBP76</v>
          </cell>
          <cell r="E164"/>
        </row>
        <row r="165">
          <cell r="A165" t="str">
            <v>2615ZF27</v>
          </cell>
          <cell r="D165" t="str">
            <v>S706</v>
          </cell>
          <cell r="E165"/>
        </row>
        <row r="166">
          <cell r="A166" t="str">
            <v>2615ZH27</v>
          </cell>
          <cell r="D166" t="str">
            <v>S706</v>
          </cell>
          <cell r="E166"/>
        </row>
        <row r="167">
          <cell r="A167" t="str">
            <v>2615JC57</v>
          </cell>
          <cell r="D167" t="str">
            <v>STA156KA</v>
          </cell>
          <cell r="E167"/>
        </row>
        <row r="168">
          <cell r="A168" t="str">
            <v>2615S247</v>
          </cell>
          <cell r="D168" t="str">
            <v>KBP76</v>
          </cell>
          <cell r="E168"/>
        </row>
        <row r="169">
          <cell r="A169" t="str">
            <v>2616OA17</v>
          </cell>
          <cell r="D169" t="str">
            <v>KBP76</v>
          </cell>
          <cell r="E169"/>
        </row>
        <row r="170">
          <cell r="A170" t="str">
            <v>2616ZM47</v>
          </cell>
          <cell r="D170" t="str">
            <v>KBP76</v>
          </cell>
          <cell r="E170"/>
        </row>
        <row r="171">
          <cell r="A171" t="str">
            <v>2616AJ27</v>
          </cell>
          <cell r="D171" t="str">
            <v>S805</v>
          </cell>
          <cell r="E171"/>
        </row>
        <row r="172">
          <cell r="A172" t="str">
            <v>2616LI27</v>
          </cell>
          <cell r="D172" t="str">
            <v>KBP76</v>
          </cell>
          <cell r="E172"/>
        </row>
        <row r="173">
          <cell r="A173" t="str">
            <v>2616LG27</v>
          </cell>
          <cell r="D173" t="str">
            <v>KBP76</v>
          </cell>
          <cell r="E173"/>
        </row>
        <row r="174">
          <cell r="A174" t="str">
            <v>2616ZL47</v>
          </cell>
          <cell r="D174" t="str">
            <v>KBP76</v>
          </cell>
          <cell r="E174"/>
        </row>
        <row r="175">
          <cell r="A175" t="str">
            <v>2616G747</v>
          </cell>
          <cell r="D175" t="str">
            <v>KBP52</v>
          </cell>
          <cell r="E175"/>
        </row>
        <row r="176">
          <cell r="A176" t="str">
            <v>2616EW57</v>
          </cell>
          <cell r="D176" t="str">
            <v>TTS40</v>
          </cell>
          <cell r="E176"/>
        </row>
        <row r="177">
          <cell r="A177" t="str">
            <v>2616ZA47</v>
          </cell>
          <cell r="D177" t="str">
            <v>STA156KA</v>
          </cell>
          <cell r="E177"/>
        </row>
        <row r="178">
          <cell r="A178" t="str">
            <v>2616ZK47</v>
          </cell>
          <cell r="D178" t="str">
            <v>KBP76</v>
          </cell>
          <cell r="E178"/>
        </row>
        <row r="179">
          <cell r="A179" t="str">
            <v>2616ZJ47</v>
          </cell>
          <cell r="D179" t="str">
            <v>KBP52</v>
          </cell>
          <cell r="E179"/>
        </row>
        <row r="180">
          <cell r="A180" t="str">
            <v>2616ZE47</v>
          </cell>
          <cell r="D180" t="str">
            <v>STA156KA</v>
          </cell>
          <cell r="E180"/>
        </row>
        <row r="181">
          <cell r="A181" t="str">
            <v>2616ZB47</v>
          </cell>
          <cell r="D181" t="str">
            <v>STA156KA</v>
          </cell>
          <cell r="E181"/>
        </row>
        <row r="182">
          <cell r="A182" t="str">
            <v>2616DT10</v>
          </cell>
          <cell r="D182" t="str">
            <v xml:space="preserve">TTS12KM   </v>
          </cell>
          <cell r="E182"/>
        </row>
        <row r="183">
          <cell r="A183" t="str">
            <v>2617P747</v>
          </cell>
          <cell r="D183" t="str">
            <v>KBP76</v>
          </cell>
          <cell r="E183"/>
        </row>
        <row r="184">
          <cell r="A184" t="str">
            <v>2618A127</v>
          </cell>
          <cell r="D184" t="str">
            <v>S15MB</v>
          </cell>
          <cell r="E184"/>
        </row>
        <row r="185">
          <cell r="A185" t="str">
            <v>2618A227</v>
          </cell>
          <cell r="D185" t="str">
            <v>S15MB</v>
          </cell>
          <cell r="E185"/>
        </row>
        <row r="186">
          <cell r="A186" t="str">
            <v>2618GC27</v>
          </cell>
          <cell r="D186" t="str">
            <v>KBP76</v>
          </cell>
          <cell r="E186"/>
        </row>
        <row r="187">
          <cell r="A187" t="str">
            <v>2618A327</v>
          </cell>
          <cell r="D187" t="str">
            <v>S15MB</v>
          </cell>
          <cell r="E187"/>
        </row>
        <row r="188">
          <cell r="A188" t="str">
            <v>2618AH17</v>
          </cell>
          <cell r="D188" t="str">
            <v>KBP76</v>
          </cell>
          <cell r="E188"/>
        </row>
        <row r="189">
          <cell r="A189" t="str">
            <v>2618QN17</v>
          </cell>
          <cell r="D189" t="str">
            <v>KBP76</v>
          </cell>
          <cell r="E189"/>
        </row>
        <row r="190">
          <cell r="A190" t="str">
            <v>2618ZC37</v>
          </cell>
          <cell r="D190" t="str">
            <v>KBP86</v>
          </cell>
          <cell r="E190"/>
        </row>
        <row r="191">
          <cell r="A191" t="str">
            <v>2618GD27</v>
          </cell>
          <cell r="D191" t="str">
            <v>KBP76</v>
          </cell>
          <cell r="E191"/>
        </row>
        <row r="192">
          <cell r="A192" t="str">
            <v>2618IT47</v>
          </cell>
          <cell r="D192" t="str">
            <v>KBP76</v>
          </cell>
          <cell r="E192"/>
        </row>
        <row r="193">
          <cell r="A193" t="str">
            <v>2618QL17</v>
          </cell>
          <cell r="D193" t="str">
            <v>KBP76</v>
          </cell>
          <cell r="E193"/>
        </row>
        <row r="194">
          <cell r="A194" t="str">
            <v>2618GF27</v>
          </cell>
          <cell r="D194" t="str">
            <v>KBP76</v>
          </cell>
          <cell r="E194"/>
        </row>
        <row r="195">
          <cell r="A195" t="str">
            <v>2618JB57</v>
          </cell>
          <cell r="D195" t="str">
            <v>FTW102K</v>
          </cell>
          <cell r="E195"/>
        </row>
        <row r="196">
          <cell r="A196" t="str">
            <v>2618LS27</v>
          </cell>
          <cell r="D196" t="str">
            <v>KBP76</v>
          </cell>
          <cell r="E196"/>
        </row>
        <row r="197">
          <cell r="A197" t="str">
            <v>2618LT27</v>
          </cell>
          <cell r="D197" t="str">
            <v>KBP76</v>
          </cell>
          <cell r="E197"/>
        </row>
        <row r="198">
          <cell r="A198" t="str">
            <v>2618IR47</v>
          </cell>
          <cell r="D198" t="str">
            <v>KBP76</v>
          </cell>
          <cell r="E198"/>
        </row>
        <row r="199">
          <cell r="A199" t="str">
            <v>2618KJ57</v>
          </cell>
          <cell r="D199" t="str">
            <v>KBP76</v>
          </cell>
          <cell r="E199"/>
        </row>
        <row r="200">
          <cell r="A200" t="str">
            <v>2619DT17</v>
          </cell>
          <cell r="D200" t="str">
            <v>STA156KA</v>
          </cell>
          <cell r="E200"/>
        </row>
        <row r="201">
          <cell r="A201" t="str">
            <v>2619QA17</v>
          </cell>
          <cell r="D201" t="str">
            <v>KBP86</v>
          </cell>
          <cell r="E201"/>
        </row>
        <row r="202">
          <cell r="A202" t="str">
            <v>2618IQ47</v>
          </cell>
          <cell r="D202" t="str">
            <v>KBP76</v>
          </cell>
          <cell r="E202"/>
        </row>
        <row r="203">
          <cell r="A203" t="str">
            <v>2619LE47</v>
          </cell>
          <cell r="D203" t="str">
            <v>KBP76</v>
          </cell>
          <cell r="E203"/>
        </row>
        <row r="204">
          <cell r="A204" t="str">
            <v>2619AE57</v>
          </cell>
          <cell r="D204" t="str">
            <v>FTW102K</v>
          </cell>
          <cell r="E204"/>
        </row>
        <row r="205">
          <cell r="A205" t="str">
            <v>2619LL47</v>
          </cell>
          <cell r="D205" t="str">
            <v>S805</v>
          </cell>
          <cell r="E205"/>
        </row>
        <row r="206">
          <cell r="A206" t="str">
            <v>2619AB57</v>
          </cell>
          <cell r="D206" t="str">
            <v>FTW102K</v>
          </cell>
          <cell r="E206"/>
        </row>
        <row r="207">
          <cell r="A207" t="str">
            <v>2619ZA47</v>
          </cell>
          <cell r="D207" t="str">
            <v>KBP76</v>
          </cell>
          <cell r="E207"/>
        </row>
        <row r="208">
          <cell r="A208" t="str">
            <v>2619LA47</v>
          </cell>
          <cell r="D208" t="str">
            <v>FTW102K</v>
          </cell>
          <cell r="E208"/>
        </row>
        <row r="209">
          <cell r="A209" t="str">
            <v>2619A557</v>
          </cell>
          <cell r="D209" t="str">
            <v>FTW102K</v>
          </cell>
          <cell r="E209"/>
        </row>
        <row r="210">
          <cell r="A210" t="str">
            <v>2620D467</v>
          </cell>
          <cell r="D210" t="str">
            <v>KBP74</v>
          </cell>
          <cell r="E210"/>
        </row>
        <row r="211">
          <cell r="A211" t="str">
            <v>2620ZF57</v>
          </cell>
          <cell r="D211" t="str">
            <v>KBP76</v>
          </cell>
          <cell r="E211"/>
        </row>
        <row r="212">
          <cell r="A212" t="str">
            <v>2620CX67</v>
          </cell>
          <cell r="D212" t="str">
            <v>KBP74</v>
          </cell>
          <cell r="E212"/>
        </row>
        <row r="213">
          <cell r="A213" t="str">
            <v>2620X557</v>
          </cell>
          <cell r="D213" t="str">
            <v>KBP52</v>
          </cell>
          <cell r="E213"/>
        </row>
        <row r="214">
          <cell r="A214" t="str">
            <v>2621ST17</v>
          </cell>
          <cell r="D214" t="str">
            <v>KBP74</v>
          </cell>
          <cell r="E214"/>
        </row>
        <row r="215">
          <cell r="A215" t="str">
            <v>2621SU17</v>
          </cell>
          <cell r="D215" t="str">
            <v>KBP74</v>
          </cell>
          <cell r="E215"/>
        </row>
        <row r="216">
          <cell r="A216" t="str">
            <v>2620D267</v>
          </cell>
          <cell r="D216" t="str">
            <v>KBP74</v>
          </cell>
          <cell r="E216"/>
        </row>
        <row r="217">
          <cell r="A217" t="str">
            <v>2621SW17</v>
          </cell>
          <cell r="D217" t="str">
            <v>KBP74</v>
          </cell>
          <cell r="E217"/>
        </row>
        <row r="218">
          <cell r="A218" t="str">
            <v>2621IO27</v>
          </cell>
          <cell r="D218" t="str">
            <v>KBP52</v>
          </cell>
          <cell r="E218"/>
        </row>
        <row r="219">
          <cell r="A219" t="str">
            <v>2621SS17</v>
          </cell>
          <cell r="D219" t="str">
            <v>KBP74</v>
          </cell>
          <cell r="E219"/>
        </row>
        <row r="220">
          <cell r="A220" t="str">
            <v>2621SV17</v>
          </cell>
          <cell r="D220" t="str">
            <v>KBP74</v>
          </cell>
          <cell r="E220"/>
        </row>
        <row r="221">
          <cell r="A221" t="str">
            <v>2621O837</v>
          </cell>
          <cell r="D221" t="str">
            <v>KBP74</v>
          </cell>
          <cell r="E221"/>
        </row>
        <row r="222">
          <cell r="A222" t="str">
            <v>2621K737</v>
          </cell>
          <cell r="D222" t="str">
            <v>KBP52</v>
          </cell>
          <cell r="E222"/>
        </row>
        <row r="223">
          <cell r="A223" t="str">
            <v>2621KA37</v>
          </cell>
          <cell r="D223" t="str">
            <v>KBP52</v>
          </cell>
          <cell r="E223"/>
        </row>
        <row r="224">
          <cell r="A224" t="str">
            <v>2621LL47</v>
          </cell>
          <cell r="D224" t="str">
            <v>KBP52</v>
          </cell>
          <cell r="E224"/>
        </row>
        <row r="225">
          <cell r="A225" t="str">
            <v>2621LO47</v>
          </cell>
          <cell r="D225" t="str">
            <v>KBP52</v>
          </cell>
          <cell r="E225"/>
        </row>
        <row r="226">
          <cell r="A226" t="str">
            <v>2621QG27</v>
          </cell>
          <cell r="D226" t="str">
            <v>TTS80</v>
          </cell>
          <cell r="E226"/>
        </row>
        <row r="227">
          <cell r="A227" t="str">
            <v>2621LN47</v>
          </cell>
          <cell r="D227" t="str">
            <v>KBP52</v>
          </cell>
          <cell r="E227"/>
        </row>
        <row r="228">
          <cell r="A228" t="str">
            <v>2621OM37</v>
          </cell>
          <cell r="D228" t="str">
            <v>KBP74</v>
          </cell>
          <cell r="E228"/>
        </row>
        <row r="229">
          <cell r="A229" t="str">
            <v>2621OJ47</v>
          </cell>
          <cell r="D229" t="str">
            <v>KBP86</v>
          </cell>
          <cell r="E229"/>
        </row>
        <row r="230">
          <cell r="A230" t="str">
            <v>2621OL37</v>
          </cell>
          <cell r="D230" t="str">
            <v>KBP74</v>
          </cell>
          <cell r="E230"/>
        </row>
        <row r="231">
          <cell r="A231" t="str">
            <v>2621ON37</v>
          </cell>
          <cell r="D231" t="str">
            <v>KBP74</v>
          </cell>
          <cell r="E231"/>
        </row>
        <row r="232">
          <cell r="A232" t="str">
            <v>2621P347</v>
          </cell>
          <cell r="D232" t="str">
            <v>KBP52</v>
          </cell>
          <cell r="E232"/>
        </row>
        <row r="233">
          <cell r="A233" t="str">
            <v>2621OO37</v>
          </cell>
          <cell r="D233" t="str">
            <v>KBP74</v>
          </cell>
          <cell r="E233"/>
        </row>
        <row r="234">
          <cell r="A234" t="str">
            <v>2621P547</v>
          </cell>
          <cell r="D234" t="str">
            <v>KBP86</v>
          </cell>
          <cell r="E234"/>
        </row>
        <row r="235">
          <cell r="A235" t="str">
            <v>2621OK37</v>
          </cell>
          <cell r="D235" t="str">
            <v>KBP74</v>
          </cell>
          <cell r="E235"/>
        </row>
        <row r="236">
          <cell r="A236" t="str">
            <v>2621EQ50</v>
          </cell>
          <cell r="D236" t="str">
            <v xml:space="preserve">S706      </v>
          </cell>
          <cell r="E236"/>
        </row>
        <row r="237">
          <cell r="A237" t="str">
            <v>2621ER90</v>
          </cell>
          <cell r="D237" t="str">
            <v xml:space="preserve">S706      </v>
          </cell>
          <cell r="E237"/>
        </row>
        <row r="238">
          <cell r="A238" t="str">
            <v>2621ES10</v>
          </cell>
          <cell r="D238" t="str">
            <v xml:space="preserve">S706      </v>
          </cell>
          <cell r="E238"/>
        </row>
        <row r="239">
          <cell r="A239" t="str">
            <v>2621F957</v>
          </cell>
          <cell r="D239" t="str">
            <v>TTS80</v>
          </cell>
          <cell r="E239"/>
        </row>
        <row r="240">
          <cell r="A240" t="str">
            <v>2621UB57</v>
          </cell>
          <cell r="D240" t="str">
            <v>KBP76</v>
          </cell>
          <cell r="E240"/>
        </row>
        <row r="241">
          <cell r="A241" t="str">
            <v>2621DD67</v>
          </cell>
          <cell r="D241" t="str">
            <v>KBP52</v>
          </cell>
          <cell r="E241"/>
        </row>
        <row r="242">
          <cell r="A242" t="str">
            <v>2622PA17</v>
          </cell>
          <cell r="D242" t="str">
            <v>KBP86</v>
          </cell>
          <cell r="E242"/>
        </row>
        <row r="243">
          <cell r="A243" t="str">
            <v>2622GZ27</v>
          </cell>
          <cell r="D243" t="str">
            <v>KBP52</v>
          </cell>
          <cell r="E243"/>
        </row>
        <row r="244">
          <cell r="A244" t="str">
            <v>2622OI37</v>
          </cell>
          <cell r="D244" t="str">
            <v>KBP86</v>
          </cell>
          <cell r="E244"/>
        </row>
        <row r="245">
          <cell r="A245" t="str">
            <v>2622LQ27</v>
          </cell>
          <cell r="D245" t="str">
            <v>KBP86</v>
          </cell>
          <cell r="E245"/>
        </row>
        <row r="246">
          <cell r="A246" t="str">
            <v>2622U947</v>
          </cell>
          <cell r="D246" t="str">
            <v>KBP86</v>
          </cell>
          <cell r="E246"/>
        </row>
        <row r="247">
          <cell r="A247" t="str">
            <v>2622Q327</v>
          </cell>
          <cell r="D247" t="str">
            <v>TTS175</v>
          </cell>
          <cell r="E247"/>
        </row>
        <row r="248">
          <cell r="A248" t="str">
            <v>2622OC37</v>
          </cell>
          <cell r="D248" t="str">
            <v>KBP86</v>
          </cell>
          <cell r="E248"/>
        </row>
        <row r="249">
          <cell r="A249" t="str">
            <v>2622HT27</v>
          </cell>
          <cell r="D249" t="str">
            <v>KBP86</v>
          </cell>
          <cell r="E249"/>
        </row>
        <row r="250">
          <cell r="A250" t="str">
            <v>2622ZB27</v>
          </cell>
          <cell r="D250" t="str">
            <v>KBP86</v>
          </cell>
          <cell r="E250"/>
        </row>
        <row r="251">
          <cell r="A251" t="str">
            <v>2622ZS37</v>
          </cell>
          <cell r="D251" t="str">
            <v>S805</v>
          </cell>
          <cell r="E251"/>
        </row>
        <row r="252">
          <cell r="A252" t="str">
            <v>2622EV90</v>
          </cell>
          <cell r="D252" t="str">
            <v xml:space="preserve">S706      </v>
          </cell>
          <cell r="E252"/>
        </row>
        <row r="253">
          <cell r="A253" t="str">
            <v>2622EV80</v>
          </cell>
          <cell r="D253" t="str">
            <v xml:space="preserve">S706      </v>
          </cell>
          <cell r="E253"/>
        </row>
        <row r="254">
          <cell r="A254" t="str">
            <v>2622A867</v>
          </cell>
          <cell r="D254" t="str">
            <v>KBP86</v>
          </cell>
          <cell r="E254"/>
        </row>
        <row r="255">
          <cell r="A255" t="str">
            <v>2622AE67</v>
          </cell>
          <cell r="D255" t="str">
            <v>KBP86</v>
          </cell>
          <cell r="E255"/>
        </row>
        <row r="256">
          <cell r="A256" t="str">
            <v>2622EW10</v>
          </cell>
          <cell r="D256" t="str">
            <v xml:space="preserve">S706      </v>
          </cell>
          <cell r="E256"/>
        </row>
        <row r="257">
          <cell r="A257" t="str">
            <v>2622EW20</v>
          </cell>
          <cell r="D257" t="str">
            <v xml:space="preserve">S706      </v>
          </cell>
          <cell r="E257"/>
        </row>
        <row r="258">
          <cell r="A258" t="str">
            <v>2622OH57</v>
          </cell>
          <cell r="D258" t="str">
            <v>KBP76</v>
          </cell>
          <cell r="E258"/>
        </row>
        <row r="259">
          <cell r="A259" t="str">
            <v>2622BI67</v>
          </cell>
          <cell r="D259" t="str">
            <v>KBP86</v>
          </cell>
          <cell r="E259"/>
        </row>
        <row r="260">
          <cell r="A260" t="str">
            <v>2622BK67</v>
          </cell>
          <cell r="D260" t="str">
            <v>KBP86</v>
          </cell>
          <cell r="E260"/>
        </row>
        <row r="261">
          <cell r="A261" t="str">
            <v>2622L547</v>
          </cell>
          <cell r="D261" t="str">
            <v>KBP76</v>
          </cell>
          <cell r="E261"/>
        </row>
        <row r="262">
          <cell r="A262" t="str">
            <v>2622BQ67</v>
          </cell>
          <cell r="D262" t="str">
            <v>KBP86</v>
          </cell>
          <cell r="E262"/>
        </row>
        <row r="263">
          <cell r="A263" t="str">
            <v>2622A667</v>
          </cell>
          <cell r="D263" t="str">
            <v>KBP86</v>
          </cell>
          <cell r="E263"/>
        </row>
        <row r="264">
          <cell r="A264" t="str">
            <v>2622AF67</v>
          </cell>
          <cell r="D264" t="str">
            <v>KBP86</v>
          </cell>
          <cell r="E264"/>
        </row>
        <row r="265">
          <cell r="A265" t="str">
            <v>2622EW40</v>
          </cell>
          <cell r="D265" t="str">
            <v xml:space="preserve">S706      </v>
          </cell>
          <cell r="E265"/>
        </row>
        <row r="266">
          <cell r="A266" t="str">
            <v>2622EW30</v>
          </cell>
          <cell r="D266" t="str">
            <v xml:space="preserve">S706      </v>
          </cell>
          <cell r="E266"/>
        </row>
        <row r="267">
          <cell r="A267" t="str">
            <v>2622U457</v>
          </cell>
          <cell r="D267" t="str">
            <v>KBP86</v>
          </cell>
          <cell r="E267"/>
        </row>
        <row r="268">
          <cell r="A268" t="str">
            <v>2622BN67</v>
          </cell>
          <cell r="D268" t="str">
            <v>KBP86</v>
          </cell>
          <cell r="E268"/>
        </row>
        <row r="269">
          <cell r="A269" t="str">
            <v>2623H727</v>
          </cell>
          <cell r="D269" t="str">
            <v>KBP86</v>
          </cell>
          <cell r="E269"/>
        </row>
        <row r="270">
          <cell r="A270" t="str">
            <v>2623HC27</v>
          </cell>
          <cell r="D270" t="str">
            <v>KBP86</v>
          </cell>
          <cell r="E270"/>
        </row>
        <row r="271">
          <cell r="A271" t="str">
            <v>2623DG27</v>
          </cell>
          <cell r="D271" t="str">
            <v>KBP76</v>
          </cell>
          <cell r="E271"/>
        </row>
        <row r="272">
          <cell r="A272" t="str">
            <v>2623HD27</v>
          </cell>
          <cell r="D272" t="str">
            <v>KBP86</v>
          </cell>
          <cell r="E272"/>
        </row>
        <row r="273">
          <cell r="A273" t="str">
            <v>2623P137</v>
          </cell>
          <cell r="D273" t="str">
            <v>KBP86</v>
          </cell>
          <cell r="E273"/>
        </row>
        <row r="274">
          <cell r="A274" t="str">
            <v>2623P237</v>
          </cell>
          <cell r="D274" t="str">
            <v>KBP86</v>
          </cell>
          <cell r="E274"/>
        </row>
        <row r="275">
          <cell r="A275" t="str">
            <v>2623LW37</v>
          </cell>
          <cell r="D275" t="str">
            <v>KBP86</v>
          </cell>
          <cell r="E275"/>
        </row>
        <row r="276">
          <cell r="A276" t="str">
            <v>2623EY47</v>
          </cell>
          <cell r="D276" t="str">
            <v>KBP76</v>
          </cell>
          <cell r="E276"/>
        </row>
        <row r="277">
          <cell r="A277" t="str">
            <v>2623CS27</v>
          </cell>
          <cell r="D277" t="str">
            <v>KBP76</v>
          </cell>
          <cell r="E277"/>
        </row>
        <row r="278">
          <cell r="A278" t="str">
            <v>2623F837</v>
          </cell>
          <cell r="D278" t="str">
            <v>KBP86</v>
          </cell>
          <cell r="E278"/>
        </row>
        <row r="279">
          <cell r="A279" t="str">
            <v>2623ZA57</v>
          </cell>
          <cell r="D279" t="str">
            <v>S706</v>
          </cell>
          <cell r="E279"/>
        </row>
        <row r="280">
          <cell r="A280" t="str">
            <v>2623BD67</v>
          </cell>
          <cell r="D280" t="str">
            <v>KBP86</v>
          </cell>
          <cell r="E280"/>
        </row>
        <row r="281">
          <cell r="A281" t="str">
            <v>2623J767</v>
          </cell>
          <cell r="D281" t="str">
            <v>KBP76</v>
          </cell>
          <cell r="E281"/>
        </row>
        <row r="282">
          <cell r="A282" t="str">
            <v>2623GI67</v>
          </cell>
          <cell r="D282" t="str">
            <v>KBP86</v>
          </cell>
          <cell r="E282"/>
        </row>
        <row r="283">
          <cell r="A283" t="str">
            <v>2623CS67</v>
          </cell>
          <cell r="D283" t="str">
            <v>KBP76</v>
          </cell>
          <cell r="E283"/>
        </row>
        <row r="284">
          <cell r="A284" t="str">
            <v>2623CQ67</v>
          </cell>
          <cell r="D284" t="str">
            <v>KBP86</v>
          </cell>
          <cell r="E284"/>
        </row>
        <row r="285">
          <cell r="A285" t="str">
            <v>2623CT67</v>
          </cell>
          <cell r="D285" t="str">
            <v>KBP76</v>
          </cell>
          <cell r="E285"/>
        </row>
        <row r="286">
          <cell r="A286" t="str">
            <v>2623G367</v>
          </cell>
          <cell r="D286" t="str">
            <v>KBP86</v>
          </cell>
          <cell r="E286"/>
        </row>
        <row r="287">
          <cell r="A287" t="str">
            <v>2624K627</v>
          </cell>
          <cell r="D287" t="str">
            <v>KBP86</v>
          </cell>
          <cell r="E287"/>
        </row>
        <row r="288">
          <cell r="A288" t="str">
            <v>2623FY67</v>
          </cell>
          <cell r="D288" t="str">
            <v>KBP86</v>
          </cell>
          <cell r="E288"/>
        </row>
        <row r="289">
          <cell r="A289" t="str">
            <v>2623BG67</v>
          </cell>
          <cell r="D289" t="str">
            <v>KBP86</v>
          </cell>
          <cell r="E289"/>
        </row>
        <row r="290">
          <cell r="A290" t="str">
            <v>2624HA27</v>
          </cell>
          <cell r="D290" t="str">
            <v>KBP76</v>
          </cell>
          <cell r="E290"/>
        </row>
        <row r="291">
          <cell r="A291" t="str">
            <v>2624ZB37</v>
          </cell>
          <cell r="D291" t="str">
            <v>KBP76</v>
          </cell>
          <cell r="E291"/>
        </row>
        <row r="292">
          <cell r="A292" t="str">
            <v>2623BE67</v>
          </cell>
          <cell r="D292" t="str">
            <v>KBP86</v>
          </cell>
          <cell r="E292"/>
        </row>
        <row r="293">
          <cell r="A293" t="str">
            <v>2624OF37</v>
          </cell>
          <cell r="D293" t="str">
            <v>KBP86</v>
          </cell>
          <cell r="E293"/>
        </row>
        <row r="294">
          <cell r="A294" t="str">
            <v>2624C617</v>
          </cell>
          <cell r="D294" t="str">
            <v>STA156KA</v>
          </cell>
          <cell r="E294"/>
        </row>
        <row r="295">
          <cell r="A295" t="str">
            <v>2624KU37</v>
          </cell>
          <cell r="D295" t="str">
            <v>KBP86</v>
          </cell>
          <cell r="E295"/>
        </row>
        <row r="296">
          <cell r="A296" t="str">
            <v>2624O747</v>
          </cell>
          <cell r="D296" t="str">
            <v>KBP86</v>
          </cell>
          <cell r="E296"/>
        </row>
        <row r="297">
          <cell r="A297" t="str">
            <v>2624K747</v>
          </cell>
          <cell r="D297" t="str">
            <v>KBP52</v>
          </cell>
          <cell r="E297"/>
        </row>
        <row r="298">
          <cell r="A298" t="str">
            <v>2624CB37</v>
          </cell>
          <cell r="D298" t="str">
            <v>STA156KA</v>
          </cell>
          <cell r="E298"/>
        </row>
        <row r="299">
          <cell r="A299" t="str">
            <v>2624A557</v>
          </cell>
          <cell r="D299" t="str">
            <v>KBP52</v>
          </cell>
          <cell r="E299"/>
        </row>
        <row r="300">
          <cell r="A300" t="str">
            <v>2624OG37</v>
          </cell>
          <cell r="D300" t="str">
            <v>KBP86</v>
          </cell>
          <cell r="E300"/>
        </row>
        <row r="301">
          <cell r="A301" t="str">
            <v>2623GA67</v>
          </cell>
          <cell r="D301" t="str">
            <v>KBP86</v>
          </cell>
          <cell r="E301"/>
        </row>
        <row r="302">
          <cell r="A302" t="str">
            <v>2624ZD47</v>
          </cell>
          <cell r="D302" t="str">
            <v>KBP76</v>
          </cell>
          <cell r="E302"/>
        </row>
        <row r="303">
          <cell r="A303" t="str">
            <v>2624CW67</v>
          </cell>
          <cell r="D303" t="str">
            <v>KBP86</v>
          </cell>
          <cell r="E303"/>
        </row>
        <row r="304">
          <cell r="A304" t="str">
            <v>2624CG37</v>
          </cell>
          <cell r="D304" t="str">
            <v>STA156KA</v>
          </cell>
          <cell r="E304"/>
        </row>
        <row r="305">
          <cell r="A305" t="str">
            <v>2624DQ47</v>
          </cell>
          <cell r="D305" t="str">
            <v>STA156KA</v>
          </cell>
          <cell r="E305"/>
        </row>
        <row r="306">
          <cell r="A306" t="str">
            <v>2624HP57</v>
          </cell>
          <cell r="D306" t="str">
            <v>KBP52</v>
          </cell>
          <cell r="E306"/>
        </row>
        <row r="307">
          <cell r="A307" t="str">
            <v>2624FS17</v>
          </cell>
          <cell r="D307" t="str">
            <v>KBP86</v>
          </cell>
          <cell r="E307"/>
        </row>
        <row r="308">
          <cell r="A308" t="str">
            <v>2624CV67</v>
          </cell>
          <cell r="D308" t="str">
            <v>KBP86</v>
          </cell>
          <cell r="E308"/>
        </row>
        <row r="309">
          <cell r="A309" t="str">
            <v>2624DW67</v>
          </cell>
          <cell r="D309" t="str">
            <v>KBP86</v>
          </cell>
          <cell r="E309"/>
        </row>
        <row r="310">
          <cell r="A310" t="str">
            <v>2624Z937</v>
          </cell>
          <cell r="D310" t="str">
            <v>S706</v>
          </cell>
          <cell r="E310"/>
        </row>
        <row r="311">
          <cell r="A311" t="str">
            <v>2624Y137</v>
          </cell>
          <cell r="D311" t="str">
            <v>S706</v>
          </cell>
          <cell r="E311"/>
        </row>
        <row r="312">
          <cell r="A312" t="str">
            <v>2624AK57</v>
          </cell>
          <cell r="D312" t="str">
            <v>STA156KA</v>
          </cell>
          <cell r="E312"/>
        </row>
        <row r="313">
          <cell r="A313" t="str">
            <v>2624H767</v>
          </cell>
          <cell r="D313" t="str">
            <v>KBP55</v>
          </cell>
          <cell r="E313"/>
        </row>
        <row r="314">
          <cell r="A314" t="str">
            <v>2624YL57</v>
          </cell>
          <cell r="D314" t="str">
            <v>KBP52</v>
          </cell>
          <cell r="E314"/>
        </row>
        <row r="315">
          <cell r="A315" t="str">
            <v>2624OF47</v>
          </cell>
          <cell r="D315" t="str">
            <v>KBP86</v>
          </cell>
          <cell r="E315"/>
        </row>
        <row r="316">
          <cell r="A316" t="str">
            <v>2624KP57</v>
          </cell>
          <cell r="D316" t="str">
            <v>KBP86</v>
          </cell>
          <cell r="E316"/>
        </row>
        <row r="317">
          <cell r="A317" t="str">
            <v>2624YP57</v>
          </cell>
          <cell r="D317" t="str">
            <v>KBP52</v>
          </cell>
          <cell r="E317"/>
        </row>
        <row r="318">
          <cell r="A318" t="str">
            <v>2624OE47</v>
          </cell>
          <cell r="D318" t="str">
            <v>KBP86</v>
          </cell>
          <cell r="E318"/>
        </row>
        <row r="319">
          <cell r="A319" t="str">
            <v>2624HJ67</v>
          </cell>
          <cell r="D319" t="str">
            <v>FTP200</v>
          </cell>
          <cell r="E319"/>
        </row>
        <row r="320">
          <cell r="A320" t="str">
            <v>2624YO57</v>
          </cell>
          <cell r="D320" t="str">
            <v>KBP52</v>
          </cell>
          <cell r="E320"/>
        </row>
        <row r="321">
          <cell r="A321" t="str">
            <v>2624D867</v>
          </cell>
          <cell r="D321" t="str">
            <v>KBP86</v>
          </cell>
          <cell r="E321"/>
        </row>
        <row r="322">
          <cell r="A322" t="str">
            <v>2624FE10</v>
          </cell>
          <cell r="D322" t="str">
            <v xml:space="preserve">TTS125    </v>
          </cell>
          <cell r="E322"/>
        </row>
        <row r="323">
          <cell r="A323" t="str">
            <v>2624S437</v>
          </cell>
          <cell r="D323" t="str">
            <v>KBP55</v>
          </cell>
          <cell r="E323"/>
        </row>
        <row r="324">
          <cell r="A324" t="str">
            <v>2624FC70</v>
          </cell>
          <cell r="D324" t="str">
            <v xml:space="preserve">STA200KA  </v>
          </cell>
          <cell r="E324"/>
        </row>
        <row r="325">
          <cell r="A325" t="str">
            <v>2625IR17</v>
          </cell>
          <cell r="D325" t="str">
            <v>KBP86</v>
          </cell>
          <cell r="E325"/>
        </row>
        <row r="326">
          <cell r="A326" t="str">
            <v>2624Y237</v>
          </cell>
          <cell r="D326" t="str">
            <v>S706</v>
          </cell>
          <cell r="E326"/>
        </row>
        <row r="327">
          <cell r="A327" t="str">
            <v>2624Y337</v>
          </cell>
          <cell r="D327" t="str">
            <v>S706</v>
          </cell>
          <cell r="E327"/>
        </row>
        <row r="328">
          <cell r="A328" t="str">
            <v>2624AO57</v>
          </cell>
          <cell r="D328" t="str">
            <v>STA156KA</v>
          </cell>
          <cell r="E328"/>
        </row>
        <row r="329">
          <cell r="A329" t="str">
            <v>2624AP57</v>
          </cell>
          <cell r="D329" t="str">
            <v>STA156KA</v>
          </cell>
          <cell r="E329"/>
        </row>
        <row r="330">
          <cell r="A330" t="str">
            <v>2625QS17</v>
          </cell>
          <cell r="D330" t="str">
            <v>TTS80</v>
          </cell>
          <cell r="E330"/>
        </row>
        <row r="331">
          <cell r="A331" t="str">
            <v>2624YN57</v>
          </cell>
          <cell r="D331" t="str">
            <v>KBP52</v>
          </cell>
          <cell r="E331"/>
        </row>
        <row r="332">
          <cell r="A332" t="str">
            <v>2625QZ27</v>
          </cell>
          <cell r="D332" t="str">
            <v>KBP52</v>
          </cell>
          <cell r="E332"/>
        </row>
        <row r="333">
          <cell r="A333" t="str">
            <v>2625S127</v>
          </cell>
          <cell r="D333" t="str">
            <v>KBP52</v>
          </cell>
          <cell r="E333"/>
        </row>
        <row r="334">
          <cell r="A334" t="str">
            <v>2625S227</v>
          </cell>
          <cell r="D334" t="str">
            <v>KBP52</v>
          </cell>
          <cell r="E334"/>
        </row>
        <row r="335">
          <cell r="A335" t="str">
            <v>2625S327</v>
          </cell>
          <cell r="D335" t="str">
            <v>KBP52</v>
          </cell>
          <cell r="E335"/>
        </row>
        <row r="336">
          <cell r="A336" t="str">
            <v>2624L237</v>
          </cell>
          <cell r="D336" t="str">
            <v>KBP86</v>
          </cell>
          <cell r="E336"/>
        </row>
        <row r="337">
          <cell r="A337" t="str">
            <v>2624DT67</v>
          </cell>
          <cell r="D337" t="str">
            <v>KBP86</v>
          </cell>
          <cell r="E337"/>
        </row>
        <row r="338">
          <cell r="A338" t="str">
            <v>2624D467</v>
          </cell>
          <cell r="D338" t="str">
            <v>KBP86</v>
          </cell>
          <cell r="E338"/>
        </row>
        <row r="339">
          <cell r="A339" t="str">
            <v>2624DF67</v>
          </cell>
          <cell r="D339" t="str">
            <v>KBP86</v>
          </cell>
          <cell r="E339"/>
        </row>
        <row r="340">
          <cell r="A340" t="str">
            <v>2624DL67</v>
          </cell>
          <cell r="D340" t="str">
            <v>KBP86</v>
          </cell>
          <cell r="E340"/>
        </row>
        <row r="341">
          <cell r="A341" t="str">
            <v>2624ZH47</v>
          </cell>
          <cell r="D341" t="str">
            <v>TTS80</v>
          </cell>
          <cell r="E341"/>
        </row>
        <row r="342">
          <cell r="A342" t="str">
            <v>2625FZ27</v>
          </cell>
          <cell r="D342" t="str">
            <v>KBP76</v>
          </cell>
          <cell r="E342"/>
        </row>
        <row r="343">
          <cell r="A343" t="str">
            <v>2625LJ47</v>
          </cell>
          <cell r="D343" t="str">
            <v>KBP74</v>
          </cell>
          <cell r="E343"/>
        </row>
        <row r="344">
          <cell r="A344" t="str">
            <v>2624DN67</v>
          </cell>
          <cell r="D344" t="str">
            <v>KBP86</v>
          </cell>
          <cell r="E344"/>
        </row>
        <row r="345">
          <cell r="A345" t="str">
            <v>2624EA67</v>
          </cell>
          <cell r="D345" t="str">
            <v>KBP86</v>
          </cell>
          <cell r="E345"/>
        </row>
        <row r="346">
          <cell r="A346" t="str">
            <v>2625LO17</v>
          </cell>
          <cell r="D346" t="str">
            <v>KBP86</v>
          </cell>
          <cell r="E346"/>
        </row>
        <row r="347">
          <cell r="A347" t="str">
            <v>2625P627</v>
          </cell>
          <cell r="D347" t="str">
            <v>KBP86</v>
          </cell>
          <cell r="E347"/>
        </row>
        <row r="348">
          <cell r="A348" t="str">
            <v>2625LU17</v>
          </cell>
          <cell r="D348" t="str">
            <v>KBP86</v>
          </cell>
          <cell r="E348"/>
        </row>
        <row r="349">
          <cell r="A349" t="str">
            <v>2624LI47</v>
          </cell>
          <cell r="D349" t="str">
            <v>KBP126</v>
          </cell>
          <cell r="E349"/>
        </row>
        <row r="350">
          <cell r="A350" t="str">
            <v>2624IS57</v>
          </cell>
          <cell r="D350" t="str">
            <v>KBP126</v>
          </cell>
          <cell r="E350"/>
        </row>
        <row r="351">
          <cell r="A351" t="str">
            <v>2624IV57</v>
          </cell>
          <cell r="D351" t="str">
            <v>KBP126</v>
          </cell>
          <cell r="E351"/>
        </row>
        <row r="352">
          <cell r="A352" t="str">
            <v>2624IW57</v>
          </cell>
          <cell r="D352" t="str">
            <v>KBP126</v>
          </cell>
          <cell r="E352"/>
        </row>
        <row r="353">
          <cell r="A353" t="str">
            <v>2624CD67</v>
          </cell>
          <cell r="D353" t="str">
            <v>KBP126</v>
          </cell>
          <cell r="E353"/>
        </row>
        <row r="354">
          <cell r="A354" t="str">
            <v>2625O827</v>
          </cell>
          <cell r="D354" t="str">
            <v>KBP126</v>
          </cell>
          <cell r="E354"/>
        </row>
        <row r="355">
          <cell r="A355" t="str">
            <v>2624DG67</v>
          </cell>
          <cell r="D355" t="str">
            <v>KBP86</v>
          </cell>
          <cell r="E355"/>
        </row>
        <row r="356">
          <cell r="A356" t="str">
            <v>2625LY17</v>
          </cell>
          <cell r="D356" t="str">
            <v>KBP86</v>
          </cell>
          <cell r="E356"/>
        </row>
        <row r="357">
          <cell r="A357" t="str">
            <v>2625O717</v>
          </cell>
          <cell r="D357" t="str">
            <v>KBP86</v>
          </cell>
          <cell r="E357"/>
        </row>
        <row r="358">
          <cell r="A358" t="str">
            <v>2625JU37</v>
          </cell>
          <cell r="D358" t="str">
            <v>KBP86</v>
          </cell>
          <cell r="E358"/>
        </row>
        <row r="359">
          <cell r="A359" t="str">
            <v>2625JX37</v>
          </cell>
          <cell r="D359" t="str">
            <v>KBP86</v>
          </cell>
          <cell r="E359"/>
        </row>
        <row r="360">
          <cell r="A360" t="str">
            <v>2625JN47</v>
          </cell>
          <cell r="D360" t="str">
            <v>KBP86</v>
          </cell>
          <cell r="E360"/>
        </row>
        <row r="361">
          <cell r="A361" t="str">
            <v>2625JO47</v>
          </cell>
          <cell r="D361" t="str">
            <v>KBP86</v>
          </cell>
          <cell r="E361"/>
        </row>
        <row r="362">
          <cell r="A362" t="str">
            <v>2625JR47</v>
          </cell>
          <cell r="D362" t="str">
            <v>KBP86</v>
          </cell>
          <cell r="E362"/>
        </row>
        <row r="363">
          <cell r="A363" t="str">
            <v>2625P117</v>
          </cell>
          <cell r="D363" t="str">
            <v>S706</v>
          </cell>
          <cell r="E363"/>
        </row>
        <row r="364">
          <cell r="A364" t="str">
            <v>2625LG47</v>
          </cell>
          <cell r="D364" t="str">
            <v>KBP74</v>
          </cell>
          <cell r="E364"/>
        </row>
        <row r="365">
          <cell r="A365" t="str">
            <v>2624IX57</v>
          </cell>
          <cell r="D365" t="str">
            <v>KBP126</v>
          </cell>
          <cell r="E365"/>
        </row>
        <row r="366">
          <cell r="A366" t="str">
            <v>2624E567</v>
          </cell>
          <cell r="D366" t="str">
            <v>KBP86</v>
          </cell>
          <cell r="E366"/>
        </row>
        <row r="367">
          <cell r="A367" t="str">
            <v>2625JW37</v>
          </cell>
          <cell r="D367" t="str">
            <v>KBP86</v>
          </cell>
          <cell r="E367"/>
        </row>
        <row r="368">
          <cell r="A368" t="str">
            <v>2625LN47</v>
          </cell>
          <cell r="D368" t="str">
            <v>KBP74</v>
          </cell>
          <cell r="E368"/>
        </row>
        <row r="369">
          <cell r="A369" t="str">
            <v>2624XU57</v>
          </cell>
          <cell r="D369" t="str">
            <v>KBP126</v>
          </cell>
          <cell r="E369"/>
        </row>
        <row r="370">
          <cell r="A370" t="str">
            <v>2624CE67</v>
          </cell>
          <cell r="D370" t="str">
            <v>KBP126</v>
          </cell>
          <cell r="E370"/>
        </row>
        <row r="371">
          <cell r="A371" t="str">
            <v>2625IB37</v>
          </cell>
          <cell r="D371" t="str">
            <v>KBP76</v>
          </cell>
          <cell r="E371"/>
        </row>
        <row r="372">
          <cell r="A372" t="str">
            <v>2624CP67</v>
          </cell>
          <cell r="D372" t="str">
            <v>KBP86</v>
          </cell>
          <cell r="E372"/>
        </row>
        <row r="373">
          <cell r="A373" t="str">
            <v>2624CX67</v>
          </cell>
          <cell r="D373" t="str">
            <v>KBP86</v>
          </cell>
          <cell r="E373"/>
        </row>
        <row r="374">
          <cell r="A374" t="str">
            <v>2625O517</v>
          </cell>
          <cell r="D374" t="str">
            <v>KBP86</v>
          </cell>
          <cell r="E374"/>
        </row>
        <row r="375">
          <cell r="A375" t="str">
            <v>2624CC67</v>
          </cell>
          <cell r="D375" t="str">
            <v>KBP126</v>
          </cell>
          <cell r="E375"/>
        </row>
        <row r="376">
          <cell r="A376" t="str">
            <v>2625L917</v>
          </cell>
          <cell r="D376" t="str">
            <v>KBP126</v>
          </cell>
          <cell r="E376"/>
        </row>
        <row r="377">
          <cell r="A377" t="str">
            <v>2625JE37</v>
          </cell>
          <cell r="D377" t="str">
            <v>KBP126</v>
          </cell>
          <cell r="E377"/>
        </row>
        <row r="378">
          <cell r="A378" t="str">
            <v>2624DS67</v>
          </cell>
          <cell r="D378" t="str">
            <v>KBP86</v>
          </cell>
          <cell r="E378"/>
        </row>
        <row r="379">
          <cell r="A379" t="str">
            <v>2624E867</v>
          </cell>
          <cell r="D379" t="str">
            <v>KBP86</v>
          </cell>
          <cell r="E379"/>
        </row>
        <row r="380">
          <cell r="A380" t="str">
            <v>2625LP17</v>
          </cell>
          <cell r="D380" t="str">
            <v>KBP86</v>
          </cell>
          <cell r="E380"/>
        </row>
        <row r="381">
          <cell r="A381" t="str">
            <v>2625O617</v>
          </cell>
          <cell r="D381" t="str">
            <v>KBP86</v>
          </cell>
          <cell r="E381"/>
        </row>
        <row r="382">
          <cell r="A382" t="str">
            <v>2625PB27</v>
          </cell>
          <cell r="D382" t="str">
            <v>KBP86</v>
          </cell>
          <cell r="E382"/>
        </row>
        <row r="383">
          <cell r="A383" t="str">
            <v>2624ZE47</v>
          </cell>
          <cell r="D383" t="str">
            <v>TTS80</v>
          </cell>
          <cell r="E383"/>
        </row>
        <row r="384">
          <cell r="A384" t="str">
            <v>2624ZF47</v>
          </cell>
          <cell r="D384" t="str">
            <v>TTS80</v>
          </cell>
          <cell r="E384"/>
        </row>
        <row r="385">
          <cell r="A385" t="str">
            <v>2624ZU57</v>
          </cell>
          <cell r="D385" t="str">
            <v>TTS80</v>
          </cell>
          <cell r="E385"/>
        </row>
        <row r="386">
          <cell r="A386" t="str">
            <v>2625AV67</v>
          </cell>
          <cell r="D386" t="str">
            <v>KBP126</v>
          </cell>
          <cell r="E386"/>
        </row>
        <row r="387">
          <cell r="A387" t="str">
            <v>2625L417</v>
          </cell>
          <cell r="D387" t="str">
            <v>KBP126</v>
          </cell>
          <cell r="E387"/>
        </row>
        <row r="388">
          <cell r="A388" t="str">
            <v>2625L817</v>
          </cell>
          <cell r="D388" t="str">
            <v>KBP126</v>
          </cell>
          <cell r="E388"/>
        </row>
        <row r="389">
          <cell r="A389" t="str">
            <v>2625J347</v>
          </cell>
          <cell r="D389" t="str">
            <v>KBP126</v>
          </cell>
          <cell r="E389"/>
        </row>
        <row r="390">
          <cell r="A390" t="str">
            <v>2625J647</v>
          </cell>
          <cell r="D390" t="str">
            <v>KBP126</v>
          </cell>
          <cell r="E390"/>
        </row>
        <row r="391">
          <cell r="A391" t="str">
            <v>2625F557</v>
          </cell>
          <cell r="D391" t="str">
            <v>KBP76</v>
          </cell>
          <cell r="E391"/>
        </row>
        <row r="392">
          <cell r="A392" t="str">
            <v>2625U857</v>
          </cell>
          <cell r="D392" t="str">
            <v>TTS50</v>
          </cell>
          <cell r="E392"/>
        </row>
        <row r="393">
          <cell r="A393" t="str">
            <v>2625O817</v>
          </cell>
          <cell r="D393" t="str">
            <v>FTW700</v>
          </cell>
          <cell r="E393"/>
        </row>
        <row r="394">
          <cell r="A394" t="str">
            <v>2625LQ17</v>
          </cell>
          <cell r="D394" t="str">
            <v>KBP86</v>
          </cell>
          <cell r="E394"/>
        </row>
        <row r="395">
          <cell r="A395" t="str">
            <v>2625P127</v>
          </cell>
          <cell r="D395" t="str">
            <v>KBP86</v>
          </cell>
          <cell r="E395"/>
        </row>
        <row r="396">
          <cell r="A396" t="str">
            <v>2625KA37</v>
          </cell>
          <cell r="D396" t="str">
            <v>KBP86</v>
          </cell>
          <cell r="E396"/>
        </row>
        <row r="397">
          <cell r="A397" t="str">
            <v>2624Y757</v>
          </cell>
          <cell r="D397" t="str">
            <v>TTS80</v>
          </cell>
          <cell r="E397"/>
        </row>
        <row r="398">
          <cell r="A398" t="str">
            <v>2624Z357</v>
          </cell>
          <cell r="D398" t="str">
            <v>TTS80</v>
          </cell>
          <cell r="E398"/>
        </row>
        <row r="399">
          <cell r="A399" t="str">
            <v>2625ZH47</v>
          </cell>
          <cell r="D399" t="str">
            <v>TTS80</v>
          </cell>
          <cell r="E399"/>
        </row>
        <row r="400">
          <cell r="A400" t="str">
            <v>2625AX67</v>
          </cell>
          <cell r="D400" t="str">
            <v>KBP126</v>
          </cell>
          <cell r="E400"/>
        </row>
        <row r="401">
          <cell r="A401" t="str">
            <v>2625U557</v>
          </cell>
          <cell r="D401" t="str">
            <v>TTS50</v>
          </cell>
          <cell r="E401"/>
        </row>
        <row r="402">
          <cell r="A402" t="str">
            <v>2625LL47</v>
          </cell>
          <cell r="D402" t="str">
            <v>KBP74</v>
          </cell>
          <cell r="E402"/>
        </row>
        <row r="403">
          <cell r="A403" t="str">
            <v>2625O227</v>
          </cell>
          <cell r="D403" t="str">
            <v>KBP126</v>
          </cell>
          <cell r="E403"/>
        </row>
        <row r="404">
          <cell r="A404" t="str">
            <v>2625O627</v>
          </cell>
          <cell r="D404" t="str">
            <v>KBP126</v>
          </cell>
          <cell r="E404"/>
        </row>
        <row r="405">
          <cell r="A405" t="str">
            <v>2625O927</v>
          </cell>
          <cell r="D405" t="str">
            <v>KBP126</v>
          </cell>
          <cell r="E405"/>
        </row>
        <row r="406">
          <cell r="A406" t="str">
            <v>2625AS67</v>
          </cell>
          <cell r="D406" t="str">
            <v>KBP126</v>
          </cell>
          <cell r="E406"/>
        </row>
        <row r="407">
          <cell r="A407" t="str">
            <v>2624LZ57</v>
          </cell>
          <cell r="D407" t="str">
            <v>KBP76</v>
          </cell>
          <cell r="E407"/>
        </row>
        <row r="408">
          <cell r="A408" t="str">
            <v>2625U657</v>
          </cell>
          <cell r="D408" t="str">
            <v>TTS50</v>
          </cell>
          <cell r="E408"/>
        </row>
        <row r="409">
          <cell r="A409" t="str">
            <v>2625OZ27</v>
          </cell>
          <cell r="D409" t="str">
            <v>KBP86</v>
          </cell>
          <cell r="E409"/>
        </row>
        <row r="410">
          <cell r="A410" t="str">
            <v>2625P427</v>
          </cell>
          <cell r="D410" t="str">
            <v>KBP86</v>
          </cell>
          <cell r="E410"/>
        </row>
        <row r="411">
          <cell r="A411" t="str">
            <v>2625K737</v>
          </cell>
          <cell r="D411" t="str">
            <v>KBP86</v>
          </cell>
          <cell r="E411"/>
        </row>
        <row r="412">
          <cell r="A412" t="str">
            <v>2625JW47</v>
          </cell>
          <cell r="D412" t="str">
            <v>KBP86</v>
          </cell>
          <cell r="E412"/>
        </row>
        <row r="413">
          <cell r="A413" t="str">
            <v>2625S657</v>
          </cell>
          <cell r="D413" t="str">
            <v>KBP86</v>
          </cell>
          <cell r="E413"/>
        </row>
        <row r="414">
          <cell r="A414" t="str">
            <v>2625BM67</v>
          </cell>
          <cell r="D414" t="str">
            <v>KBP86</v>
          </cell>
          <cell r="E414"/>
        </row>
        <row r="415">
          <cell r="A415" t="str">
            <v>2625BW67</v>
          </cell>
          <cell r="D415" t="str">
            <v>KBP86</v>
          </cell>
          <cell r="E415"/>
        </row>
        <row r="416">
          <cell r="A416" t="str">
            <v>2624Y657</v>
          </cell>
          <cell r="D416" t="str">
            <v>TTS80</v>
          </cell>
          <cell r="E416"/>
        </row>
        <row r="417">
          <cell r="A417" t="str">
            <v>2624ZX57</v>
          </cell>
          <cell r="D417" t="str">
            <v>TTS80</v>
          </cell>
          <cell r="E417"/>
        </row>
        <row r="418">
          <cell r="A418" t="str">
            <v>2625A757</v>
          </cell>
          <cell r="D418" t="str">
            <v>KBP126</v>
          </cell>
          <cell r="E418"/>
        </row>
        <row r="419">
          <cell r="A419" t="str">
            <v>2625L317</v>
          </cell>
          <cell r="D419" t="str">
            <v>KBP126</v>
          </cell>
          <cell r="E419"/>
        </row>
        <row r="420">
          <cell r="A420" t="str">
            <v>2625LY27</v>
          </cell>
          <cell r="D420" t="str">
            <v>KBP126</v>
          </cell>
          <cell r="E420"/>
        </row>
        <row r="421">
          <cell r="A421" t="str">
            <v>2625O427</v>
          </cell>
          <cell r="D421" t="str">
            <v>KBP126</v>
          </cell>
          <cell r="E421"/>
        </row>
        <row r="422">
          <cell r="A422" t="str">
            <v>2625O527</v>
          </cell>
          <cell r="D422" t="str">
            <v>KBP126</v>
          </cell>
          <cell r="E422"/>
        </row>
        <row r="423">
          <cell r="A423" t="str">
            <v>2625O727</v>
          </cell>
          <cell r="D423" t="str">
            <v>KBP126</v>
          </cell>
          <cell r="E423"/>
        </row>
        <row r="424">
          <cell r="A424" t="str">
            <v>2625L647</v>
          </cell>
          <cell r="D424" t="str">
            <v>KBP76</v>
          </cell>
          <cell r="E424"/>
        </row>
        <row r="425">
          <cell r="A425" t="str">
            <v>2625HV37</v>
          </cell>
          <cell r="D425" t="str">
            <v>KBP126</v>
          </cell>
          <cell r="E425"/>
        </row>
        <row r="426">
          <cell r="A426" t="str">
            <v>2625EX47</v>
          </cell>
          <cell r="D426" t="str">
            <v>KBP126</v>
          </cell>
          <cell r="E426"/>
        </row>
        <row r="427">
          <cell r="A427" t="str">
            <v>2624F667</v>
          </cell>
          <cell r="D427" t="str">
            <v>TTS80</v>
          </cell>
          <cell r="E427"/>
        </row>
        <row r="428">
          <cell r="A428" t="str">
            <v>2625P317</v>
          </cell>
          <cell r="D428" t="str">
            <v>TTS80</v>
          </cell>
          <cell r="E428"/>
        </row>
        <row r="429">
          <cell r="A429" t="str">
            <v>2625P617</v>
          </cell>
          <cell r="D429" t="str">
            <v>TTS80</v>
          </cell>
          <cell r="E429"/>
        </row>
        <row r="430">
          <cell r="A430" t="str">
            <v>2625J447</v>
          </cell>
          <cell r="D430" t="str">
            <v>KBP126</v>
          </cell>
          <cell r="E430"/>
        </row>
        <row r="431">
          <cell r="A431" t="str">
            <v>2625XS57</v>
          </cell>
          <cell r="D431" t="str">
            <v>KBP76</v>
          </cell>
          <cell r="E431"/>
        </row>
        <row r="432">
          <cell r="A432" t="str">
            <v>2625VP57</v>
          </cell>
          <cell r="D432" t="str">
            <v>S15MB</v>
          </cell>
          <cell r="E432"/>
        </row>
        <row r="433">
          <cell r="A433" t="str">
            <v>2625ES67</v>
          </cell>
          <cell r="D433" t="str">
            <v>KBP74</v>
          </cell>
          <cell r="E433"/>
        </row>
        <row r="434">
          <cell r="A434" t="str">
            <v>2625OA27</v>
          </cell>
          <cell r="D434" t="str">
            <v>KBP126</v>
          </cell>
          <cell r="E434"/>
        </row>
        <row r="435">
          <cell r="A435" t="str">
            <v>2625JF37</v>
          </cell>
          <cell r="D435" t="str">
            <v>KBP126</v>
          </cell>
          <cell r="E435"/>
        </row>
        <row r="436">
          <cell r="A436" t="str">
            <v>2625JH37</v>
          </cell>
          <cell r="D436" t="str">
            <v>KBP126</v>
          </cell>
          <cell r="E436"/>
        </row>
        <row r="437">
          <cell r="A437" t="str">
            <v>2625OW27</v>
          </cell>
          <cell r="D437" t="str">
            <v>KBP86</v>
          </cell>
          <cell r="E437"/>
        </row>
        <row r="438">
          <cell r="A438" t="str">
            <v>2625P327</v>
          </cell>
          <cell r="D438" t="str">
            <v>KBP86</v>
          </cell>
          <cell r="E438"/>
        </row>
        <row r="439">
          <cell r="A439" t="str">
            <v>2625SA57</v>
          </cell>
          <cell r="D439" t="str">
            <v>KBP86</v>
          </cell>
          <cell r="E439"/>
        </row>
        <row r="440">
          <cell r="A440" t="str">
            <v>2625BN67</v>
          </cell>
          <cell r="D440" t="str">
            <v>KBP86</v>
          </cell>
          <cell r="E440"/>
        </row>
        <row r="441">
          <cell r="A441" t="str">
            <v>2625HX37</v>
          </cell>
          <cell r="D441" t="str">
            <v>KBP126</v>
          </cell>
          <cell r="E441"/>
        </row>
        <row r="442">
          <cell r="A442" t="str">
            <v>2625U457</v>
          </cell>
          <cell r="D442" t="str">
            <v>TTS50</v>
          </cell>
          <cell r="E442"/>
        </row>
        <row r="443">
          <cell r="A443" t="str">
            <v>2625K847</v>
          </cell>
          <cell r="D443" t="str">
            <v>KBP86</v>
          </cell>
          <cell r="E443"/>
        </row>
        <row r="444">
          <cell r="A444" t="str">
            <v>2625YN17</v>
          </cell>
          <cell r="D444" t="str">
            <v>TTS80</v>
          </cell>
          <cell r="E444"/>
        </row>
        <row r="445">
          <cell r="A445" t="str">
            <v>2625LB17</v>
          </cell>
          <cell r="D445" t="str">
            <v>KBP126</v>
          </cell>
          <cell r="E445"/>
        </row>
        <row r="446">
          <cell r="A446" t="str">
            <v>2625O127</v>
          </cell>
          <cell r="D446" t="str">
            <v>KBP126</v>
          </cell>
          <cell r="E446"/>
        </row>
        <row r="447">
          <cell r="A447" t="str">
            <v>2625SQ57</v>
          </cell>
          <cell r="D447" t="str">
            <v>KBP86</v>
          </cell>
          <cell r="E447"/>
        </row>
        <row r="448">
          <cell r="A448" t="str">
            <v>2625SU57</v>
          </cell>
          <cell r="D448" t="str">
            <v>KBP86</v>
          </cell>
          <cell r="E448"/>
        </row>
        <row r="449">
          <cell r="A449" t="str">
            <v>2624D667</v>
          </cell>
          <cell r="D449" t="str">
            <v>KBP86</v>
          </cell>
          <cell r="E449"/>
        </row>
        <row r="450">
          <cell r="A450" t="str">
            <v>2625YL17</v>
          </cell>
          <cell r="D450" t="str">
            <v>TTS80</v>
          </cell>
          <cell r="E450"/>
        </row>
        <row r="451">
          <cell r="A451" t="str">
            <v>2624IT57</v>
          </cell>
          <cell r="D451" t="str">
            <v>KBP126</v>
          </cell>
          <cell r="E451"/>
        </row>
        <row r="452">
          <cell r="A452" t="str">
            <v>2625LX27</v>
          </cell>
          <cell r="D452" t="str">
            <v>KBP126</v>
          </cell>
          <cell r="E452"/>
        </row>
        <row r="453">
          <cell r="A453" t="str">
            <v>2625O327</v>
          </cell>
          <cell r="D453" t="str">
            <v>KBP126</v>
          </cell>
          <cell r="E453"/>
        </row>
        <row r="454">
          <cell r="A454" t="str">
            <v>2625JC37</v>
          </cell>
          <cell r="D454" t="str">
            <v>KBP126</v>
          </cell>
          <cell r="E454"/>
        </row>
        <row r="455">
          <cell r="A455" t="str">
            <v>2625JG37</v>
          </cell>
          <cell r="D455" t="str">
            <v>KBP126</v>
          </cell>
          <cell r="E455"/>
        </row>
        <row r="456">
          <cell r="A456" t="str">
            <v>2625JI37</v>
          </cell>
          <cell r="D456" t="str">
            <v>KBP126</v>
          </cell>
          <cell r="E456"/>
        </row>
        <row r="457">
          <cell r="A457" t="str">
            <v>2625JJ37</v>
          </cell>
          <cell r="D457" t="str">
            <v>KBP126</v>
          </cell>
          <cell r="E457"/>
        </row>
        <row r="458">
          <cell r="A458" t="str">
            <v>2625L627</v>
          </cell>
          <cell r="D458" t="str">
            <v>FTW503</v>
          </cell>
          <cell r="E458"/>
        </row>
        <row r="459">
          <cell r="A459" t="str">
            <v>2625IX37</v>
          </cell>
          <cell r="D459" t="str">
            <v>FTW503</v>
          </cell>
          <cell r="E459"/>
        </row>
        <row r="460">
          <cell r="A460" t="str">
            <v>2625IO47</v>
          </cell>
          <cell r="D460" t="str">
            <v>FTW503</v>
          </cell>
          <cell r="E460"/>
        </row>
        <row r="461">
          <cell r="A461" t="str">
            <v>2625IS47</v>
          </cell>
          <cell r="D461" t="str">
            <v>FTW503</v>
          </cell>
          <cell r="E461"/>
        </row>
        <row r="462">
          <cell r="A462" t="str">
            <v>2625Q757</v>
          </cell>
          <cell r="D462" t="str">
            <v>FTW503</v>
          </cell>
          <cell r="E462"/>
        </row>
        <row r="463">
          <cell r="A463" t="str">
            <v>2625QL57</v>
          </cell>
          <cell r="D463" t="str">
            <v>FTW503</v>
          </cell>
          <cell r="E463"/>
        </row>
        <row r="464">
          <cell r="A464" t="str">
            <v>2625AF67</v>
          </cell>
          <cell r="D464" t="str">
            <v>FTW503</v>
          </cell>
          <cell r="E464"/>
        </row>
        <row r="465">
          <cell r="A465" t="str">
            <v>2625AM67</v>
          </cell>
          <cell r="D465" t="str">
            <v>FTW503</v>
          </cell>
          <cell r="E465"/>
        </row>
        <row r="466">
          <cell r="A466" t="str">
            <v>2626IM17</v>
          </cell>
          <cell r="D466" t="str">
            <v>FTW503</v>
          </cell>
          <cell r="E466"/>
        </row>
        <row r="467">
          <cell r="A467" t="str">
            <v>2626IQ17</v>
          </cell>
          <cell r="D467" t="str">
            <v>FTW503</v>
          </cell>
          <cell r="E467"/>
        </row>
        <row r="468">
          <cell r="A468" t="str">
            <v>2625JT37</v>
          </cell>
          <cell r="D468" t="str">
            <v>KBP86</v>
          </cell>
          <cell r="E468"/>
        </row>
        <row r="469">
          <cell r="A469" t="str">
            <v>2625KB37</v>
          </cell>
          <cell r="D469" t="str">
            <v>KBP86</v>
          </cell>
          <cell r="E469"/>
        </row>
        <row r="470">
          <cell r="A470" t="str">
            <v>2625K447</v>
          </cell>
          <cell r="D470" t="str">
            <v>KBP86</v>
          </cell>
          <cell r="E470"/>
        </row>
        <row r="471">
          <cell r="A471" t="str">
            <v>2625K547</v>
          </cell>
          <cell r="D471" t="str">
            <v>KBP86</v>
          </cell>
          <cell r="E471"/>
        </row>
        <row r="472">
          <cell r="A472" t="str">
            <v>2625K747</v>
          </cell>
          <cell r="D472" t="str">
            <v>KBP86</v>
          </cell>
          <cell r="E472"/>
        </row>
        <row r="473">
          <cell r="A473" t="str">
            <v>2625PE47</v>
          </cell>
          <cell r="D473" t="str">
            <v>KBP86</v>
          </cell>
          <cell r="E473"/>
        </row>
        <row r="474">
          <cell r="A474" t="str">
            <v>2625SS57</v>
          </cell>
          <cell r="D474" t="str">
            <v>KBP86</v>
          </cell>
          <cell r="E474"/>
        </row>
        <row r="475">
          <cell r="A475" t="str">
            <v>2625PV27</v>
          </cell>
          <cell r="D475" t="str">
            <v>S706</v>
          </cell>
          <cell r="E475"/>
        </row>
        <row r="476">
          <cell r="A476" t="str">
            <v>2625QI57</v>
          </cell>
          <cell r="D476" t="str">
            <v>FTW503</v>
          </cell>
          <cell r="E476"/>
        </row>
        <row r="477">
          <cell r="A477" t="str">
            <v>2625J847</v>
          </cell>
          <cell r="D477" t="str">
            <v>KBP126</v>
          </cell>
          <cell r="E477"/>
        </row>
        <row r="478">
          <cell r="A478" t="str">
            <v>2625AY67</v>
          </cell>
          <cell r="D478" t="str">
            <v>KBP126</v>
          </cell>
          <cell r="E478"/>
        </row>
        <row r="479">
          <cell r="A479" t="str">
            <v>2626QL27</v>
          </cell>
          <cell r="D479" t="str">
            <v>KBP76</v>
          </cell>
          <cell r="E479"/>
        </row>
        <row r="480">
          <cell r="A480" t="str">
            <v>2625K247</v>
          </cell>
          <cell r="D480" t="str">
            <v>KBP86</v>
          </cell>
          <cell r="E480"/>
        </row>
        <row r="481">
          <cell r="A481" t="str">
            <v>2625K347</v>
          </cell>
          <cell r="D481" t="str">
            <v>KBP86</v>
          </cell>
          <cell r="E481"/>
        </row>
        <row r="482">
          <cell r="A482" t="str">
            <v>2625ZZ27</v>
          </cell>
          <cell r="D482" t="str">
            <v>TTS80</v>
          </cell>
          <cell r="E482"/>
        </row>
        <row r="483">
          <cell r="A483" t="str">
            <v>2625J247</v>
          </cell>
          <cell r="D483" t="str">
            <v>KBP126</v>
          </cell>
          <cell r="E483"/>
        </row>
        <row r="484">
          <cell r="A484" t="str">
            <v>2625QH57</v>
          </cell>
          <cell r="D484" t="str">
            <v>FTW503</v>
          </cell>
          <cell r="E484"/>
        </row>
        <row r="485">
          <cell r="A485" t="str">
            <v>2625S257</v>
          </cell>
          <cell r="D485" t="str">
            <v>KBP86</v>
          </cell>
          <cell r="E485"/>
        </row>
        <row r="486">
          <cell r="A486" t="str">
            <v>2625S457</v>
          </cell>
          <cell r="D486" t="str">
            <v>KBP86</v>
          </cell>
          <cell r="E486"/>
        </row>
        <row r="487">
          <cell r="A487" t="str">
            <v>2625SD57</v>
          </cell>
          <cell r="D487" t="str">
            <v>KBP86</v>
          </cell>
          <cell r="E487"/>
        </row>
        <row r="488">
          <cell r="A488" t="str">
            <v>2625SF57</v>
          </cell>
          <cell r="D488" t="str">
            <v>KBP86</v>
          </cell>
          <cell r="E488"/>
        </row>
        <row r="489">
          <cell r="A489" t="str">
            <v>2625SL57</v>
          </cell>
          <cell r="D489" t="str">
            <v>KBP86</v>
          </cell>
          <cell r="E489"/>
        </row>
        <row r="490">
          <cell r="A490" t="str">
            <v>2625BP67</v>
          </cell>
          <cell r="D490" t="str">
            <v>KBP86</v>
          </cell>
          <cell r="E490"/>
        </row>
        <row r="491">
          <cell r="A491" t="str">
            <v>2625BY67</v>
          </cell>
          <cell r="D491" t="str">
            <v>KBP86</v>
          </cell>
          <cell r="E491"/>
        </row>
        <row r="492">
          <cell r="A492" t="str">
            <v>2626CA27</v>
          </cell>
          <cell r="D492" t="str">
            <v>S15MB</v>
          </cell>
          <cell r="E492"/>
        </row>
        <row r="493">
          <cell r="A493" t="str">
            <v>2625AZ67</v>
          </cell>
          <cell r="D493" t="str">
            <v>KBP126</v>
          </cell>
          <cell r="E493"/>
        </row>
        <row r="494">
          <cell r="A494" t="str">
            <v>2626KS37</v>
          </cell>
          <cell r="D494" t="str">
            <v>KBP126</v>
          </cell>
          <cell r="E494"/>
        </row>
        <row r="495">
          <cell r="A495" t="str">
            <v>2626IU27</v>
          </cell>
          <cell r="D495" t="str">
            <v>KBP76</v>
          </cell>
          <cell r="E495"/>
        </row>
        <row r="496">
          <cell r="A496" t="str">
            <v>2625IM47</v>
          </cell>
          <cell r="D496" t="str">
            <v>FTW503</v>
          </cell>
          <cell r="E496"/>
        </row>
        <row r="497">
          <cell r="A497" t="str">
            <v>2625QB57</v>
          </cell>
          <cell r="D497" t="str">
            <v>FTW503</v>
          </cell>
          <cell r="E497"/>
        </row>
        <row r="498">
          <cell r="A498" t="str">
            <v>2625QD57</v>
          </cell>
          <cell r="D498" t="str">
            <v>FTW503</v>
          </cell>
          <cell r="E498"/>
        </row>
        <row r="499">
          <cell r="A499" t="str">
            <v>2625AL67</v>
          </cell>
          <cell r="D499" t="str">
            <v>FTW503</v>
          </cell>
          <cell r="E499"/>
        </row>
        <row r="500">
          <cell r="A500" t="str">
            <v>2626IN17</v>
          </cell>
          <cell r="D500" t="str">
            <v>FTW503</v>
          </cell>
          <cell r="E500"/>
        </row>
        <row r="501">
          <cell r="A501" t="str">
            <v>2626IT17</v>
          </cell>
          <cell r="D501" t="str">
            <v>FTW503</v>
          </cell>
          <cell r="E501"/>
        </row>
        <row r="502">
          <cell r="A502" t="str">
            <v>2626J117</v>
          </cell>
          <cell r="D502" t="str">
            <v>FTW503</v>
          </cell>
          <cell r="E502"/>
        </row>
        <row r="503">
          <cell r="A503" t="str">
            <v>2626JF27</v>
          </cell>
          <cell r="D503" t="str">
            <v>FTW503</v>
          </cell>
          <cell r="E503"/>
        </row>
        <row r="504">
          <cell r="A504" t="str">
            <v>2626JG27</v>
          </cell>
          <cell r="D504" t="str">
            <v>FTW503</v>
          </cell>
          <cell r="E504"/>
        </row>
        <row r="505">
          <cell r="A505" t="str">
            <v>2626JR27</v>
          </cell>
          <cell r="D505" t="str">
            <v>FTW503</v>
          </cell>
          <cell r="E505"/>
        </row>
        <row r="506">
          <cell r="A506" t="str">
            <v>2626JS27</v>
          </cell>
          <cell r="D506" t="str">
            <v>FTW503</v>
          </cell>
          <cell r="E506"/>
        </row>
        <row r="507">
          <cell r="A507" t="str">
            <v>2625JK47</v>
          </cell>
          <cell r="D507" t="str">
            <v>KBP86</v>
          </cell>
          <cell r="E507"/>
        </row>
        <row r="508">
          <cell r="A508" t="str">
            <v>2625QZ57</v>
          </cell>
          <cell r="D508" t="str">
            <v>KBP86</v>
          </cell>
          <cell r="E508"/>
        </row>
        <row r="509">
          <cell r="A509" t="str">
            <v>2625KH57</v>
          </cell>
          <cell r="D509" t="str">
            <v>S706</v>
          </cell>
          <cell r="E509"/>
        </row>
        <row r="510">
          <cell r="A510" t="str">
            <v>2625QF57</v>
          </cell>
          <cell r="D510" t="str">
            <v>FTW503</v>
          </cell>
          <cell r="E510"/>
        </row>
        <row r="511">
          <cell r="A511" t="str">
            <v>2625Q857</v>
          </cell>
          <cell r="D511" t="str">
            <v>FTW503</v>
          </cell>
          <cell r="E511"/>
        </row>
        <row r="512">
          <cell r="A512" t="str">
            <v>2625QA57</v>
          </cell>
          <cell r="D512" t="str">
            <v>FTW503</v>
          </cell>
          <cell r="E512"/>
        </row>
        <row r="513">
          <cell r="A513" t="str">
            <v>2625AJ67</v>
          </cell>
          <cell r="D513" t="str">
            <v>FTW503</v>
          </cell>
          <cell r="E513"/>
        </row>
        <row r="514">
          <cell r="A514" t="str">
            <v>2625AK67</v>
          </cell>
          <cell r="D514" t="str">
            <v>FTW503</v>
          </cell>
          <cell r="E514"/>
        </row>
        <row r="515">
          <cell r="A515" t="str">
            <v>2626JU27</v>
          </cell>
          <cell r="D515" t="str">
            <v>FTW503</v>
          </cell>
          <cell r="E515"/>
        </row>
        <row r="516">
          <cell r="A516" t="str">
            <v>2625AW67</v>
          </cell>
          <cell r="D516" t="str">
            <v>KBP126</v>
          </cell>
          <cell r="E516"/>
        </row>
        <row r="517">
          <cell r="A517" t="str">
            <v>2625B167</v>
          </cell>
          <cell r="D517" t="str">
            <v>KBP126</v>
          </cell>
          <cell r="E517"/>
        </row>
        <row r="518">
          <cell r="A518" t="str">
            <v>2626JJ17</v>
          </cell>
          <cell r="D518" t="str">
            <v>KBP126</v>
          </cell>
          <cell r="E518"/>
        </row>
        <row r="519">
          <cell r="A519" t="str">
            <v>2625G127</v>
          </cell>
          <cell r="D519" t="str">
            <v>KBP126</v>
          </cell>
          <cell r="E519"/>
        </row>
        <row r="520">
          <cell r="A520" t="str">
            <v>2625F357</v>
          </cell>
          <cell r="D520" t="str">
            <v>KBP126</v>
          </cell>
          <cell r="E520"/>
        </row>
        <row r="521">
          <cell r="A521" t="str">
            <v>2626IK27</v>
          </cell>
          <cell r="D521" t="str">
            <v>KBP76</v>
          </cell>
          <cell r="E521"/>
        </row>
        <row r="522">
          <cell r="A522" t="str">
            <v>2626JJ27</v>
          </cell>
          <cell r="D522" t="str">
            <v>FTW503</v>
          </cell>
          <cell r="E522"/>
        </row>
        <row r="523">
          <cell r="A523" t="str">
            <v>2626JM27</v>
          </cell>
          <cell r="D523" t="str">
            <v>FTW503</v>
          </cell>
          <cell r="E523"/>
        </row>
        <row r="524">
          <cell r="A524" t="str">
            <v>2626JP27</v>
          </cell>
          <cell r="D524" t="str">
            <v>FTW503</v>
          </cell>
          <cell r="E524"/>
        </row>
        <row r="525">
          <cell r="A525" t="str">
            <v>2626JR37</v>
          </cell>
          <cell r="D525" t="str">
            <v>FTW503</v>
          </cell>
          <cell r="E525"/>
        </row>
        <row r="526">
          <cell r="A526" t="str">
            <v>2626LV37</v>
          </cell>
          <cell r="D526" t="str">
            <v>KBP86</v>
          </cell>
          <cell r="E526"/>
        </row>
        <row r="527">
          <cell r="A527" t="str">
            <v>2626IL17</v>
          </cell>
          <cell r="D527" t="str">
            <v>FTW503</v>
          </cell>
          <cell r="E527"/>
        </row>
        <row r="528">
          <cell r="A528" t="str">
            <v>2626IU17</v>
          </cell>
          <cell r="D528" t="str">
            <v>FTW503</v>
          </cell>
          <cell r="E528"/>
        </row>
        <row r="529">
          <cell r="A529" t="str">
            <v>2626IX17</v>
          </cell>
          <cell r="D529" t="str">
            <v>FTW503</v>
          </cell>
          <cell r="E529"/>
        </row>
        <row r="530">
          <cell r="A530" t="str">
            <v>2626IV17</v>
          </cell>
          <cell r="D530" t="str">
            <v>FTW503</v>
          </cell>
          <cell r="E530"/>
        </row>
        <row r="531">
          <cell r="A531" t="str">
            <v>2626IZ17</v>
          </cell>
          <cell r="D531" t="str">
            <v>FTW503</v>
          </cell>
          <cell r="E531"/>
        </row>
        <row r="532">
          <cell r="A532" t="str">
            <v>2626JV37</v>
          </cell>
          <cell r="D532" t="str">
            <v>FTW503</v>
          </cell>
          <cell r="E532"/>
        </row>
        <row r="533">
          <cell r="A533" t="str">
            <v>2626K637</v>
          </cell>
          <cell r="D533" t="str">
            <v>FTW503</v>
          </cell>
          <cell r="E533"/>
        </row>
        <row r="534">
          <cell r="A534" t="str">
            <v>2626O217</v>
          </cell>
          <cell r="D534" t="str">
            <v>S706</v>
          </cell>
          <cell r="E534"/>
        </row>
        <row r="535">
          <cell r="A535" t="str">
            <v>2626P327</v>
          </cell>
          <cell r="D535" t="str">
            <v>S706</v>
          </cell>
          <cell r="E535"/>
        </row>
        <row r="536">
          <cell r="A536" t="str">
            <v>2626P527</v>
          </cell>
          <cell r="D536" t="str">
            <v>S706</v>
          </cell>
          <cell r="E536"/>
        </row>
        <row r="537">
          <cell r="A537" t="str">
            <v>2626JJ47</v>
          </cell>
          <cell r="D537" t="str">
            <v>FTW503</v>
          </cell>
          <cell r="E537"/>
        </row>
        <row r="538">
          <cell r="A538" t="str">
            <v>2626JD27</v>
          </cell>
          <cell r="D538" t="str">
            <v>FTW503</v>
          </cell>
          <cell r="E538"/>
        </row>
        <row r="539">
          <cell r="A539" t="str">
            <v>2626CT37</v>
          </cell>
          <cell r="D539" t="str">
            <v>S15MB</v>
          </cell>
          <cell r="E539"/>
        </row>
        <row r="540">
          <cell r="A540" t="str">
            <v>2626SP27</v>
          </cell>
          <cell r="D540" t="str">
            <v>TTS80</v>
          </cell>
          <cell r="E540"/>
        </row>
        <row r="541">
          <cell r="A541" t="str">
            <v>2626UB37</v>
          </cell>
          <cell r="D541" t="str">
            <v>TTS80</v>
          </cell>
          <cell r="E541"/>
        </row>
        <row r="542">
          <cell r="A542" t="str">
            <v>2626JU57</v>
          </cell>
          <cell r="D542" t="str">
            <v>KBP76</v>
          </cell>
          <cell r="E542"/>
        </row>
        <row r="543">
          <cell r="A543" t="str">
            <v>2626Q437</v>
          </cell>
          <cell r="D543" t="str">
            <v>S706</v>
          </cell>
          <cell r="E543"/>
        </row>
        <row r="544">
          <cell r="A544" t="str">
            <v>2626JV47</v>
          </cell>
          <cell r="D544" t="str">
            <v>FTW503</v>
          </cell>
          <cell r="E544"/>
        </row>
        <row r="545">
          <cell r="A545" t="str">
            <v>2625S857</v>
          </cell>
          <cell r="D545" t="str">
            <v>KBP86</v>
          </cell>
          <cell r="E545"/>
        </row>
        <row r="546">
          <cell r="A546" t="str">
            <v>2625SE57</v>
          </cell>
          <cell r="D546" t="str">
            <v>KBP86</v>
          </cell>
          <cell r="E546"/>
        </row>
        <row r="547">
          <cell r="A547" t="str">
            <v>2625BO67</v>
          </cell>
          <cell r="D547" t="str">
            <v>KBP86</v>
          </cell>
          <cell r="E547"/>
        </row>
        <row r="548">
          <cell r="A548" t="str">
            <v>2625BR67</v>
          </cell>
          <cell r="D548" t="str">
            <v>KBP86</v>
          </cell>
          <cell r="E548"/>
        </row>
        <row r="549">
          <cell r="A549" t="str">
            <v>2626KF17</v>
          </cell>
          <cell r="D549" t="str">
            <v>KBP86</v>
          </cell>
          <cell r="E549"/>
        </row>
        <row r="550">
          <cell r="A550" t="str">
            <v>2626KG17</v>
          </cell>
          <cell r="D550" t="str">
            <v>KBP86</v>
          </cell>
          <cell r="E550"/>
        </row>
        <row r="551">
          <cell r="A551" t="str">
            <v>2626KH17</v>
          </cell>
          <cell r="D551" t="str">
            <v>KBP86</v>
          </cell>
          <cell r="E551"/>
        </row>
        <row r="552">
          <cell r="A552" t="str">
            <v>2626KJ17</v>
          </cell>
          <cell r="D552" t="str">
            <v>KBP86</v>
          </cell>
          <cell r="E552"/>
        </row>
        <row r="553">
          <cell r="A553" t="str">
            <v>2626L727</v>
          </cell>
          <cell r="D553" t="str">
            <v>KBP86</v>
          </cell>
          <cell r="E553"/>
        </row>
        <row r="554">
          <cell r="A554" t="str">
            <v>2626L927</v>
          </cell>
          <cell r="D554" t="str">
            <v>KBP86</v>
          </cell>
          <cell r="E554"/>
        </row>
        <row r="555">
          <cell r="A555" t="str">
            <v>2626LF27</v>
          </cell>
          <cell r="D555" t="str">
            <v>KBP86</v>
          </cell>
          <cell r="E555"/>
        </row>
        <row r="556">
          <cell r="A556" t="str">
            <v>2626O847</v>
          </cell>
          <cell r="D556" t="str">
            <v>KBP86</v>
          </cell>
          <cell r="E556"/>
        </row>
        <row r="557">
          <cell r="A557" t="str">
            <v>2626OD47</v>
          </cell>
          <cell r="D557" t="str">
            <v>KBP86</v>
          </cell>
          <cell r="E557"/>
        </row>
        <row r="558">
          <cell r="A558" t="str">
            <v>2626PC57</v>
          </cell>
          <cell r="D558" t="str">
            <v>KBP126</v>
          </cell>
          <cell r="E558"/>
        </row>
        <row r="559">
          <cell r="A559" t="str">
            <v>2626JH27</v>
          </cell>
          <cell r="D559" t="str">
            <v>FTW503</v>
          </cell>
          <cell r="E559"/>
        </row>
        <row r="560">
          <cell r="A560" t="str">
            <v>2626K337</v>
          </cell>
          <cell r="D560" t="str">
            <v>FTW503</v>
          </cell>
          <cell r="E560"/>
        </row>
        <row r="561">
          <cell r="A561" t="str">
            <v>2626QT47</v>
          </cell>
          <cell r="D561" t="str">
            <v>KBP76</v>
          </cell>
          <cell r="E561"/>
        </row>
        <row r="562">
          <cell r="A562" t="str">
            <v>2625BL67</v>
          </cell>
          <cell r="D562" t="str">
            <v>KBP86</v>
          </cell>
          <cell r="E562"/>
        </row>
        <row r="563">
          <cell r="A563" t="str">
            <v>2625BS67</v>
          </cell>
          <cell r="D563" t="str">
            <v>KBP86</v>
          </cell>
          <cell r="E563"/>
        </row>
        <row r="564">
          <cell r="A564" t="str">
            <v>2626KC17</v>
          </cell>
          <cell r="D564" t="str">
            <v>KBP86</v>
          </cell>
          <cell r="E564"/>
        </row>
        <row r="565">
          <cell r="A565" t="str">
            <v>2626KD17</v>
          </cell>
          <cell r="D565" t="str">
            <v>KBP86</v>
          </cell>
          <cell r="E565"/>
        </row>
        <row r="566">
          <cell r="A566" t="str">
            <v>2626L527</v>
          </cell>
          <cell r="D566" t="str">
            <v>KBP86</v>
          </cell>
          <cell r="E566"/>
        </row>
        <row r="567">
          <cell r="A567" t="str">
            <v>2626LG27</v>
          </cell>
          <cell r="D567" t="str">
            <v>KBP86</v>
          </cell>
          <cell r="E567"/>
        </row>
        <row r="568">
          <cell r="A568" t="str">
            <v>2625LN27</v>
          </cell>
          <cell r="D568" t="str">
            <v>FTW503</v>
          </cell>
          <cell r="E568"/>
        </row>
        <row r="569">
          <cell r="A569" t="str">
            <v>2626KW47</v>
          </cell>
          <cell r="D569" t="str">
            <v>FTW121KR</v>
          </cell>
          <cell r="E569"/>
        </row>
        <row r="570">
          <cell r="A570" t="str">
            <v>2626JK17</v>
          </cell>
          <cell r="D570" t="str">
            <v>KBP126</v>
          </cell>
          <cell r="E570"/>
        </row>
        <row r="571">
          <cell r="A571" t="str">
            <v>2626K527</v>
          </cell>
          <cell r="D571" t="str">
            <v>KBP126</v>
          </cell>
          <cell r="E571"/>
        </row>
        <row r="572">
          <cell r="A572" t="str">
            <v>2626K627</v>
          </cell>
          <cell r="D572" t="str">
            <v>KBP126</v>
          </cell>
          <cell r="E572"/>
        </row>
        <row r="573">
          <cell r="A573" t="str">
            <v>2626K727</v>
          </cell>
          <cell r="D573" t="str">
            <v>KBP126</v>
          </cell>
          <cell r="E573"/>
        </row>
        <row r="574">
          <cell r="A574" t="str">
            <v>2626KQ37</v>
          </cell>
          <cell r="D574" t="str">
            <v>KBP126</v>
          </cell>
          <cell r="E574"/>
        </row>
        <row r="575">
          <cell r="A575" t="str">
            <v>2625F257</v>
          </cell>
          <cell r="D575" t="str">
            <v>KBP126</v>
          </cell>
          <cell r="E575"/>
        </row>
        <row r="576">
          <cell r="A576" t="str">
            <v>2626JO47</v>
          </cell>
          <cell r="D576" t="str">
            <v>FTW503</v>
          </cell>
          <cell r="E576"/>
        </row>
        <row r="577">
          <cell r="A577" t="str">
            <v>2626G457</v>
          </cell>
          <cell r="D577" t="str">
            <v>FTW503</v>
          </cell>
          <cell r="E577"/>
        </row>
        <row r="578">
          <cell r="A578" t="str">
            <v>2625BT67</v>
          </cell>
          <cell r="D578" t="str">
            <v>KBP86</v>
          </cell>
          <cell r="E578"/>
        </row>
        <row r="579">
          <cell r="A579" t="str">
            <v>2626KB17</v>
          </cell>
          <cell r="D579" t="str">
            <v>KBP86</v>
          </cell>
          <cell r="E579"/>
        </row>
        <row r="580">
          <cell r="A580" t="str">
            <v>2626L627</v>
          </cell>
          <cell r="D580" t="str">
            <v>KBP86</v>
          </cell>
          <cell r="E580"/>
        </row>
        <row r="581">
          <cell r="A581" t="str">
            <v>2626LE27</v>
          </cell>
          <cell r="D581" t="str">
            <v>KBP86</v>
          </cell>
          <cell r="E581"/>
        </row>
        <row r="582">
          <cell r="A582" t="str">
            <v>2625FM20</v>
          </cell>
          <cell r="D582" t="str">
            <v xml:space="preserve">TTS125    </v>
          </cell>
          <cell r="E582"/>
        </row>
        <row r="583">
          <cell r="A583" t="str">
            <v>2625QJ57</v>
          </cell>
          <cell r="D583" t="str">
            <v>FTW503</v>
          </cell>
          <cell r="E583"/>
        </row>
        <row r="584">
          <cell r="A584" t="str">
            <v>2626JN27</v>
          </cell>
          <cell r="D584" t="str">
            <v>FTW503</v>
          </cell>
          <cell r="E584"/>
        </row>
        <row r="585">
          <cell r="A585" t="str">
            <v>2626JP37</v>
          </cell>
          <cell r="D585" t="str">
            <v>FTW503</v>
          </cell>
          <cell r="E585"/>
        </row>
        <row r="586">
          <cell r="A586" t="str">
            <v>2626JU37</v>
          </cell>
          <cell r="D586" t="str">
            <v>FTW503</v>
          </cell>
          <cell r="E586"/>
        </row>
        <row r="587">
          <cell r="A587" t="str">
            <v>2626JX37</v>
          </cell>
          <cell r="D587" t="str">
            <v>FTW503</v>
          </cell>
          <cell r="E587"/>
        </row>
        <row r="588">
          <cell r="A588" t="str">
            <v>2626K437</v>
          </cell>
          <cell r="D588" t="str">
            <v>FTW503</v>
          </cell>
          <cell r="E588"/>
        </row>
        <row r="589">
          <cell r="A589" t="str">
            <v>2626K837</v>
          </cell>
          <cell r="D589" t="str">
            <v>FTW503</v>
          </cell>
          <cell r="E589"/>
        </row>
        <row r="590">
          <cell r="A590" t="str">
            <v>2626JO37</v>
          </cell>
          <cell r="D590" t="str">
            <v>FTW503</v>
          </cell>
          <cell r="E590"/>
        </row>
        <row r="591">
          <cell r="A591" t="str">
            <v>2626JS47</v>
          </cell>
          <cell r="D591" t="str">
            <v>FTW503</v>
          </cell>
          <cell r="E591"/>
        </row>
        <row r="592">
          <cell r="A592" t="str">
            <v>2626Q247</v>
          </cell>
          <cell r="D592" t="str">
            <v>S706</v>
          </cell>
          <cell r="E592"/>
        </row>
        <row r="593">
          <cell r="A593" t="str">
            <v>2626JI47</v>
          </cell>
          <cell r="D593" t="str">
            <v>FTW503</v>
          </cell>
          <cell r="E593"/>
        </row>
        <row r="594">
          <cell r="A594" t="str">
            <v>2626JK47</v>
          </cell>
          <cell r="D594" t="str">
            <v>FTW503</v>
          </cell>
          <cell r="E594"/>
        </row>
        <row r="595">
          <cell r="A595" t="str">
            <v>2626PE57</v>
          </cell>
          <cell r="D595" t="str">
            <v>KBP126</v>
          </cell>
          <cell r="E595"/>
        </row>
        <row r="596">
          <cell r="A596" t="str">
            <v>2626LU67</v>
          </cell>
          <cell r="D596" t="str">
            <v>TTS40</v>
          </cell>
          <cell r="E596"/>
        </row>
        <row r="597">
          <cell r="A597" t="str">
            <v>2626JK57</v>
          </cell>
          <cell r="D597" t="str">
            <v>S706</v>
          </cell>
          <cell r="E597"/>
        </row>
        <row r="598">
          <cell r="A598" t="str">
            <v>2626JW67</v>
          </cell>
          <cell r="D598" t="str">
            <v>S706</v>
          </cell>
          <cell r="E598"/>
        </row>
        <row r="599">
          <cell r="A599" t="str">
            <v>2626K167</v>
          </cell>
          <cell r="D599" t="str">
            <v>S706</v>
          </cell>
          <cell r="E599"/>
        </row>
        <row r="600">
          <cell r="A600" t="str">
            <v>2626K267</v>
          </cell>
          <cell r="D600" t="str">
            <v>S706</v>
          </cell>
          <cell r="E600"/>
        </row>
        <row r="601">
          <cell r="A601" t="str">
            <v>2626JZ37</v>
          </cell>
          <cell r="D601" t="str">
            <v>FTW503</v>
          </cell>
          <cell r="E601"/>
        </row>
        <row r="602">
          <cell r="A602" t="str">
            <v>2626JE47</v>
          </cell>
          <cell r="D602" t="str">
            <v>FTW503</v>
          </cell>
          <cell r="E602"/>
        </row>
        <row r="603">
          <cell r="A603" t="str">
            <v>2626FU57</v>
          </cell>
          <cell r="D603" t="str">
            <v>FTW503</v>
          </cell>
          <cell r="E603"/>
        </row>
        <row r="604">
          <cell r="A604" t="str">
            <v>2626FW57</v>
          </cell>
          <cell r="D604" t="str">
            <v>FTW503</v>
          </cell>
          <cell r="E604"/>
        </row>
        <row r="605">
          <cell r="A605" t="str">
            <v>2626FX57</v>
          </cell>
          <cell r="D605" t="str">
            <v>FTW503</v>
          </cell>
          <cell r="E605"/>
        </row>
        <row r="606">
          <cell r="A606" t="str">
            <v>2626SL57</v>
          </cell>
          <cell r="D606" t="str">
            <v>FTW503</v>
          </cell>
          <cell r="E606"/>
        </row>
        <row r="607">
          <cell r="A607" t="str">
            <v>2626ST57</v>
          </cell>
          <cell r="D607" t="str">
            <v>FTW503</v>
          </cell>
          <cell r="E607"/>
        </row>
        <row r="608">
          <cell r="A608" t="str">
            <v>2625KY57</v>
          </cell>
          <cell r="D608" t="str">
            <v>S706</v>
          </cell>
          <cell r="E608"/>
        </row>
        <row r="609">
          <cell r="A609" t="str">
            <v>2626SW57</v>
          </cell>
          <cell r="D609" t="str">
            <v>FTW503</v>
          </cell>
          <cell r="E609"/>
        </row>
        <row r="610">
          <cell r="A610" t="str">
            <v>2626O237</v>
          </cell>
          <cell r="D610" t="str">
            <v>KBP86</v>
          </cell>
          <cell r="E610"/>
        </row>
        <row r="611">
          <cell r="A611" t="str">
            <v>2627UO17</v>
          </cell>
          <cell r="D611" t="str">
            <v>S706</v>
          </cell>
          <cell r="E611"/>
        </row>
        <row r="612">
          <cell r="A612" t="str">
            <v>2625F457</v>
          </cell>
          <cell r="D612" t="str">
            <v>KBP126</v>
          </cell>
          <cell r="E612"/>
        </row>
        <row r="613">
          <cell r="A613" t="str">
            <v>2626LP37</v>
          </cell>
          <cell r="D613" t="str">
            <v>KBP86</v>
          </cell>
          <cell r="E613"/>
        </row>
        <row r="614">
          <cell r="A614" t="str">
            <v>2626LQ37</v>
          </cell>
          <cell r="D614" t="str">
            <v>KBP86</v>
          </cell>
          <cell r="E614"/>
        </row>
        <row r="615">
          <cell r="A615" t="str">
            <v>2626LT37</v>
          </cell>
          <cell r="D615" t="str">
            <v>KBP86</v>
          </cell>
          <cell r="E615"/>
        </row>
        <row r="616">
          <cell r="A616" t="str">
            <v>2626LZ37</v>
          </cell>
          <cell r="D616" t="str">
            <v>KBP86</v>
          </cell>
          <cell r="E616"/>
        </row>
        <row r="617">
          <cell r="A617" t="str">
            <v>2626OC47</v>
          </cell>
          <cell r="D617" t="str">
            <v>KBP86</v>
          </cell>
          <cell r="E617"/>
        </row>
        <row r="618">
          <cell r="A618" t="str">
            <v>2626OE47</v>
          </cell>
          <cell r="D618" t="str">
            <v>KBP86</v>
          </cell>
          <cell r="E618"/>
        </row>
        <row r="619">
          <cell r="A619" t="str">
            <v>2626QD57</v>
          </cell>
          <cell r="D619" t="str">
            <v>KBP76</v>
          </cell>
          <cell r="E619"/>
        </row>
        <row r="620">
          <cell r="A620" t="str">
            <v>2626JC47</v>
          </cell>
          <cell r="D620" t="str">
            <v>FTW503</v>
          </cell>
          <cell r="E620"/>
        </row>
        <row r="621">
          <cell r="A621" t="str">
            <v>2626SE57</v>
          </cell>
          <cell r="D621" t="str">
            <v>FTW503</v>
          </cell>
          <cell r="E621"/>
        </row>
        <row r="622">
          <cell r="A622" t="str">
            <v>2626SI57</v>
          </cell>
          <cell r="D622" t="str">
            <v>FTW503</v>
          </cell>
          <cell r="E622"/>
        </row>
        <row r="623">
          <cell r="A623" t="str">
            <v>2626SQ57</v>
          </cell>
          <cell r="D623" t="str">
            <v>FTW503</v>
          </cell>
          <cell r="E623"/>
        </row>
        <row r="624">
          <cell r="A624" t="str">
            <v>2625KJ47</v>
          </cell>
          <cell r="D624" t="str">
            <v>S706</v>
          </cell>
          <cell r="E624"/>
        </row>
        <row r="625">
          <cell r="A625" t="str">
            <v>2625CW67</v>
          </cell>
          <cell r="D625" t="str">
            <v>S706</v>
          </cell>
          <cell r="E625"/>
        </row>
        <row r="626">
          <cell r="A626" t="str">
            <v>2626LR17</v>
          </cell>
          <cell r="D626" t="str">
            <v>S706</v>
          </cell>
          <cell r="E626"/>
        </row>
        <row r="627">
          <cell r="A627" t="str">
            <v>2626LS17</v>
          </cell>
          <cell r="D627" t="str">
            <v>S706</v>
          </cell>
          <cell r="E627"/>
        </row>
        <row r="628">
          <cell r="A628" t="str">
            <v>2626LV17</v>
          </cell>
          <cell r="D628" t="str">
            <v>S706</v>
          </cell>
          <cell r="E628"/>
        </row>
        <row r="629">
          <cell r="A629" t="str">
            <v>2626P627</v>
          </cell>
          <cell r="D629" t="str">
            <v>S706</v>
          </cell>
          <cell r="E629"/>
        </row>
        <row r="630">
          <cell r="A630" t="str">
            <v>2626KE17</v>
          </cell>
          <cell r="D630" t="str">
            <v>KBP86</v>
          </cell>
          <cell r="E630"/>
        </row>
        <row r="631">
          <cell r="A631" t="str">
            <v>2626LW67</v>
          </cell>
          <cell r="D631" t="str">
            <v>TTS40</v>
          </cell>
          <cell r="E631"/>
        </row>
        <row r="632">
          <cell r="A632" t="str">
            <v>2626JR47</v>
          </cell>
          <cell r="D632" t="str">
            <v>FTW503</v>
          </cell>
          <cell r="E632"/>
        </row>
        <row r="633">
          <cell r="A633" t="str">
            <v>2626JZ47</v>
          </cell>
          <cell r="D633" t="str">
            <v>FTW503</v>
          </cell>
          <cell r="E633"/>
        </row>
        <row r="634">
          <cell r="A634" t="str">
            <v>2625ZO57</v>
          </cell>
          <cell r="D634" t="str">
            <v>FTW700</v>
          </cell>
          <cell r="E634"/>
        </row>
        <row r="635">
          <cell r="A635" t="str">
            <v>2626FR57</v>
          </cell>
          <cell r="D635" t="str">
            <v>FTW503</v>
          </cell>
          <cell r="E635"/>
        </row>
        <row r="636">
          <cell r="A636" t="str">
            <v>2626SU57</v>
          </cell>
          <cell r="D636" t="str">
            <v>FTW503</v>
          </cell>
          <cell r="E636"/>
        </row>
        <row r="637">
          <cell r="A637" t="str">
            <v>2626KR37</v>
          </cell>
          <cell r="D637" t="str">
            <v>KBP126</v>
          </cell>
          <cell r="E637"/>
        </row>
        <row r="638">
          <cell r="A638" t="str">
            <v>2626LB27</v>
          </cell>
          <cell r="D638" t="str">
            <v>KBP86</v>
          </cell>
          <cell r="E638"/>
        </row>
        <row r="639">
          <cell r="A639" t="str">
            <v>2626LD27</v>
          </cell>
          <cell r="D639" t="str">
            <v>KBP86</v>
          </cell>
          <cell r="E639"/>
        </row>
        <row r="640">
          <cell r="A640" t="str">
            <v>2626D327</v>
          </cell>
          <cell r="D640" t="str">
            <v>S15MB</v>
          </cell>
          <cell r="E640"/>
        </row>
        <row r="641">
          <cell r="A641" t="str">
            <v>2626Q747</v>
          </cell>
          <cell r="D641" t="str">
            <v>S706</v>
          </cell>
          <cell r="E641"/>
        </row>
        <row r="642">
          <cell r="A642" t="str">
            <v>2626J757</v>
          </cell>
          <cell r="D642" t="str">
            <v>S706</v>
          </cell>
          <cell r="E642"/>
        </row>
        <row r="643">
          <cell r="A643" t="str">
            <v>2626JD57</v>
          </cell>
          <cell r="D643" t="str">
            <v>S706</v>
          </cell>
          <cell r="E643"/>
        </row>
        <row r="644">
          <cell r="A644" t="str">
            <v>2626KA17</v>
          </cell>
          <cell r="D644" t="str">
            <v>KBP86</v>
          </cell>
          <cell r="E644"/>
        </row>
        <row r="645">
          <cell r="A645" t="str">
            <v>2626KO17</v>
          </cell>
          <cell r="D645" t="str">
            <v>KBP86</v>
          </cell>
          <cell r="E645"/>
        </row>
        <row r="646">
          <cell r="A646" t="str">
            <v>2626LR37</v>
          </cell>
          <cell r="D646" t="str">
            <v>KBP86</v>
          </cell>
          <cell r="E646"/>
        </row>
        <row r="647">
          <cell r="A647" t="str">
            <v>2626LS37</v>
          </cell>
          <cell r="D647" t="str">
            <v>KBP86</v>
          </cell>
          <cell r="E647"/>
        </row>
        <row r="648">
          <cell r="A648" t="str">
            <v>2626LU37</v>
          </cell>
          <cell r="D648" t="str">
            <v>KBP86</v>
          </cell>
          <cell r="E648"/>
        </row>
        <row r="649">
          <cell r="A649" t="str">
            <v>2626LW37</v>
          </cell>
          <cell r="D649" t="str">
            <v>KBP86</v>
          </cell>
          <cell r="E649"/>
        </row>
        <row r="650">
          <cell r="A650" t="str">
            <v>2626OF47</v>
          </cell>
          <cell r="D650" t="str">
            <v>KBP86</v>
          </cell>
          <cell r="E650"/>
        </row>
        <row r="651">
          <cell r="A651" t="str">
            <v>2625HW37</v>
          </cell>
          <cell r="D651" t="str">
            <v>KBP126</v>
          </cell>
          <cell r="E651"/>
        </row>
        <row r="652">
          <cell r="A652" t="str">
            <v>2625KW57</v>
          </cell>
          <cell r="D652" t="str">
            <v>S706</v>
          </cell>
          <cell r="E652"/>
        </row>
        <row r="653">
          <cell r="A653" t="str">
            <v>2625KZ57</v>
          </cell>
          <cell r="D653" t="str">
            <v>S706</v>
          </cell>
          <cell r="E653"/>
        </row>
        <row r="654">
          <cell r="A654" t="str">
            <v>2626PZ57</v>
          </cell>
          <cell r="D654" t="str">
            <v>S15MB</v>
          </cell>
          <cell r="E654"/>
        </row>
        <row r="655">
          <cell r="A655" t="str">
            <v>2626Q357</v>
          </cell>
          <cell r="D655" t="str">
            <v>S15MB</v>
          </cell>
          <cell r="E655"/>
        </row>
        <row r="656">
          <cell r="A656" t="str">
            <v>2627PQ17</v>
          </cell>
          <cell r="D656" t="str">
            <v>FTW121KR</v>
          </cell>
          <cell r="E656"/>
        </row>
        <row r="657">
          <cell r="A657" t="str">
            <v>2625ZP57</v>
          </cell>
          <cell r="D657" t="str">
            <v>STA156KA</v>
          </cell>
          <cell r="E657"/>
        </row>
        <row r="658">
          <cell r="A658" t="str">
            <v>2626OA67</v>
          </cell>
          <cell r="D658" t="str">
            <v>TTS80</v>
          </cell>
          <cell r="E658"/>
        </row>
        <row r="659">
          <cell r="A659" t="str">
            <v>2626OE67</v>
          </cell>
          <cell r="D659" t="str">
            <v>TTS80</v>
          </cell>
          <cell r="E659"/>
        </row>
        <row r="660">
          <cell r="A660" t="str">
            <v>2626D567</v>
          </cell>
          <cell r="D660" t="str">
            <v>KBP76</v>
          </cell>
          <cell r="E660"/>
        </row>
        <row r="661">
          <cell r="A661" t="str">
            <v>2627ZB17</v>
          </cell>
          <cell r="D661" t="str">
            <v>TTS80</v>
          </cell>
          <cell r="E661"/>
        </row>
        <row r="662">
          <cell r="A662" t="str">
            <v>2626JF57</v>
          </cell>
          <cell r="D662" t="str">
            <v>S706</v>
          </cell>
          <cell r="E662"/>
        </row>
        <row r="663">
          <cell r="A663" t="str">
            <v>2626K367</v>
          </cell>
          <cell r="D663" t="str">
            <v>S706</v>
          </cell>
          <cell r="E663"/>
        </row>
        <row r="664">
          <cell r="A664" t="str">
            <v>2626JY67</v>
          </cell>
          <cell r="D664" t="str">
            <v>S706</v>
          </cell>
          <cell r="E664"/>
        </row>
        <row r="665">
          <cell r="A665" t="str">
            <v>2627UY17</v>
          </cell>
          <cell r="D665" t="str">
            <v>S706</v>
          </cell>
          <cell r="E665"/>
        </row>
        <row r="666">
          <cell r="A666" t="str">
            <v>2626KK47</v>
          </cell>
          <cell r="D666" t="str">
            <v>KBP126</v>
          </cell>
          <cell r="E666"/>
        </row>
        <row r="667">
          <cell r="A667" t="str">
            <v>2627UD17</v>
          </cell>
          <cell r="D667" t="str">
            <v>KBP52</v>
          </cell>
          <cell r="E667"/>
        </row>
        <row r="668">
          <cell r="A668" t="str">
            <v>2626JY47</v>
          </cell>
          <cell r="D668" t="str">
            <v>FTW503</v>
          </cell>
          <cell r="E668"/>
        </row>
        <row r="669">
          <cell r="A669" t="str">
            <v>2626SO57</v>
          </cell>
          <cell r="D669" t="str">
            <v>FTW503</v>
          </cell>
          <cell r="E669"/>
        </row>
        <row r="670">
          <cell r="A670" t="str">
            <v>2626SS57</v>
          </cell>
          <cell r="D670" t="str">
            <v>FTW503</v>
          </cell>
          <cell r="E670"/>
        </row>
        <row r="671">
          <cell r="A671" t="str">
            <v>2626P967</v>
          </cell>
          <cell r="D671" t="str">
            <v>TTS80</v>
          </cell>
          <cell r="E671"/>
        </row>
        <row r="672">
          <cell r="A672" t="str">
            <v>2626FV57</v>
          </cell>
          <cell r="D672" t="str">
            <v>FTW503</v>
          </cell>
          <cell r="E672"/>
        </row>
        <row r="673">
          <cell r="A673" t="str">
            <v>2626LU17</v>
          </cell>
          <cell r="D673" t="str">
            <v>S706</v>
          </cell>
          <cell r="E673"/>
        </row>
        <row r="674">
          <cell r="A674" t="str">
            <v>2626OX27</v>
          </cell>
          <cell r="D674" t="str">
            <v>S706</v>
          </cell>
          <cell r="E674"/>
        </row>
        <row r="675">
          <cell r="A675" t="str">
            <v>2626UL57</v>
          </cell>
          <cell r="D675" t="str">
            <v>FTW102K</v>
          </cell>
          <cell r="E675"/>
        </row>
        <row r="676">
          <cell r="A676" t="str">
            <v>2627Q327</v>
          </cell>
          <cell r="D676" t="str">
            <v>FTW102K</v>
          </cell>
          <cell r="E676"/>
        </row>
        <row r="677">
          <cell r="A677" t="str">
            <v>2627Q727</v>
          </cell>
          <cell r="D677" t="str">
            <v>FTW102K</v>
          </cell>
          <cell r="E677"/>
        </row>
        <row r="678">
          <cell r="A678" t="str">
            <v>2626EV67</v>
          </cell>
          <cell r="D678" t="str">
            <v>KBP86</v>
          </cell>
          <cell r="E678"/>
        </row>
        <row r="679">
          <cell r="A679" t="str">
            <v>2626EW67</v>
          </cell>
          <cell r="D679" t="str">
            <v>KBP86</v>
          </cell>
          <cell r="E679"/>
        </row>
        <row r="680">
          <cell r="A680" t="str">
            <v>2626PC67</v>
          </cell>
          <cell r="D680" t="str">
            <v>TTS80</v>
          </cell>
          <cell r="E680"/>
        </row>
        <row r="681">
          <cell r="A681" t="str">
            <v>2626K227</v>
          </cell>
          <cell r="D681" t="str">
            <v>FTW102K</v>
          </cell>
          <cell r="E681"/>
        </row>
        <row r="682">
          <cell r="A682" t="str">
            <v>2626JY37</v>
          </cell>
          <cell r="D682" t="str">
            <v>FTW503</v>
          </cell>
          <cell r="E682"/>
        </row>
        <row r="683">
          <cell r="A683" t="str">
            <v>2626FT57</v>
          </cell>
          <cell r="D683" t="str">
            <v>FTW503</v>
          </cell>
          <cell r="E683"/>
        </row>
        <row r="684">
          <cell r="A684" t="str">
            <v>2626SG57</v>
          </cell>
          <cell r="D684" t="str">
            <v>FTW503</v>
          </cell>
          <cell r="E684"/>
        </row>
        <row r="685">
          <cell r="A685" t="str">
            <v>2626SY57</v>
          </cell>
          <cell r="D685" t="str">
            <v>FTW503</v>
          </cell>
          <cell r="E685"/>
        </row>
        <row r="686">
          <cell r="A686" t="str">
            <v>2627L217</v>
          </cell>
          <cell r="D686" t="str">
            <v>FTW503</v>
          </cell>
          <cell r="E686"/>
        </row>
        <row r="687">
          <cell r="A687" t="str">
            <v>2627LM17</v>
          </cell>
          <cell r="D687" t="str">
            <v>FTW503</v>
          </cell>
          <cell r="E687"/>
        </row>
        <row r="688">
          <cell r="A688" t="str">
            <v>2626FS57</v>
          </cell>
          <cell r="D688" t="str">
            <v>FTW503</v>
          </cell>
          <cell r="E688"/>
        </row>
        <row r="689">
          <cell r="A689" t="str">
            <v>2626LN67</v>
          </cell>
          <cell r="D689" t="str">
            <v>S15MB</v>
          </cell>
          <cell r="E689"/>
        </row>
        <row r="690">
          <cell r="A690" t="str">
            <v>2627X717</v>
          </cell>
          <cell r="D690" t="str">
            <v>S15MB</v>
          </cell>
          <cell r="E690"/>
        </row>
        <row r="691">
          <cell r="A691" t="str">
            <v>2627X817</v>
          </cell>
          <cell r="D691" t="str">
            <v>S15MB</v>
          </cell>
          <cell r="E691"/>
        </row>
        <row r="692">
          <cell r="A692" t="str">
            <v>2626PW57</v>
          </cell>
          <cell r="D692" t="str">
            <v>S15MB</v>
          </cell>
          <cell r="E692"/>
        </row>
        <row r="693">
          <cell r="A693" t="str">
            <v>2626Q257</v>
          </cell>
          <cell r="D693" t="str">
            <v>S15MB</v>
          </cell>
          <cell r="E693"/>
        </row>
        <row r="694">
          <cell r="A694" t="str">
            <v>2626O367</v>
          </cell>
          <cell r="D694" t="str">
            <v>TTS80</v>
          </cell>
          <cell r="E694"/>
        </row>
        <row r="695">
          <cell r="A695" t="str">
            <v>2626OS67</v>
          </cell>
          <cell r="D695" t="str">
            <v>TTS80</v>
          </cell>
          <cell r="E695"/>
        </row>
        <row r="696">
          <cell r="A696" t="str">
            <v>2626OV67</v>
          </cell>
          <cell r="D696" t="str">
            <v>TTS80</v>
          </cell>
          <cell r="E696"/>
        </row>
        <row r="697">
          <cell r="A697" t="str">
            <v>2627A427</v>
          </cell>
          <cell r="D697" t="str">
            <v>TTS80</v>
          </cell>
          <cell r="E697"/>
        </row>
        <row r="698">
          <cell r="A698" t="str">
            <v>2626ZB57</v>
          </cell>
          <cell r="D698" t="str">
            <v>STA156KA</v>
          </cell>
          <cell r="E698"/>
        </row>
        <row r="699">
          <cell r="A699" t="str">
            <v>2627UE17</v>
          </cell>
          <cell r="D699" t="str">
            <v>KBP52</v>
          </cell>
          <cell r="E699"/>
        </row>
        <row r="700">
          <cell r="A700" t="str">
            <v>2627UP17</v>
          </cell>
          <cell r="D700" t="str">
            <v>S706</v>
          </cell>
          <cell r="E700"/>
        </row>
        <row r="701">
          <cell r="A701" t="str">
            <v>2627VF17</v>
          </cell>
          <cell r="D701" t="str">
            <v>S706</v>
          </cell>
          <cell r="E701"/>
        </row>
        <row r="702">
          <cell r="A702" t="str">
            <v>2626P937</v>
          </cell>
          <cell r="D702" t="str">
            <v>KBP52</v>
          </cell>
          <cell r="E702"/>
        </row>
        <row r="703">
          <cell r="A703" t="str">
            <v>2627KZ17</v>
          </cell>
          <cell r="D703" t="str">
            <v>FTW503</v>
          </cell>
          <cell r="E703"/>
        </row>
        <row r="704">
          <cell r="A704" t="str">
            <v>2627L617</v>
          </cell>
          <cell r="D704" t="str">
            <v>FTW503</v>
          </cell>
          <cell r="E704"/>
        </row>
        <row r="705">
          <cell r="A705" t="str">
            <v>2627L917</v>
          </cell>
          <cell r="D705" t="str">
            <v>FTW503</v>
          </cell>
          <cell r="E705"/>
        </row>
        <row r="706">
          <cell r="A706" t="str">
            <v>2627LC17</v>
          </cell>
          <cell r="D706" t="str">
            <v>FTW503</v>
          </cell>
          <cell r="E706"/>
        </row>
        <row r="707">
          <cell r="A707" t="str">
            <v>2627LR17</v>
          </cell>
          <cell r="D707" t="str">
            <v>FTW503</v>
          </cell>
          <cell r="E707"/>
        </row>
        <row r="708">
          <cell r="A708" t="str">
            <v>2627S327</v>
          </cell>
          <cell r="D708" t="str">
            <v>FTW121KR</v>
          </cell>
          <cell r="E708"/>
        </row>
        <row r="709">
          <cell r="A709" t="str">
            <v>2627AJ27</v>
          </cell>
          <cell r="D709" t="str">
            <v>FTW102K</v>
          </cell>
          <cell r="E709"/>
        </row>
        <row r="710">
          <cell r="A710" t="str">
            <v>2627Q927</v>
          </cell>
          <cell r="D710" t="str">
            <v>FTW102K</v>
          </cell>
          <cell r="E710"/>
        </row>
        <row r="711">
          <cell r="A711" t="str">
            <v>2627OF37</v>
          </cell>
          <cell r="D711" t="str">
            <v>FTW102K</v>
          </cell>
          <cell r="E711"/>
        </row>
        <row r="712">
          <cell r="A712" t="str">
            <v>2627OH37</v>
          </cell>
          <cell r="D712" t="str">
            <v>FTW102K</v>
          </cell>
          <cell r="E712"/>
        </row>
        <row r="713">
          <cell r="A713" t="str">
            <v>2627XO17</v>
          </cell>
          <cell r="D713" t="str">
            <v>TTS80</v>
          </cell>
          <cell r="E713"/>
        </row>
        <row r="714">
          <cell r="A714" t="str">
            <v>2627XQ17</v>
          </cell>
          <cell r="D714" t="str">
            <v>TTS80</v>
          </cell>
          <cell r="E714"/>
        </row>
        <row r="715">
          <cell r="A715" t="str">
            <v>2627QX27</v>
          </cell>
          <cell r="D715" t="str">
            <v>FTW121KR</v>
          </cell>
          <cell r="E715"/>
        </row>
        <row r="716">
          <cell r="A716" t="str">
            <v>2627OA37</v>
          </cell>
          <cell r="D716" t="str">
            <v>FTW102K</v>
          </cell>
          <cell r="E716"/>
        </row>
        <row r="717">
          <cell r="A717" t="str">
            <v>2627WS27</v>
          </cell>
          <cell r="D717" t="str">
            <v>KBP86</v>
          </cell>
          <cell r="E717"/>
        </row>
        <row r="718">
          <cell r="A718" t="str">
            <v>2627WC27</v>
          </cell>
          <cell r="D718" t="str">
            <v>TTS80</v>
          </cell>
          <cell r="E718"/>
        </row>
        <row r="719">
          <cell r="A719" t="str">
            <v>2627UC17</v>
          </cell>
          <cell r="D719" t="str">
            <v>KBP52</v>
          </cell>
          <cell r="E719"/>
        </row>
        <row r="720">
          <cell r="A720" t="str">
            <v>2627UM27</v>
          </cell>
          <cell r="D720" t="str">
            <v>S706</v>
          </cell>
          <cell r="E720"/>
        </row>
        <row r="721">
          <cell r="A721" t="str">
            <v>2627UW27</v>
          </cell>
          <cell r="D721" t="str">
            <v>S706</v>
          </cell>
          <cell r="E721"/>
        </row>
        <row r="722">
          <cell r="A722" t="str">
            <v>2627L417</v>
          </cell>
          <cell r="D722" t="str">
            <v>FTW503</v>
          </cell>
          <cell r="E722"/>
        </row>
        <row r="723">
          <cell r="A723" t="str">
            <v>2627L717</v>
          </cell>
          <cell r="D723" t="str">
            <v>FTW503</v>
          </cell>
          <cell r="E723"/>
        </row>
        <row r="724">
          <cell r="A724" t="str">
            <v>2627LA17</v>
          </cell>
          <cell r="D724" t="str">
            <v>FTW503</v>
          </cell>
          <cell r="E724"/>
        </row>
        <row r="725">
          <cell r="A725" t="str">
            <v>2627XM17</v>
          </cell>
          <cell r="D725" t="str">
            <v>TTS80</v>
          </cell>
          <cell r="E725"/>
        </row>
        <row r="726">
          <cell r="A726" t="str">
            <v>2627V417</v>
          </cell>
          <cell r="D726" t="str">
            <v>S706</v>
          </cell>
          <cell r="E726"/>
        </row>
        <row r="727">
          <cell r="A727" t="str">
            <v>2626JG47</v>
          </cell>
          <cell r="D727" t="str">
            <v>FTW503</v>
          </cell>
          <cell r="E727"/>
        </row>
        <row r="728">
          <cell r="A728" t="str">
            <v>2627LW17</v>
          </cell>
          <cell r="D728" t="str">
            <v>FTW503</v>
          </cell>
          <cell r="E728"/>
        </row>
        <row r="729">
          <cell r="A729" t="str">
            <v>2627Q627</v>
          </cell>
          <cell r="D729" t="str">
            <v>FTW102K</v>
          </cell>
          <cell r="E729"/>
        </row>
        <row r="730">
          <cell r="A730" t="str">
            <v>2627O937</v>
          </cell>
          <cell r="D730" t="str">
            <v>FTW102K</v>
          </cell>
          <cell r="E730"/>
        </row>
        <row r="731">
          <cell r="A731" t="str">
            <v>2627OG37</v>
          </cell>
          <cell r="D731" t="str">
            <v>FTW102K</v>
          </cell>
          <cell r="E731"/>
        </row>
        <row r="732">
          <cell r="A732" t="str">
            <v>2627XZ17</v>
          </cell>
          <cell r="D732" t="str">
            <v>TTS80</v>
          </cell>
          <cell r="E732"/>
        </row>
        <row r="733">
          <cell r="A733" t="str">
            <v>2627W227</v>
          </cell>
          <cell r="D733" t="str">
            <v>TTS80</v>
          </cell>
          <cell r="E733"/>
        </row>
        <row r="734">
          <cell r="A734" t="str">
            <v>2627WB27</v>
          </cell>
          <cell r="D734" t="str">
            <v>TTS80</v>
          </cell>
          <cell r="E734"/>
        </row>
        <row r="735">
          <cell r="A735" t="str">
            <v>2626OW27</v>
          </cell>
          <cell r="D735" t="str">
            <v>S706</v>
          </cell>
          <cell r="E735"/>
        </row>
        <row r="736">
          <cell r="A736" t="str">
            <v>2626OZ27</v>
          </cell>
          <cell r="D736" t="str">
            <v>S706</v>
          </cell>
          <cell r="E736"/>
        </row>
        <row r="737">
          <cell r="A737" t="str">
            <v>2626P127</v>
          </cell>
          <cell r="D737" t="str">
            <v>S706</v>
          </cell>
          <cell r="E737"/>
        </row>
        <row r="738">
          <cell r="A738" t="str">
            <v>2626JR67</v>
          </cell>
          <cell r="D738" t="str">
            <v>S706</v>
          </cell>
          <cell r="E738"/>
        </row>
        <row r="739">
          <cell r="A739" t="str">
            <v>2627UF17</v>
          </cell>
          <cell r="D739" t="str">
            <v>S706</v>
          </cell>
          <cell r="E739"/>
        </row>
        <row r="740">
          <cell r="A740" t="str">
            <v>2627UJ17</v>
          </cell>
          <cell r="D740" t="str">
            <v>S706</v>
          </cell>
          <cell r="E740"/>
        </row>
        <row r="741">
          <cell r="A741" t="str">
            <v>2627U527</v>
          </cell>
          <cell r="D741" t="str">
            <v>S706</v>
          </cell>
          <cell r="E741"/>
        </row>
        <row r="742">
          <cell r="A742" t="str">
            <v>2627U727</v>
          </cell>
          <cell r="D742" t="str">
            <v>S706</v>
          </cell>
          <cell r="E742"/>
        </row>
        <row r="743">
          <cell r="A743" t="str">
            <v>2626PF67</v>
          </cell>
          <cell r="D743" t="str">
            <v>TTS80</v>
          </cell>
          <cell r="E743"/>
        </row>
        <row r="744">
          <cell r="A744" t="str">
            <v>2627LV17</v>
          </cell>
          <cell r="D744" t="str">
            <v>FTW503</v>
          </cell>
          <cell r="E744"/>
        </row>
        <row r="745">
          <cell r="A745" t="str">
            <v>2627FU37</v>
          </cell>
          <cell r="D745" t="str">
            <v>S15MB</v>
          </cell>
          <cell r="E745"/>
        </row>
        <row r="746">
          <cell r="A746" t="str">
            <v>2627A627</v>
          </cell>
          <cell r="D746" t="str">
            <v>TTS80</v>
          </cell>
          <cell r="E746"/>
        </row>
        <row r="747">
          <cell r="A747" t="str">
            <v>2627VG17</v>
          </cell>
          <cell r="D747" t="str">
            <v>S706</v>
          </cell>
          <cell r="E747"/>
        </row>
        <row r="748">
          <cell r="A748" t="str">
            <v>2627VH17</v>
          </cell>
          <cell r="D748" t="str">
            <v>S706</v>
          </cell>
          <cell r="E748"/>
        </row>
        <row r="749">
          <cell r="A749" t="str">
            <v>2627OY37</v>
          </cell>
          <cell r="D749" t="str">
            <v>FTW121KR</v>
          </cell>
          <cell r="E749"/>
        </row>
        <row r="750">
          <cell r="A750" t="str">
            <v>2627ZH17</v>
          </cell>
          <cell r="D750" t="str">
            <v>KBP126</v>
          </cell>
          <cell r="E750"/>
        </row>
        <row r="751">
          <cell r="A751" t="str">
            <v>2626BY67</v>
          </cell>
          <cell r="D751" t="str">
            <v>STA156KA</v>
          </cell>
          <cell r="E751"/>
        </row>
        <row r="752">
          <cell r="A752" t="str">
            <v>2626PX57</v>
          </cell>
          <cell r="D752" t="str">
            <v>S15MB</v>
          </cell>
          <cell r="E752"/>
        </row>
        <row r="753">
          <cell r="A753" t="str">
            <v>2627K217</v>
          </cell>
          <cell r="D753" t="str">
            <v>S15MB</v>
          </cell>
          <cell r="E753"/>
        </row>
        <row r="754">
          <cell r="A754" t="str">
            <v>2627IL27</v>
          </cell>
          <cell r="D754" t="str">
            <v>S15MB</v>
          </cell>
          <cell r="E754"/>
        </row>
        <row r="755">
          <cell r="A755" t="str">
            <v>2627IM27</v>
          </cell>
          <cell r="D755" t="str">
            <v>S15MB</v>
          </cell>
          <cell r="E755"/>
        </row>
        <row r="756">
          <cell r="A756" t="str">
            <v>2627IO27</v>
          </cell>
          <cell r="D756" t="str">
            <v>S15MB</v>
          </cell>
          <cell r="E756"/>
        </row>
        <row r="757">
          <cell r="A757" t="str">
            <v>2627FT37</v>
          </cell>
          <cell r="D757" t="str">
            <v>S15MB</v>
          </cell>
          <cell r="E757"/>
        </row>
        <row r="758">
          <cell r="A758" t="str">
            <v>2627OD37</v>
          </cell>
          <cell r="D758" t="str">
            <v>FTW102K</v>
          </cell>
          <cell r="E758"/>
        </row>
        <row r="759">
          <cell r="A759" t="str">
            <v>2627H847</v>
          </cell>
          <cell r="D759" t="str">
            <v>FTW102K</v>
          </cell>
          <cell r="E759"/>
        </row>
        <row r="760">
          <cell r="A760" t="str">
            <v>2627SP27</v>
          </cell>
          <cell r="D760" t="str">
            <v>KBP52</v>
          </cell>
          <cell r="E760"/>
        </row>
        <row r="761">
          <cell r="A761" t="str">
            <v>2627UB27</v>
          </cell>
          <cell r="D761" t="str">
            <v>S706</v>
          </cell>
          <cell r="E761"/>
        </row>
        <row r="762">
          <cell r="A762" t="str">
            <v>2627UF27</v>
          </cell>
          <cell r="D762" t="str">
            <v>S706</v>
          </cell>
          <cell r="E762"/>
        </row>
        <row r="763">
          <cell r="A763" t="str">
            <v>2627UI27</v>
          </cell>
          <cell r="D763" t="str">
            <v>S706</v>
          </cell>
          <cell r="E763"/>
        </row>
        <row r="764">
          <cell r="A764" t="str">
            <v>2627UP27</v>
          </cell>
          <cell r="D764" t="str">
            <v>S706</v>
          </cell>
          <cell r="E764"/>
        </row>
        <row r="765">
          <cell r="A765" t="str">
            <v>2627S437</v>
          </cell>
          <cell r="D765" t="str">
            <v>S706</v>
          </cell>
          <cell r="E765"/>
        </row>
        <row r="766">
          <cell r="A766" t="str">
            <v>2627FV37</v>
          </cell>
          <cell r="D766" t="str">
            <v>S15MB</v>
          </cell>
          <cell r="E766"/>
        </row>
        <row r="767">
          <cell r="A767" t="str">
            <v>2627H247</v>
          </cell>
          <cell r="D767" t="str">
            <v>FTW102K</v>
          </cell>
          <cell r="E767"/>
        </row>
        <row r="768">
          <cell r="A768" t="str">
            <v>2627F767</v>
          </cell>
          <cell r="D768" t="str">
            <v>FTW102K</v>
          </cell>
          <cell r="E768"/>
        </row>
        <row r="769">
          <cell r="A769" t="str">
            <v>2627FE67</v>
          </cell>
          <cell r="D769" t="str">
            <v>FTW102K</v>
          </cell>
          <cell r="E769"/>
        </row>
        <row r="770">
          <cell r="A770" t="str">
            <v>2627PX27</v>
          </cell>
          <cell r="D770" t="str">
            <v>FTW102K</v>
          </cell>
          <cell r="E770"/>
        </row>
        <row r="771">
          <cell r="A771" t="str">
            <v>2627ZE17</v>
          </cell>
          <cell r="D771" t="str">
            <v>KBP126</v>
          </cell>
          <cell r="E771"/>
        </row>
        <row r="772">
          <cell r="A772" t="str">
            <v>2627ZF17</v>
          </cell>
          <cell r="D772" t="str">
            <v>KBP126</v>
          </cell>
          <cell r="E772"/>
        </row>
        <row r="773">
          <cell r="A773" t="str">
            <v>2627O837</v>
          </cell>
          <cell r="D773" t="str">
            <v>FTW102K</v>
          </cell>
          <cell r="E773"/>
        </row>
        <row r="774">
          <cell r="A774" t="str">
            <v>2627H747</v>
          </cell>
          <cell r="D774" t="str">
            <v>FTW102K</v>
          </cell>
          <cell r="E774"/>
        </row>
        <row r="775">
          <cell r="A775" t="str">
            <v>2627V927</v>
          </cell>
          <cell r="D775" t="str">
            <v>STA156KA</v>
          </cell>
          <cell r="E775"/>
        </row>
        <row r="776">
          <cell r="A776" t="str">
            <v>2627H347</v>
          </cell>
          <cell r="D776" t="str">
            <v>FTW102K</v>
          </cell>
          <cell r="E776"/>
        </row>
        <row r="777">
          <cell r="A777" t="str">
            <v>2627UU37</v>
          </cell>
          <cell r="D777" t="str">
            <v>TTS80</v>
          </cell>
          <cell r="E777"/>
        </row>
        <row r="778">
          <cell r="A778" t="str">
            <v>2627OK37</v>
          </cell>
          <cell r="D778" t="str">
            <v>FTW102K</v>
          </cell>
          <cell r="E778"/>
        </row>
        <row r="779">
          <cell r="A779" t="str">
            <v>2627ON37</v>
          </cell>
          <cell r="D779" t="str">
            <v>FTW102K</v>
          </cell>
          <cell r="E779"/>
        </row>
        <row r="780">
          <cell r="A780" t="str">
            <v>2627VN17</v>
          </cell>
          <cell r="D780" t="str">
            <v>STA156KA</v>
          </cell>
          <cell r="E780"/>
        </row>
        <row r="781">
          <cell r="A781" t="str">
            <v>2627SX37</v>
          </cell>
          <cell r="D781" t="str">
            <v>STA156KA</v>
          </cell>
          <cell r="E781"/>
        </row>
        <row r="782">
          <cell r="A782" t="str">
            <v>2627OV37</v>
          </cell>
          <cell r="D782" t="str">
            <v>FTW121KR</v>
          </cell>
          <cell r="E782"/>
        </row>
        <row r="783">
          <cell r="A783" t="str">
            <v>2627PO37</v>
          </cell>
          <cell r="D783" t="str">
            <v>FTW121KR</v>
          </cell>
          <cell r="E783"/>
        </row>
        <row r="784">
          <cell r="A784" t="str">
            <v>2627HM47</v>
          </cell>
          <cell r="D784" t="str">
            <v>FTW121KR</v>
          </cell>
          <cell r="E784"/>
        </row>
        <row r="785">
          <cell r="A785" t="str">
            <v>2627HN47</v>
          </cell>
          <cell r="D785" t="str">
            <v>FTW121KR</v>
          </cell>
          <cell r="E785"/>
        </row>
        <row r="786">
          <cell r="A786" t="str">
            <v>2627HP47</v>
          </cell>
          <cell r="D786" t="str">
            <v>FTW121KR</v>
          </cell>
          <cell r="E786"/>
        </row>
        <row r="787">
          <cell r="A787" t="str">
            <v>2627HR47</v>
          </cell>
          <cell r="D787" t="str">
            <v>FTW121KR</v>
          </cell>
          <cell r="E787"/>
        </row>
        <row r="788">
          <cell r="A788" t="str">
            <v>2627HV47</v>
          </cell>
          <cell r="D788" t="str">
            <v>FTW121KR</v>
          </cell>
          <cell r="E788"/>
        </row>
        <row r="789">
          <cell r="A789" t="str">
            <v>2627HZ47</v>
          </cell>
          <cell r="D789" t="str">
            <v>FTW121KR</v>
          </cell>
          <cell r="E789"/>
        </row>
        <row r="790">
          <cell r="A790" t="str">
            <v>2626JS67</v>
          </cell>
          <cell r="D790" t="str">
            <v>S805</v>
          </cell>
          <cell r="E790"/>
        </row>
        <row r="791">
          <cell r="A791" t="str">
            <v>2627Q427</v>
          </cell>
          <cell r="D791" t="str">
            <v>FTW102K</v>
          </cell>
          <cell r="E791"/>
        </row>
        <row r="792">
          <cell r="A792" t="str">
            <v>2627OB37</v>
          </cell>
          <cell r="D792" t="str">
            <v>FTW102K</v>
          </cell>
          <cell r="E792"/>
        </row>
        <row r="793">
          <cell r="A793" t="str">
            <v>2627OC37</v>
          </cell>
          <cell r="D793" t="str">
            <v>FTW102K</v>
          </cell>
          <cell r="E793"/>
        </row>
        <row r="794">
          <cell r="A794" t="str">
            <v>2627H947</v>
          </cell>
          <cell r="D794" t="str">
            <v>FTW102K</v>
          </cell>
          <cell r="E794"/>
        </row>
        <row r="795">
          <cell r="A795" t="str">
            <v>2627HA47</v>
          </cell>
          <cell r="D795" t="str">
            <v>FTW102K</v>
          </cell>
          <cell r="E795"/>
        </row>
        <row r="796">
          <cell r="A796" t="str">
            <v>2627HB47</v>
          </cell>
          <cell r="D796" t="str">
            <v>FTW102K</v>
          </cell>
          <cell r="E796"/>
        </row>
        <row r="797">
          <cell r="A797" t="str">
            <v>2627FJ67</v>
          </cell>
          <cell r="D797" t="str">
            <v>FTW102K</v>
          </cell>
          <cell r="E797"/>
        </row>
        <row r="798">
          <cell r="A798" t="str">
            <v>2627V537</v>
          </cell>
          <cell r="D798" t="str">
            <v>KBP86</v>
          </cell>
          <cell r="E798"/>
        </row>
        <row r="799">
          <cell r="A799" t="str">
            <v>2626KF67</v>
          </cell>
          <cell r="D799" t="str">
            <v>STA156KA</v>
          </cell>
          <cell r="E799"/>
        </row>
        <row r="800">
          <cell r="A800" t="str">
            <v>2626PJ37</v>
          </cell>
          <cell r="D800" t="str">
            <v>TTS80</v>
          </cell>
          <cell r="E800"/>
        </row>
        <row r="801">
          <cell r="A801" t="str">
            <v>2627XB17</v>
          </cell>
          <cell r="D801" t="str">
            <v>TTS50</v>
          </cell>
          <cell r="E801"/>
        </row>
        <row r="802">
          <cell r="A802" t="str">
            <v>2627JS47</v>
          </cell>
          <cell r="D802" t="str">
            <v>S706</v>
          </cell>
          <cell r="E802"/>
        </row>
        <row r="803">
          <cell r="A803" t="str">
            <v>2626FO57</v>
          </cell>
          <cell r="D803" t="str">
            <v>FTW503</v>
          </cell>
          <cell r="E803"/>
        </row>
        <row r="804">
          <cell r="A804" t="str">
            <v>2627P927</v>
          </cell>
          <cell r="D804" t="str">
            <v>FTW503</v>
          </cell>
          <cell r="E804"/>
        </row>
        <row r="805">
          <cell r="A805" t="str">
            <v>2627VK27</v>
          </cell>
          <cell r="D805" t="str">
            <v>KBP55</v>
          </cell>
          <cell r="E805"/>
        </row>
        <row r="806">
          <cell r="A806" t="str">
            <v>2627SY27</v>
          </cell>
          <cell r="D806" t="str">
            <v>S706</v>
          </cell>
          <cell r="E806"/>
        </row>
        <row r="807">
          <cell r="A807" t="str">
            <v>2627U127</v>
          </cell>
          <cell r="D807" t="str">
            <v>S706</v>
          </cell>
          <cell r="E807"/>
        </row>
        <row r="808">
          <cell r="A808" t="str">
            <v>2627QK37</v>
          </cell>
          <cell r="D808" t="str">
            <v>S706</v>
          </cell>
          <cell r="E808"/>
        </row>
        <row r="809">
          <cell r="A809" t="str">
            <v>2627QQ37</v>
          </cell>
          <cell r="D809" t="str">
            <v>S706</v>
          </cell>
          <cell r="E809"/>
        </row>
        <row r="810">
          <cell r="A810" t="str">
            <v>2627PX37</v>
          </cell>
          <cell r="D810" t="str">
            <v>FTW121KR</v>
          </cell>
          <cell r="E810"/>
        </row>
        <row r="811">
          <cell r="A811" t="str">
            <v>2627UV37</v>
          </cell>
          <cell r="D811" t="str">
            <v>TTS80</v>
          </cell>
          <cell r="E811"/>
        </row>
        <row r="812">
          <cell r="A812" t="str">
            <v>2627CZ57</v>
          </cell>
          <cell r="D812" t="str">
            <v>KBP76</v>
          </cell>
          <cell r="E812"/>
        </row>
        <row r="813">
          <cell r="A813" t="str">
            <v>2627XG57</v>
          </cell>
          <cell r="D813" t="str">
            <v>KBP76</v>
          </cell>
          <cell r="E813"/>
        </row>
        <row r="814">
          <cell r="A814" t="str">
            <v>2627KY17</v>
          </cell>
          <cell r="D814" t="str">
            <v>FTW503</v>
          </cell>
          <cell r="E814"/>
        </row>
        <row r="815">
          <cell r="A815" t="str">
            <v>2627LN17</v>
          </cell>
          <cell r="D815" t="str">
            <v>FTW503</v>
          </cell>
          <cell r="E815"/>
        </row>
        <row r="816">
          <cell r="A816" t="str">
            <v>2627ZZ57</v>
          </cell>
          <cell r="D816" t="str">
            <v>FTW503</v>
          </cell>
          <cell r="E816"/>
        </row>
        <row r="817">
          <cell r="A817" t="str">
            <v>2627UR37</v>
          </cell>
          <cell r="D817" t="str">
            <v>TTS80</v>
          </cell>
          <cell r="E817"/>
        </row>
        <row r="818">
          <cell r="A818" t="str">
            <v>2626SR57</v>
          </cell>
          <cell r="D818" t="str">
            <v>FTW503</v>
          </cell>
          <cell r="E818"/>
        </row>
        <row r="819">
          <cell r="A819" t="str">
            <v>2627LI17</v>
          </cell>
          <cell r="D819" t="str">
            <v>FTW503</v>
          </cell>
          <cell r="E819"/>
        </row>
        <row r="820">
          <cell r="A820" t="str">
            <v>2627V237</v>
          </cell>
          <cell r="D820" t="str">
            <v>TTS80</v>
          </cell>
          <cell r="E820"/>
        </row>
        <row r="821">
          <cell r="A821" t="str">
            <v>2627QW37</v>
          </cell>
          <cell r="D821" t="str">
            <v>S706</v>
          </cell>
          <cell r="E821"/>
        </row>
        <row r="822">
          <cell r="A822" t="str">
            <v>2627SG37</v>
          </cell>
          <cell r="D822" t="str">
            <v>S706</v>
          </cell>
          <cell r="E822"/>
        </row>
        <row r="823">
          <cell r="A823" t="str">
            <v>2627K447</v>
          </cell>
          <cell r="D823" t="str">
            <v>S706</v>
          </cell>
          <cell r="E823"/>
        </row>
        <row r="824">
          <cell r="A824" t="str">
            <v>2627L517</v>
          </cell>
          <cell r="D824" t="str">
            <v>FTW503</v>
          </cell>
          <cell r="E824"/>
        </row>
        <row r="825">
          <cell r="A825" t="str">
            <v>2627LP17</v>
          </cell>
          <cell r="D825" t="str">
            <v>FTW503</v>
          </cell>
          <cell r="E825"/>
        </row>
        <row r="826">
          <cell r="A826" t="str">
            <v>2627SU27</v>
          </cell>
          <cell r="D826" t="str">
            <v>S706</v>
          </cell>
          <cell r="E826"/>
        </row>
        <row r="827">
          <cell r="A827" t="str">
            <v>2627SW27</v>
          </cell>
          <cell r="D827" t="str">
            <v>S706</v>
          </cell>
          <cell r="E827"/>
        </row>
        <row r="828">
          <cell r="A828" t="str">
            <v>2627QO37</v>
          </cell>
          <cell r="D828" t="str">
            <v>S706</v>
          </cell>
          <cell r="E828"/>
        </row>
        <row r="829">
          <cell r="A829" t="str">
            <v>2627ZU57</v>
          </cell>
          <cell r="D829" t="str">
            <v>FTW503</v>
          </cell>
          <cell r="E829"/>
        </row>
        <row r="830">
          <cell r="A830" t="str">
            <v>2627ZD17</v>
          </cell>
          <cell r="D830" t="str">
            <v>KBP126</v>
          </cell>
          <cell r="E830"/>
        </row>
        <row r="831">
          <cell r="A831" t="str">
            <v>2627FW37</v>
          </cell>
          <cell r="D831" t="str">
            <v>S15MB</v>
          </cell>
          <cell r="E831"/>
        </row>
        <row r="832">
          <cell r="A832" t="str">
            <v>2627PL17</v>
          </cell>
          <cell r="D832" t="str">
            <v>FTW121KR</v>
          </cell>
          <cell r="E832"/>
        </row>
        <row r="833">
          <cell r="A833" t="str">
            <v>2627IE47</v>
          </cell>
          <cell r="D833" t="str">
            <v>FTW121KR</v>
          </cell>
          <cell r="E833"/>
        </row>
        <row r="834">
          <cell r="A834" t="str">
            <v>2627FF67</v>
          </cell>
          <cell r="D834" t="str">
            <v>FTW102K</v>
          </cell>
          <cell r="E834"/>
        </row>
        <row r="835">
          <cell r="A835" t="str">
            <v>2627WT27</v>
          </cell>
          <cell r="D835" t="str">
            <v>KBP86</v>
          </cell>
          <cell r="E835"/>
        </row>
        <row r="836">
          <cell r="A836" t="str">
            <v>2627US37</v>
          </cell>
          <cell r="D836" t="str">
            <v>TTS80</v>
          </cell>
          <cell r="E836"/>
        </row>
        <row r="837">
          <cell r="A837" t="str">
            <v>2627LP47</v>
          </cell>
          <cell r="D837" t="str">
            <v>TTS80</v>
          </cell>
          <cell r="E837"/>
        </row>
        <row r="838">
          <cell r="A838" t="str">
            <v>2627OT27</v>
          </cell>
          <cell r="D838" t="str">
            <v>KBP76</v>
          </cell>
          <cell r="E838"/>
        </row>
        <row r="839">
          <cell r="A839" t="str">
            <v>2627GZ47</v>
          </cell>
          <cell r="D839" t="str">
            <v>S805</v>
          </cell>
          <cell r="E839"/>
        </row>
        <row r="840">
          <cell r="A840" t="str">
            <v>2627QY37</v>
          </cell>
          <cell r="D840" t="str">
            <v>S706</v>
          </cell>
          <cell r="E840"/>
        </row>
        <row r="841">
          <cell r="A841" t="str">
            <v>2627S537</v>
          </cell>
          <cell r="D841" t="str">
            <v>S706</v>
          </cell>
          <cell r="E841"/>
        </row>
        <row r="842">
          <cell r="A842" t="str">
            <v>2627SB37</v>
          </cell>
          <cell r="D842" t="str">
            <v>S706</v>
          </cell>
          <cell r="E842"/>
        </row>
        <row r="843">
          <cell r="A843" t="str">
            <v>2627JT47</v>
          </cell>
          <cell r="D843" t="str">
            <v>S706</v>
          </cell>
          <cell r="E843"/>
        </row>
        <row r="844">
          <cell r="A844" t="str">
            <v>2627JU47</v>
          </cell>
          <cell r="D844" t="str">
            <v>S706</v>
          </cell>
          <cell r="E844"/>
        </row>
        <row r="845">
          <cell r="A845" t="str">
            <v>2627JZ47</v>
          </cell>
          <cell r="D845" t="str">
            <v>S706</v>
          </cell>
          <cell r="E845"/>
        </row>
        <row r="846">
          <cell r="A846" t="str">
            <v>2627K347</v>
          </cell>
          <cell r="D846" t="str">
            <v>S706</v>
          </cell>
          <cell r="E846"/>
        </row>
        <row r="847">
          <cell r="A847" t="str">
            <v>2627PH27</v>
          </cell>
          <cell r="D847" t="str">
            <v>FTW503</v>
          </cell>
          <cell r="E847"/>
        </row>
        <row r="848">
          <cell r="A848" t="str">
            <v>2627PJ27</v>
          </cell>
          <cell r="D848" t="str">
            <v>FTW503</v>
          </cell>
          <cell r="E848"/>
        </row>
        <row r="849">
          <cell r="A849" t="str">
            <v>2627PM27</v>
          </cell>
          <cell r="D849" t="str">
            <v>FTW503</v>
          </cell>
          <cell r="E849"/>
        </row>
        <row r="850">
          <cell r="A850" t="str">
            <v>2627PS27</v>
          </cell>
          <cell r="D850" t="str">
            <v>FTW503</v>
          </cell>
          <cell r="E850"/>
        </row>
        <row r="851">
          <cell r="A851" t="str">
            <v>2627LJ37</v>
          </cell>
          <cell r="D851" t="str">
            <v>FTW503</v>
          </cell>
          <cell r="E851"/>
        </row>
        <row r="852">
          <cell r="A852" t="str">
            <v>2627LW37</v>
          </cell>
          <cell r="D852" t="str">
            <v>FTW503</v>
          </cell>
          <cell r="E852"/>
        </row>
        <row r="853">
          <cell r="A853" t="str">
            <v>2627SX27</v>
          </cell>
          <cell r="D853" t="str">
            <v>S706</v>
          </cell>
          <cell r="E853"/>
        </row>
        <row r="854">
          <cell r="A854" t="str">
            <v>2627U427</v>
          </cell>
          <cell r="D854" t="str">
            <v>S706</v>
          </cell>
          <cell r="E854"/>
        </row>
        <row r="855">
          <cell r="A855" t="str">
            <v>2627QM37</v>
          </cell>
          <cell r="D855" t="str">
            <v>S706</v>
          </cell>
          <cell r="E855"/>
        </row>
        <row r="856">
          <cell r="A856" t="str">
            <v>2627QN37</v>
          </cell>
          <cell r="D856" t="str">
            <v>S706</v>
          </cell>
          <cell r="E856"/>
        </row>
        <row r="857">
          <cell r="A857" t="str">
            <v>2627QP37</v>
          </cell>
          <cell r="D857" t="str">
            <v>S706</v>
          </cell>
          <cell r="E857"/>
        </row>
        <row r="858">
          <cell r="A858" t="str">
            <v>2627JC47</v>
          </cell>
          <cell r="D858" t="str">
            <v>S706</v>
          </cell>
          <cell r="E858"/>
        </row>
        <row r="859">
          <cell r="A859" t="str">
            <v>2627JG47</v>
          </cell>
          <cell r="D859" t="str">
            <v>S706</v>
          </cell>
          <cell r="E859"/>
        </row>
        <row r="860">
          <cell r="A860" t="str">
            <v>2627JL47</v>
          </cell>
          <cell r="D860" t="str">
            <v>S706</v>
          </cell>
          <cell r="E860"/>
        </row>
        <row r="861">
          <cell r="A861" t="str">
            <v>2627JM47</v>
          </cell>
          <cell r="D861" t="str">
            <v>S706</v>
          </cell>
          <cell r="E861"/>
        </row>
        <row r="862">
          <cell r="A862" t="str">
            <v>2627JN47</v>
          </cell>
          <cell r="D862" t="str">
            <v>S706</v>
          </cell>
          <cell r="E862"/>
        </row>
        <row r="863">
          <cell r="A863" t="str">
            <v>2627UE37</v>
          </cell>
          <cell r="D863" t="str">
            <v>TTS80</v>
          </cell>
          <cell r="E863"/>
        </row>
        <row r="864">
          <cell r="A864" t="str">
            <v>2627HS47</v>
          </cell>
          <cell r="D864" t="str">
            <v>FTW121KR</v>
          </cell>
          <cell r="E864"/>
        </row>
        <row r="865">
          <cell r="A865" t="str">
            <v>2627DR57</v>
          </cell>
          <cell r="D865" t="str">
            <v>FTW121KR</v>
          </cell>
          <cell r="E865"/>
        </row>
        <row r="866">
          <cell r="A866" t="str">
            <v>2627DS57</v>
          </cell>
          <cell r="D866" t="str">
            <v>FTW121KR</v>
          </cell>
          <cell r="E866"/>
        </row>
        <row r="867">
          <cell r="A867" t="str">
            <v>2627EG67</v>
          </cell>
          <cell r="D867" t="str">
            <v>FTW102K</v>
          </cell>
          <cell r="E867"/>
        </row>
        <row r="868">
          <cell r="A868" t="str">
            <v>2627EM67</v>
          </cell>
          <cell r="D868" t="str">
            <v>FTW102K</v>
          </cell>
          <cell r="E868"/>
        </row>
        <row r="869">
          <cell r="A869" t="str">
            <v>2627EN67</v>
          </cell>
          <cell r="D869" t="str">
            <v>FTW102K</v>
          </cell>
          <cell r="E869"/>
        </row>
        <row r="870">
          <cell r="A870" t="str">
            <v>2627EU67</v>
          </cell>
          <cell r="D870" t="str">
            <v>FTW102K</v>
          </cell>
          <cell r="E870"/>
        </row>
        <row r="871">
          <cell r="A871" t="str">
            <v>2627EW67</v>
          </cell>
          <cell r="D871" t="str">
            <v>FTW102K</v>
          </cell>
          <cell r="E871"/>
        </row>
        <row r="872">
          <cell r="A872" t="str">
            <v>2627F267</v>
          </cell>
          <cell r="D872" t="str">
            <v>FTW102K</v>
          </cell>
          <cell r="E872"/>
        </row>
        <row r="873">
          <cell r="A873" t="str">
            <v>2627F467</v>
          </cell>
          <cell r="D873" t="str">
            <v>FTW102K</v>
          </cell>
          <cell r="E873"/>
        </row>
        <row r="874">
          <cell r="A874" t="str">
            <v>2627F567</v>
          </cell>
          <cell r="D874" t="str">
            <v>FTW102K</v>
          </cell>
          <cell r="E874"/>
        </row>
        <row r="875">
          <cell r="A875" t="str">
            <v>2627WJ27</v>
          </cell>
          <cell r="D875" t="str">
            <v>KBP86</v>
          </cell>
          <cell r="E875"/>
        </row>
        <row r="876">
          <cell r="A876" t="str">
            <v>2627VW27</v>
          </cell>
          <cell r="D876" t="str">
            <v>TTS80</v>
          </cell>
          <cell r="E876"/>
        </row>
        <row r="877">
          <cell r="A877" t="str">
            <v>2627SY37</v>
          </cell>
          <cell r="D877" t="str">
            <v>STA156KA</v>
          </cell>
          <cell r="E877"/>
        </row>
        <row r="878">
          <cell r="A878" t="str">
            <v>2627S637</v>
          </cell>
          <cell r="D878" t="str">
            <v>S706</v>
          </cell>
          <cell r="E878"/>
        </row>
        <row r="879">
          <cell r="A879" t="str">
            <v>2627SC37</v>
          </cell>
          <cell r="D879" t="str">
            <v>S706</v>
          </cell>
          <cell r="E879"/>
        </row>
        <row r="880">
          <cell r="A880" t="str">
            <v>2627K647</v>
          </cell>
          <cell r="D880" t="str">
            <v>S706</v>
          </cell>
          <cell r="E880"/>
        </row>
        <row r="881">
          <cell r="A881" t="str">
            <v>2627DV57</v>
          </cell>
          <cell r="D881" t="str">
            <v>FTW121KR</v>
          </cell>
          <cell r="E881"/>
        </row>
        <row r="882">
          <cell r="A882" t="str">
            <v>2627ES67</v>
          </cell>
          <cell r="D882" t="str">
            <v>FTW102K</v>
          </cell>
          <cell r="E882"/>
        </row>
        <row r="883">
          <cell r="A883" t="str">
            <v>2627EV67</v>
          </cell>
          <cell r="D883" t="str">
            <v>FTW102K</v>
          </cell>
          <cell r="E883"/>
        </row>
        <row r="884">
          <cell r="A884" t="str">
            <v>2627FG67</v>
          </cell>
          <cell r="D884" t="str">
            <v>FTW102K</v>
          </cell>
          <cell r="E884"/>
        </row>
        <row r="885">
          <cell r="A885" t="str">
            <v>2627SZ67</v>
          </cell>
          <cell r="D885" t="str">
            <v>KBP86</v>
          </cell>
          <cell r="E885"/>
        </row>
        <row r="886">
          <cell r="A886" t="str">
            <v>2627PK27</v>
          </cell>
          <cell r="D886" t="str">
            <v>FTW503</v>
          </cell>
          <cell r="E886"/>
        </row>
        <row r="887">
          <cell r="A887" t="str">
            <v>2627LS37</v>
          </cell>
          <cell r="D887" t="str">
            <v>FTW503</v>
          </cell>
          <cell r="E887"/>
        </row>
        <row r="888">
          <cell r="A888" t="str">
            <v>2627LV37</v>
          </cell>
          <cell r="D888" t="str">
            <v>FTW503</v>
          </cell>
          <cell r="E888"/>
        </row>
        <row r="889">
          <cell r="A889" t="str">
            <v>2627Z157</v>
          </cell>
          <cell r="D889" t="str">
            <v>FTW503</v>
          </cell>
          <cell r="E889"/>
        </row>
        <row r="890">
          <cell r="A890" t="str">
            <v>2627K547</v>
          </cell>
          <cell r="D890" t="str">
            <v>S706</v>
          </cell>
          <cell r="E890"/>
        </row>
        <row r="891">
          <cell r="A891" t="str">
            <v>2627A727</v>
          </cell>
          <cell r="D891" t="str">
            <v>TTS80</v>
          </cell>
          <cell r="E891"/>
        </row>
        <row r="892">
          <cell r="A892" t="str">
            <v>2627SZ27</v>
          </cell>
          <cell r="D892" t="str">
            <v>S706</v>
          </cell>
          <cell r="E892"/>
        </row>
        <row r="893">
          <cell r="A893" t="str">
            <v>2627U227</v>
          </cell>
          <cell r="D893" t="str">
            <v>S706</v>
          </cell>
          <cell r="E893"/>
        </row>
        <row r="894">
          <cell r="A894" t="str">
            <v>2627QI37</v>
          </cell>
          <cell r="D894" t="str">
            <v>S706</v>
          </cell>
          <cell r="E894"/>
        </row>
        <row r="895">
          <cell r="A895" t="str">
            <v>2627K627</v>
          </cell>
          <cell r="D895" t="str">
            <v>KBP126</v>
          </cell>
          <cell r="E895"/>
        </row>
        <row r="896">
          <cell r="A896" t="str">
            <v>2627IX27</v>
          </cell>
          <cell r="D896" t="str">
            <v>STA200KA</v>
          </cell>
          <cell r="E896"/>
        </row>
        <row r="897">
          <cell r="A897" t="str">
            <v>2627IY27</v>
          </cell>
          <cell r="D897" t="str">
            <v>STA200KA</v>
          </cell>
          <cell r="E897"/>
        </row>
        <row r="898">
          <cell r="A898" t="str">
            <v>2627Q947</v>
          </cell>
          <cell r="D898" t="str">
            <v>STA156KA</v>
          </cell>
          <cell r="E898"/>
        </row>
        <row r="899">
          <cell r="A899" t="str">
            <v>2627FT67</v>
          </cell>
          <cell r="D899" t="str">
            <v>FTW121KR</v>
          </cell>
          <cell r="E899"/>
        </row>
        <row r="900">
          <cell r="A900" t="str">
            <v>2627GZ67</v>
          </cell>
          <cell r="D900" t="str">
            <v>FTW121KR</v>
          </cell>
          <cell r="E900"/>
        </row>
        <row r="901">
          <cell r="A901" t="str">
            <v>2627EX67</v>
          </cell>
          <cell r="D901" t="str">
            <v>FTW102K</v>
          </cell>
          <cell r="E901"/>
        </row>
        <row r="902">
          <cell r="A902" t="str">
            <v>2627EY67</v>
          </cell>
          <cell r="D902" t="str">
            <v>FTW102K</v>
          </cell>
          <cell r="E902"/>
        </row>
        <row r="903">
          <cell r="A903" t="str">
            <v>2627EZ67</v>
          </cell>
          <cell r="D903" t="str">
            <v>FTW102K</v>
          </cell>
          <cell r="E903"/>
        </row>
        <row r="904">
          <cell r="A904" t="str">
            <v>2627F967</v>
          </cell>
          <cell r="D904" t="str">
            <v>FTW102K</v>
          </cell>
          <cell r="E904"/>
        </row>
        <row r="905">
          <cell r="A905" t="str">
            <v>2627FC67</v>
          </cell>
          <cell r="D905" t="str">
            <v>FTW102K</v>
          </cell>
          <cell r="E905"/>
        </row>
        <row r="906">
          <cell r="A906" t="str">
            <v>2628QU17</v>
          </cell>
          <cell r="D906" t="str">
            <v>FTW102K</v>
          </cell>
          <cell r="E906"/>
        </row>
        <row r="907">
          <cell r="A907" t="str">
            <v>2627KI67</v>
          </cell>
          <cell r="D907" t="str">
            <v>KBP86</v>
          </cell>
          <cell r="E907"/>
        </row>
        <row r="908">
          <cell r="A908" t="str">
            <v>2627U367</v>
          </cell>
          <cell r="D908" t="str">
            <v>KBP86</v>
          </cell>
          <cell r="E908"/>
        </row>
        <row r="909">
          <cell r="A909" t="str">
            <v>2627U567</v>
          </cell>
          <cell r="D909" t="str">
            <v>KBP86</v>
          </cell>
          <cell r="E909"/>
        </row>
        <row r="910">
          <cell r="A910" t="str">
            <v>2627QC67</v>
          </cell>
          <cell r="D910" t="str">
            <v>TTS80</v>
          </cell>
          <cell r="E910"/>
        </row>
        <row r="911">
          <cell r="A911" t="str">
            <v>2627QT67</v>
          </cell>
          <cell r="D911" t="str">
            <v>TTS80</v>
          </cell>
          <cell r="E911"/>
        </row>
        <row r="912">
          <cell r="A912" t="str">
            <v>2627KB17</v>
          </cell>
          <cell r="D912" t="str">
            <v>KBP76</v>
          </cell>
          <cell r="E912"/>
        </row>
        <row r="913">
          <cell r="A913" t="str">
            <v>2627ZC17</v>
          </cell>
          <cell r="D913" t="str">
            <v>KBP126</v>
          </cell>
          <cell r="E913"/>
        </row>
        <row r="914">
          <cell r="A914" t="str">
            <v>2627LH37</v>
          </cell>
          <cell r="D914" t="str">
            <v>FTW503</v>
          </cell>
          <cell r="E914"/>
        </row>
        <row r="915">
          <cell r="A915" t="str">
            <v>2627LM37</v>
          </cell>
          <cell r="D915" t="str">
            <v>FTW503</v>
          </cell>
          <cell r="E915"/>
        </row>
        <row r="916">
          <cell r="A916" t="str">
            <v>2627LO37</v>
          </cell>
          <cell r="D916" t="str">
            <v>FTW503</v>
          </cell>
          <cell r="E916"/>
        </row>
        <row r="917">
          <cell r="A917" t="str">
            <v>2627O137</v>
          </cell>
          <cell r="D917" t="str">
            <v>FTW503</v>
          </cell>
          <cell r="E917"/>
        </row>
        <row r="918">
          <cell r="A918" t="str">
            <v>2627YV47</v>
          </cell>
          <cell r="D918" t="str">
            <v>FTW503</v>
          </cell>
          <cell r="E918"/>
        </row>
        <row r="919">
          <cell r="A919" t="str">
            <v>2627ZP57</v>
          </cell>
          <cell r="D919" t="str">
            <v>FTW503</v>
          </cell>
          <cell r="E919"/>
        </row>
        <row r="920">
          <cell r="A920" t="str">
            <v>2627JD47</v>
          </cell>
          <cell r="D920" t="str">
            <v>S706</v>
          </cell>
          <cell r="E920"/>
        </row>
        <row r="921">
          <cell r="A921" t="str">
            <v>2627JE47</v>
          </cell>
          <cell r="D921" t="str">
            <v>S706</v>
          </cell>
          <cell r="E921"/>
        </row>
        <row r="922">
          <cell r="A922" t="str">
            <v>2627JK47</v>
          </cell>
          <cell r="D922" t="str">
            <v>S706</v>
          </cell>
          <cell r="E922"/>
        </row>
        <row r="923">
          <cell r="A923" t="str">
            <v>2627HV67</v>
          </cell>
          <cell r="D923" t="str">
            <v>S706</v>
          </cell>
          <cell r="E923"/>
        </row>
        <row r="924">
          <cell r="A924" t="str">
            <v>2627HX67</v>
          </cell>
          <cell r="D924" t="str">
            <v>S706</v>
          </cell>
          <cell r="E924"/>
        </row>
        <row r="925">
          <cell r="A925" t="str">
            <v>2627HY67</v>
          </cell>
          <cell r="D925" t="str">
            <v>S706</v>
          </cell>
          <cell r="E925"/>
        </row>
        <row r="926">
          <cell r="A926" t="str">
            <v>2627HZ67</v>
          </cell>
          <cell r="D926" t="str">
            <v>S706</v>
          </cell>
          <cell r="E926"/>
        </row>
        <row r="927">
          <cell r="A927" t="str">
            <v>2627I167</v>
          </cell>
          <cell r="D927" t="str">
            <v>S706</v>
          </cell>
          <cell r="E927"/>
        </row>
        <row r="928">
          <cell r="A928" t="str">
            <v>2627I367</v>
          </cell>
          <cell r="D928" t="str">
            <v>S706</v>
          </cell>
          <cell r="E928"/>
        </row>
        <row r="929">
          <cell r="A929" t="str">
            <v>2627I567</v>
          </cell>
          <cell r="D929" t="str">
            <v>S706</v>
          </cell>
          <cell r="E929"/>
        </row>
        <row r="930">
          <cell r="A930" t="str">
            <v>2627S467</v>
          </cell>
          <cell r="D930" t="str">
            <v>TTS80</v>
          </cell>
          <cell r="E930"/>
        </row>
        <row r="931">
          <cell r="A931" t="str">
            <v>2627S667</v>
          </cell>
          <cell r="D931" t="str">
            <v>TTS80</v>
          </cell>
          <cell r="E931"/>
        </row>
        <row r="932">
          <cell r="A932" t="str">
            <v>2627SB67</v>
          </cell>
          <cell r="D932" t="str">
            <v>TTS80</v>
          </cell>
          <cell r="E932"/>
        </row>
        <row r="933">
          <cell r="A933" t="str">
            <v>2627XF57</v>
          </cell>
          <cell r="D933" t="str">
            <v>KBP76</v>
          </cell>
          <cell r="E933"/>
        </row>
        <row r="934">
          <cell r="A934" t="str">
            <v>2627XH57</v>
          </cell>
          <cell r="D934" t="str">
            <v>KBP76</v>
          </cell>
          <cell r="E934"/>
        </row>
        <row r="935">
          <cell r="A935" t="str">
            <v>2627XN57</v>
          </cell>
          <cell r="D935" t="str">
            <v>KBP76</v>
          </cell>
          <cell r="E935"/>
        </row>
        <row r="936">
          <cell r="A936" t="str">
            <v>2627IJ67</v>
          </cell>
          <cell r="D936" t="str">
            <v>S706</v>
          </cell>
          <cell r="E936"/>
        </row>
        <row r="937">
          <cell r="A937" t="str">
            <v>2627O767</v>
          </cell>
          <cell r="D937" t="str">
            <v>KBP76</v>
          </cell>
          <cell r="E937"/>
        </row>
        <row r="938">
          <cell r="A938" t="str">
            <v>2627JR47</v>
          </cell>
          <cell r="D938" t="str">
            <v>S706</v>
          </cell>
          <cell r="E938"/>
        </row>
        <row r="939">
          <cell r="A939" t="str">
            <v>2627DN57</v>
          </cell>
          <cell r="D939" t="str">
            <v>FTW121KR</v>
          </cell>
          <cell r="E939"/>
        </row>
        <row r="940">
          <cell r="A940" t="str">
            <v>2627DT57</v>
          </cell>
          <cell r="D940" t="str">
            <v>FTW121KR</v>
          </cell>
          <cell r="E940"/>
        </row>
        <row r="941">
          <cell r="A941" t="str">
            <v>2627DU57</v>
          </cell>
          <cell r="D941" t="str">
            <v>FTW121KR</v>
          </cell>
          <cell r="E941"/>
        </row>
        <row r="942">
          <cell r="A942" t="str">
            <v>2627UO37</v>
          </cell>
          <cell r="D942" t="str">
            <v>TTS80</v>
          </cell>
          <cell r="E942"/>
        </row>
        <row r="943">
          <cell r="A943" t="str">
            <v>2627QB67</v>
          </cell>
          <cell r="D943" t="str">
            <v>TTS80</v>
          </cell>
          <cell r="E943"/>
        </row>
        <row r="944">
          <cell r="A944" t="str">
            <v>2627QW67</v>
          </cell>
          <cell r="D944" t="str">
            <v>TTS80</v>
          </cell>
          <cell r="E944"/>
        </row>
        <row r="945">
          <cell r="A945" t="str">
            <v>2627JR67</v>
          </cell>
          <cell r="D945" t="str">
            <v>KBP76</v>
          </cell>
          <cell r="E945"/>
        </row>
        <row r="946">
          <cell r="A946" t="str">
            <v>2627K847</v>
          </cell>
          <cell r="D946" t="str">
            <v>S706</v>
          </cell>
          <cell r="E946"/>
        </row>
        <row r="947">
          <cell r="A947" t="str">
            <v>2627KE47</v>
          </cell>
          <cell r="D947" t="str">
            <v>S706</v>
          </cell>
          <cell r="E947"/>
        </row>
        <row r="948">
          <cell r="A948" t="str">
            <v>2627IF67</v>
          </cell>
          <cell r="D948" t="str">
            <v>S706</v>
          </cell>
          <cell r="E948"/>
        </row>
        <row r="949">
          <cell r="A949" t="str">
            <v>2627ZE37</v>
          </cell>
          <cell r="D949" t="str">
            <v>KBP52</v>
          </cell>
          <cell r="E949"/>
        </row>
        <row r="950">
          <cell r="A950" t="str">
            <v>2627PB27</v>
          </cell>
          <cell r="D950" t="str">
            <v>FTW503</v>
          </cell>
          <cell r="E950"/>
        </row>
        <row r="951">
          <cell r="A951" t="str">
            <v>2627PD27</v>
          </cell>
          <cell r="D951" t="str">
            <v>FTW503</v>
          </cell>
          <cell r="E951"/>
        </row>
        <row r="952">
          <cell r="A952" t="str">
            <v>2627PE27</v>
          </cell>
          <cell r="D952" t="str">
            <v>FTW503</v>
          </cell>
          <cell r="E952"/>
        </row>
        <row r="953">
          <cell r="A953" t="str">
            <v>2627LE37</v>
          </cell>
          <cell r="D953" t="str">
            <v>FTW503</v>
          </cell>
          <cell r="E953"/>
        </row>
        <row r="954">
          <cell r="A954" t="str">
            <v>2627LR37</v>
          </cell>
          <cell r="D954" t="str">
            <v>FTW503</v>
          </cell>
          <cell r="E954"/>
        </row>
        <row r="955">
          <cell r="A955" t="str">
            <v>2627LX37</v>
          </cell>
          <cell r="D955" t="str">
            <v>FTW503</v>
          </cell>
          <cell r="E955"/>
        </row>
        <row r="956">
          <cell r="A956" t="str">
            <v>2627LY37</v>
          </cell>
          <cell r="D956" t="str">
            <v>FTW503</v>
          </cell>
          <cell r="E956"/>
        </row>
        <row r="957">
          <cell r="A957" t="str">
            <v>2627YI47</v>
          </cell>
          <cell r="D957" t="str">
            <v>FTW503</v>
          </cell>
          <cell r="E957"/>
        </row>
        <row r="958">
          <cell r="A958" t="str">
            <v>2627YK47</v>
          </cell>
          <cell r="D958" t="str">
            <v>FTW503</v>
          </cell>
          <cell r="E958"/>
        </row>
        <row r="959">
          <cell r="A959" t="str">
            <v>2627YL47</v>
          </cell>
          <cell r="D959" t="str">
            <v>FTW503</v>
          </cell>
          <cell r="E959"/>
        </row>
        <row r="960">
          <cell r="A960" t="str">
            <v>2627YM47</v>
          </cell>
          <cell r="D960" t="str">
            <v>FTW503</v>
          </cell>
          <cell r="E960"/>
        </row>
        <row r="961">
          <cell r="A961" t="str">
            <v>2627YX47</v>
          </cell>
          <cell r="D961" t="str">
            <v>FTW503</v>
          </cell>
          <cell r="E961"/>
        </row>
        <row r="962">
          <cell r="A962" t="str">
            <v>2627YY47</v>
          </cell>
          <cell r="D962" t="str">
            <v>FTW503</v>
          </cell>
          <cell r="E962"/>
        </row>
        <row r="963">
          <cell r="A963" t="str">
            <v>2627ZB57</v>
          </cell>
          <cell r="D963" t="str">
            <v>FTW503</v>
          </cell>
          <cell r="E963"/>
        </row>
        <row r="964">
          <cell r="A964" t="str">
            <v>2627ZI57</v>
          </cell>
          <cell r="D964" t="str">
            <v>FTW503</v>
          </cell>
          <cell r="E964"/>
        </row>
        <row r="965">
          <cell r="A965" t="str">
            <v>2627ZO57</v>
          </cell>
          <cell r="D965" t="str">
            <v>FTW503</v>
          </cell>
          <cell r="E965"/>
        </row>
        <row r="966">
          <cell r="A966" t="str">
            <v>2627ZR57</v>
          </cell>
          <cell r="D966" t="str">
            <v>FTW503</v>
          </cell>
          <cell r="E966"/>
        </row>
        <row r="967">
          <cell r="A967" t="str">
            <v>2627ZX57</v>
          </cell>
          <cell r="D967" t="str">
            <v>FTW503</v>
          </cell>
          <cell r="E967"/>
        </row>
        <row r="968">
          <cell r="A968" t="str">
            <v>2627JO67</v>
          </cell>
          <cell r="D968" t="str">
            <v>KBP76</v>
          </cell>
          <cell r="E968"/>
        </row>
        <row r="969">
          <cell r="A969" t="str">
            <v>2627QD37</v>
          </cell>
          <cell r="D969" t="str">
            <v>KBP52</v>
          </cell>
          <cell r="E969"/>
        </row>
        <row r="970">
          <cell r="A970" t="str">
            <v>2627JQ67</v>
          </cell>
          <cell r="D970" t="str">
            <v>KBP76</v>
          </cell>
          <cell r="E970"/>
        </row>
        <row r="971">
          <cell r="A971" t="str">
            <v>2627OF67</v>
          </cell>
          <cell r="D971" t="str">
            <v>KBP86</v>
          </cell>
          <cell r="E971"/>
        </row>
        <row r="972">
          <cell r="A972" t="str">
            <v>2627Y167</v>
          </cell>
          <cell r="D972" t="str">
            <v>KBP76</v>
          </cell>
          <cell r="E972"/>
        </row>
        <row r="973">
          <cell r="A973" t="str">
            <v>2627Y267</v>
          </cell>
          <cell r="D973" t="str">
            <v>KBP76</v>
          </cell>
          <cell r="E973"/>
        </row>
        <row r="974">
          <cell r="A974" t="str">
            <v>2627EH67</v>
          </cell>
          <cell r="D974" t="str">
            <v>FTW102K</v>
          </cell>
          <cell r="E974"/>
        </row>
        <row r="975">
          <cell r="A975" t="str">
            <v>2627OT57</v>
          </cell>
          <cell r="D975" t="str">
            <v>KBP86</v>
          </cell>
          <cell r="E975"/>
        </row>
        <row r="976">
          <cell r="A976" t="str">
            <v>2628UK17</v>
          </cell>
          <cell r="D976" t="str">
            <v>KBP52</v>
          </cell>
          <cell r="E976"/>
        </row>
        <row r="977">
          <cell r="A977" t="str">
            <v>2627JS67</v>
          </cell>
          <cell r="D977" t="str">
            <v>KBP76</v>
          </cell>
          <cell r="E977"/>
        </row>
        <row r="978">
          <cell r="A978" t="str">
            <v>2627IV67</v>
          </cell>
          <cell r="D978" t="str">
            <v>S706</v>
          </cell>
          <cell r="E978"/>
        </row>
        <row r="979">
          <cell r="A979" t="str">
            <v>2627IW67</v>
          </cell>
          <cell r="D979" t="str">
            <v>S706</v>
          </cell>
          <cell r="E979"/>
        </row>
        <row r="980">
          <cell r="A980" t="str">
            <v>2627LO47</v>
          </cell>
          <cell r="D980" t="str">
            <v>TTS80</v>
          </cell>
          <cell r="E980"/>
        </row>
        <row r="981">
          <cell r="A981" t="str">
            <v>2627QA67</v>
          </cell>
          <cell r="D981" t="str">
            <v>TTS80</v>
          </cell>
          <cell r="E981"/>
        </row>
        <row r="982">
          <cell r="A982" t="str">
            <v>2627ID67</v>
          </cell>
          <cell r="D982" t="str">
            <v>S706</v>
          </cell>
          <cell r="E982"/>
        </row>
        <row r="983">
          <cell r="A983" t="str">
            <v>2627IM67</v>
          </cell>
          <cell r="D983" t="str">
            <v>S706</v>
          </cell>
          <cell r="E983"/>
        </row>
        <row r="984">
          <cell r="A984" t="str">
            <v>2627SX67</v>
          </cell>
          <cell r="D984" t="str">
            <v>KBP86</v>
          </cell>
          <cell r="E984"/>
        </row>
        <row r="985">
          <cell r="A985" t="str">
            <v>2627FX67</v>
          </cell>
          <cell r="D985" t="str">
            <v>FTW121KR</v>
          </cell>
          <cell r="E985"/>
        </row>
        <row r="986">
          <cell r="A986" t="str">
            <v>2627G767</v>
          </cell>
          <cell r="D986" t="str">
            <v>FTW121KR</v>
          </cell>
          <cell r="E986"/>
        </row>
        <row r="987">
          <cell r="A987" t="str">
            <v>2627GJ67</v>
          </cell>
          <cell r="D987" t="str">
            <v>FTW121KR</v>
          </cell>
          <cell r="E987"/>
        </row>
        <row r="988">
          <cell r="A988" t="str">
            <v>2627H267</v>
          </cell>
          <cell r="D988" t="str">
            <v>FTW121KR</v>
          </cell>
          <cell r="E988"/>
        </row>
        <row r="989">
          <cell r="A989" t="str">
            <v>2627H967</v>
          </cell>
          <cell r="D989" t="str">
            <v>FTW121KR</v>
          </cell>
          <cell r="E989"/>
        </row>
        <row r="990">
          <cell r="A990" t="str">
            <v>2627F167</v>
          </cell>
          <cell r="D990" t="str">
            <v>FTW102K</v>
          </cell>
          <cell r="E990"/>
        </row>
        <row r="991">
          <cell r="A991" t="str">
            <v>2627SV37</v>
          </cell>
          <cell r="D991" t="str">
            <v>STA156KA</v>
          </cell>
          <cell r="E991"/>
        </row>
        <row r="992">
          <cell r="A992" t="str">
            <v>2627K827</v>
          </cell>
          <cell r="D992" t="str">
            <v>KBP86</v>
          </cell>
          <cell r="E992"/>
        </row>
        <row r="993">
          <cell r="A993" t="str">
            <v>2627IA67</v>
          </cell>
          <cell r="D993" t="str">
            <v>S706</v>
          </cell>
          <cell r="E993"/>
        </row>
        <row r="994">
          <cell r="A994" t="str">
            <v>2627IG67</v>
          </cell>
          <cell r="D994" t="str">
            <v>S706</v>
          </cell>
          <cell r="E994"/>
        </row>
        <row r="995">
          <cell r="A995" t="str">
            <v>2627IX67</v>
          </cell>
          <cell r="D995" t="str">
            <v>S706</v>
          </cell>
          <cell r="E995"/>
        </row>
        <row r="996">
          <cell r="A996" t="str">
            <v>2627DI57</v>
          </cell>
          <cell r="D996" t="str">
            <v>FTW102K</v>
          </cell>
          <cell r="E996"/>
        </row>
        <row r="997">
          <cell r="A997" t="str">
            <v>2627YS47</v>
          </cell>
          <cell r="D997" t="str">
            <v>FTW503</v>
          </cell>
          <cell r="E997"/>
        </row>
        <row r="998">
          <cell r="A998" t="str">
            <v>2627Y157</v>
          </cell>
          <cell r="D998" t="str">
            <v>FTW503</v>
          </cell>
          <cell r="E998"/>
        </row>
        <row r="999">
          <cell r="A999" t="str">
            <v>2627ZI67</v>
          </cell>
          <cell r="D999" t="str">
            <v>FTW503</v>
          </cell>
          <cell r="E999"/>
        </row>
        <row r="1000">
          <cell r="A1000" t="str">
            <v>2627JF67</v>
          </cell>
          <cell r="D1000" t="str">
            <v>KBP76</v>
          </cell>
          <cell r="E1000"/>
        </row>
        <row r="1001">
          <cell r="A1001" t="str">
            <v>2627OT37</v>
          </cell>
          <cell r="D1001" t="str">
            <v>FTW121KR</v>
          </cell>
          <cell r="E1001"/>
        </row>
        <row r="1002">
          <cell r="A1002" t="str">
            <v>2627X927</v>
          </cell>
          <cell r="D1002" t="str">
            <v>KBP76</v>
          </cell>
          <cell r="E1002"/>
        </row>
        <row r="1003">
          <cell r="A1003" t="str">
            <v>2627HR67</v>
          </cell>
          <cell r="D1003" t="str">
            <v>KBP52</v>
          </cell>
          <cell r="E1003"/>
        </row>
        <row r="1004">
          <cell r="A1004" t="str">
            <v>2627IR67</v>
          </cell>
          <cell r="D1004" t="str">
            <v>S706</v>
          </cell>
          <cell r="E1004"/>
        </row>
        <row r="1005">
          <cell r="A1005" t="str">
            <v>2627IS67</v>
          </cell>
          <cell r="D1005" t="str">
            <v>S706</v>
          </cell>
          <cell r="E1005"/>
        </row>
        <row r="1006">
          <cell r="A1006" t="str">
            <v>2627I347</v>
          </cell>
          <cell r="D1006" t="str">
            <v>FTW121KR</v>
          </cell>
          <cell r="E1006"/>
        </row>
        <row r="1007">
          <cell r="A1007" t="str">
            <v>2627FR70</v>
          </cell>
          <cell r="D1007" t="str">
            <v xml:space="preserve">TTS125    </v>
          </cell>
          <cell r="E1007"/>
        </row>
        <row r="1008">
          <cell r="A1008" t="str">
            <v>2627L337</v>
          </cell>
          <cell r="D1008" t="str">
            <v>KBP76</v>
          </cell>
          <cell r="E1008"/>
        </row>
        <row r="1009">
          <cell r="A1009" t="str">
            <v>2627FR67</v>
          </cell>
          <cell r="D1009" t="str">
            <v>FTW121KR</v>
          </cell>
          <cell r="E1009"/>
        </row>
        <row r="1010">
          <cell r="A1010" t="str">
            <v>2628JG27</v>
          </cell>
          <cell r="D1010" t="str">
            <v>FTW121KR</v>
          </cell>
          <cell r="E1010"/>
        </row>
        <row r="1011">
          <cell r="A1011" t="str">
            <v>2627O167</v>
          </cell>
          <cell r="D1011" t="str">
            <v>S805</v>
          </cell>
          <cell r="E1011"/>
        </row>
        <row r="1012">
          <cell r="A1012" t="str">
            <v>2627EI67</v>
          </cell>
          <cell r="D1012" t="str">
            <v>FTW102K</v>
          </cell>
          <cell r="E1012"/>
        </row>
        <row r="1013">
          <cell r="A1013" t="str">
            <v>2627FA67</v>
          </cell>
          <cell r="D1013" t="str">
            <v>FTW102K</v>
          </cell>
          <cell r="E1013"/>
        </row>
        <row r="1014">
          <cell r="A1014" t="str">
            <v>2627FB67</v>
          </cell>
          <cell r="D1014" t="str">
            <v>FTW102K</v>
          </cell>
          <cell r="E1014"/>
        </row>
        <row r="1015">
          <cell r="A1015" t="str">
            <v>2627FH67</v>
          </cell>
          <cell r="D1015" t="str">
            <v>FTW102K</v>
          </cell>
          <cell r="E1015"/>
        </row>
        <row r="1016">
          <cell r="A1016" t="str">
            <v>2628QJ17</v>
          </cell>
          <cell r="D1016" t="str">
            <v>FTW102K</v>
          </cell>
          <cell r="E1016"/>
        </row>
        <row r="1017">
          <cell r="A1017" t="str">
            <v>2628QK17</v>
          </cell>
          <cell r="D1017" t="str">
            <v>FTW102K</v>
          </cell>
          <cell r="E1017"/>
        </row>
        <row r="1018">
          <cell r="A1018" t="str">
            <v>2628QM17</v>
          </cell>
          <cell r="D1018" t="str">
            <v>FTW102K</v>
          </cell>
          <cell r="E1018"/>
        </row>
        <row r="1019">
          <cell r="A1019" t="str">
            <v>2628QS17</v>
          </cell>
          <cell r="D1019" t="str">
            <v>FTW102K</v>
          </cell>
          <cell r="E1019"/>
        </row>
        <row r="1020">
          <cell r="A1020" t="str">
            <v>2628QW17</v>
          </cell>
          <cell r="D1020" t="str">
            <v>FTW102K</v>
          </cell>
          <cell r="E1020"/>
        </row>
        <row r="1021">
          <cell r="A1021" t="str">
            <v>2628QX17</v>
          </cell>
          <cell r="D1021" t="str">
            <v>FTW102K</v>
          </cell>
          <cell r="E1021"/>
        </row>
        <row r="1022">
          <cell r="A1022" t="str">
            <v>2627KG67</v>
          </cell>
          <cell r="D1022" t="str">
            <v>KBP86</v>
          </cell>
          <cell r="E1022"/>
        </row>
        <row r="1023">
          <cell r="A1023" t="str">
            <v>2627HN67</v>
          </cell>
          <cell r="D1023" t="str">
            <v>KBP86</v>
          </cell>
          <cell r="E1023"/>
        </row>
        <row r="1024">
          <cell r="A1024" t="str">
            <v>2627OX67</v>
          </cell>
          <cell r="D1024" t="str">
            <v>KBP76</v>
          </cell>
          <cell r="E1024"/>
        </row>
        <row r="1025">
          <cell r="A1025" t="str">
            <v>2627YD57</v>
          </cell>
          <cell r="D1025" t="str">
            <v>FTP200</v>
          </cell>
          <cell r="E1025"/>
        </row>
        <row r="1026">
          <cell r="A1026" t="str">
            <v>2627IE67</v>
          </cell>
          <cell r="D1026" t="str">
            <v>S706</v>
          </cell>
          <cell r="E1026"/>
        </row>
        <row r="1027">
          <cell r="A1027" t="str">
            <v>2627GS67</v>
          </cell>
          <cell r="D1027" t="str">
            <v>FTW121KR</v>
          </cell>
          <cell r="E1027"/>
        </row>
        <row r="1028">
          <cell r="A1028" t="str">
            <v>2627QK67</v>
          </cell>
          <cell r="D1028" t="str">
            <v>TTS80</v>
          </cell>
          <cell r="E1028"/>
        </row>
        <row r="1029">
          <cell r="A1029" t="str">
            <v>2627ZM57</v>
          </cell>
          <cell r="D1029" t="str">
            <v>FTW503</v>
          </cell>
          <cell r="E1029"/>
        </row>
        <row r="1030">
          <cell r="A1030" t="str">
            <v>2627ZU67</v>
          </cell>
          <cell r="D1030" t="str">
            <v>FTW503</v>
          </cell>
          <cell r="E1030"/>
        </row>
        <row r="1031">
          <cell r="A1031" t="str">
            <v>2627ZX67</v>
          </cell>
          <cell r="D1031" t="str">
            <v>FTW503</v>
          </cell>
          <cell r="E1031"/>
        </row>
        <row r="1032">
          <cell r="A1032" t="str">
            <v>2627FQ60</v>
          </cell>
          <cell r="D1032" t="str">
            <v xml:space="preserve">TTS125    </v>
          </cell>
          <cell r="E1032"/>
        </row>
        <row r="1033">
          <cell r="A1033" t="str">
            <v>2628IE27</v>
          </cell>
          <cell r="D1033" t="str">
            <v>FTW102K</v>
          </cell>
          <cell r="E1033"/>
        </row>
        <row r="1034">
          <cell r="A1034" t="str">
            <v>2628IJ27</v>
          </cell>
          <cell r="D1034" t="str">
            <v>FTW102K</v>
          </cell>
          <cell r="E1034"/>
        </row>
        <row r="1035">
          <cell r="A1035" t="str">
            <v>2627KR47</v>
          </cell>
          <cell r="D1035" t="str">
            <v>STA156KA</v>
          </cell>
          <cell r="E1035"/>
        </row>
        <row r="1036">
          <cell r="A1036" t="str">
            <v>2627J667</v>
          </cell>
          <cell r="D1036" t="str">
            <v>STA156KA</v>
          </cell>
          <cell r="E1036"/>
        </row>
        <row r="1037">
          <cell r="A1037" t="str">
            <v>2627LX67</v>
          </cell>
          <cell r="D1037" t="str">
            <v>STA156KA</v>
          </cell>
          <cell r="E1037"/>
        </row>
        <row r="1038">
          <cell r="A1038" t="str">
            <v>2627XM57</v>
          </cell>
          <cell r="D1038" t="str">
            <v>KBP76</v>
          </cell>
          <cell r="E1038"/>
        </row>
        <row r="1039">
          <cell r="A1039" t="str">
            <v>2627XP57</v>
          </cell>
          <cell r="D1039" t="str">
            <v>KBP76</v>
          </cell>
          <cell r="E1039"/>
        </row>
        <row r="1040">
          <cell r="A1040" t="str">
            <v>2627PV67</v>
          </cell>
          <cell r="D1040" t="str">
            <v>TTS50</v>
          </cell>
          <cell r="E1040"/>
        </row>
        <row r="1041">
          <cell r="A1041" t="str">
            <v>2627J267</v>
          </cell>
          <cell r="D1041" t="str">
            <v>S706</v>
          </cell>
          <cell r="E1041"/>
        </row>
        <row r="1042">
          <cell r="A1042" t="str">
            <v>2628VX17</v>
          </cell>
          <cell r="D1042" t="str">
            <v>S706</v>
          </cell>
          <cell r="E1042"/>
        </row>
        <row r="1043">
          <cell r="A1043" t="str">
            <v>2627YA57</v>
          </cell>
          <cell r="D1043" t="str">
            <v>FTW503</v>
          </cell>
          <cell r="E1043"/>
        </row>
        <row r="1044">
          <cell r="A1044" t="str">
            <v>2627YG47</v>
          </cell>
          <cell r="D1044" t="str">
            <v>FTW503</v>
          </cell>
          <cell r="E1044"/>
        </row>
        <row r="1045">
          <cell r="A1045" t="str">
            <v>2627PT67</v>
          </cell>
          <cell r="D1045" t="str">
            <v>KBP55</v>
          </cell>
          <cell r="E1045"/>
        </row>
        <row r="1046">
          <cell r="A1046" t="str">
            <v>2627SV67</v>
          </cell>
          <cell r="D1046" t="str">
            <v>KBP86</v>
          </cell>
          <cell r="E1046"/>
        </row>
        <row r="1047">
          <cell r="A1047" t="str">
            <v>2627ZC57</v>
          </cell>
          <cell r="D1047" t="str">
            <v>FTW503</v>
          </cell>
          <cell r="E1047"/>
        </row>
        <row r="1048">
          <cell r="A1048" t="str">
            <v>2627ZT67</v>
          </cell>
          <cell r="D1048" t="str">
            <v>FTW503</v>
          </cell>
          <cell r="E1048"/>
        </row>
        <row r="1049">
          <cell r="A1049" t="str">
            <v>2627HL37</v>
          </cell>
          <cell r="D1049" t="str">
            <v>KBP86</v>
          </cell>
          <cell r="E1049"/>
        </row>
        <row r="1050">
          <cell r="A1050" t="str">
            <v>2628S517</v>
          </cell>
          <cell r="D1050" t="str">
            <v>FTW121KR</v>
          </cell>
          <cell r="E1050"/>
        </row>
        <row r="1051">
          <cell r="A1051" t="str">
            <v>2628S717</v>
          </cell>
          <cell r="D1051" t="str">
            <v>FTW121KR</v>
          </cell>
          <cell r="E1051"/>
        </row>
        <row r="1052">
          <cell r="A1052" t="str">
            <v>2628ST17</v>
          </cell>
          <cell r="D1052" t="str">
            <v>FTW121KR</v>
          </cell>
          <cell r="E1052"/>
        </row>
        <row r="1053">
          <cell r="A1053" t="str">
            <v>2628SU17</v>
          </cell>
          <cell r="D1053" t="str">
            <v>FTW121KR</v>
          </cell>
          <cell r="E1053"/>
        </row>
        <row r="1054">
          <cell r="A1054" t="str">
            <v>2628SY17</v>
          </cell>
          <cell r="D1054" t="str">
            <v>FTW121KR</v>
          </cell>
          <cell r="E1054"/>
        </row>
        <row r="1055">
          <cell r="A1055" t="str">
            <v>2628IO27</v>
          </cell>
          <cell r="D1055" t="str">
            <v>FTW121KR</v>
          </cell>
          <cell r="E1055"/>
        </row>
        <row r="1056">
          <cell r="A1056" t="str">
            <v>2627O267</v>
          </cell>
          <cell r="D1056" t="str">
            <v>S805</v>
          </cell>
          <cell r="E1056"/>
        </row>
        <row r="1057">
          <cell r="A1057" t="str">
            <v>2627O467</v>
          </cell>
          <cell r="D1057" t="str">
            <v>S805</v>
          </cell>
          <cell r="E1057"/>
        </row>
        <row r="1058">
          <cell r="A1058" t="str">
            <v>2627O567</v>
          </cell>
          <cell r="D1058" t="str">
            <v>S805</v>
          </cell>
          <cell r="E1058"/>
        </row>
        <row r="1059">
          <cell r="A1059" t="str">
            <v>2628VH17</v>
          </cell>
          <cell r="D1059" t="str">
            <v>S805</v>
          </cell>
          <cell r="E1059"/>
        </row>
        <row r="1060">
          <cell r="A1060" t="str">
            <v>2628QR17</v>
          </cell>
          <cell r="D1060" t="str">
            <v>FTW102K</v>
          </cell>
          <cell r="E1060"/>
        </row>
        <row r="1061">
          <cell r="A1061" t="str">
            <v>2628II27</v>
          </cell>
          <cell r="D1061" t="str">
            <v>FTW102K</v>
          </cell>
          <cell r="E1061"/>
        </row>
        <row r="1062">
          <cell r="A1062" t="str">
            <v>2627KH67</v>
          </cell>
          <cell r="D1062" t="str">
            <v>KBP86</v>
          </cell>
          <cell r="E1062"/>
        </row>
        <row r="1063">
          <cell r="A1063" t="str">
            <v>2627U267</v>
          </cell>
          <cell r="D1063" t="str">
            <v>KBP86</v>
          </cell>
          <cell r="E1063"/>
        </row>
        <row r="1064">
          <cell r="A1064" t="str">
            <v>2627QG67</v>
          </cell>
          <cell r="D1064" t="str">
            <v>TTS80</v>
          </cell>
          <cell r="E1064"/>
        </row>
        <row r="1065">
          <cell r="A1065" t="str">
            <v>2627QH67</v>
          </cell>
          <cell r="D1065" t="str">
            <v>TTS80</v>
          </cell>
          <cell r="E1065"/>
        </row>
        <row r="1066">
          <cell r="A1066" t="str">
            <v>2627SI67</v>
          </cell>
          <cell r="D1066" t="str">
            <v>TTS80</v>
          </cell>
          <cell r="E1066"/>
        </row>
        <row r="1067">
          <cell r="A1067" t="str">
            <v>2627SL67</v>
          </cell>
          <cell r="D1067" t="str">
            <v>TTS80</v>
          </cell>
          <cell r="E1067"/>
        </row>
        <row r="1068">
          <cell r="A1068" t="str">
            <v>2628XL17</v>
          </cell>
          <cell r="D1068" t="str">
            <v>TTS80</v>
          </cell>
          <cell r="E1068"/>
        </row>
        <row r="1069">
          <cell r="A1069" t="str">
            <v>2627JU67</v>
          </cell>
          <cell r="D1069" t="str">
            <v>KBP76</v>
          </cell>
          <cell r="E1069"/>
        </row>
        <row r="1070">
          <cell r="A1070" t="str">
            <v>2627JV67</v>
          </cell>
          <cell r="D1070" t="str">
            <v>KBP76</v>
          </cell>
          <cell r="E1070"/>
        </row>
        <row r="1071">
          <cell r="A1071" t="str">
            <v>2627OO67</v>
          </cell>
          <cell r="D1071" t="str">
            <v>KBP76</v>
          </cell>
          <cell r="E1071"/>
        </row>
        <row r="1072">
          <cell r="A1072" t="str">
            <v>2627OV67</v>
          </cell>
          <cell r="D1072" t="str">
            <v>KBP76</v>
          </cell>
          <cell r="E1072"/>
        </row>
        <row r="1073">
          <cell r="A1073" t="str">
            <v>2628VN17</v>
          </cell>
          <cell r="D1073" t="str">
            <v>S706</v>
          </cell>
          <cell r="E1073"/>
        </row>
        <row r="1074">
          <cell r="A1074" t="str">
            <v>2628VS17</v>
          </cell>
          <cell r="D1074" t="str">
            <v>S706</v>
          </cell>
          <cell r="E1074"/>
        </row>
        <row r="1075">
          <cell r="A1075" t="str">
            <v>2628W217</v>
          </cell>
          <cell r="D1075" t="str">
            <v>S706</v>
          </cell>
          <cell r="E1075"/>
        </row>
        <row r="1076">
          <cell r="A1076" t="str">
            <v>2627DD57</v>
          </cell>
          <cell r="D1076" t="str">
            <v>FTW102K</v>
          </cell>
          <cell r="E1076"/>
        </row>
        <row r="1077">
          <cell r="A1077" t="str">
            <v>2627DG57</v>
          </cell>
          <cell r="D1077" t="str">
            <v>FTW102K</v>
          </cell>
          <cell r="E1077"/>
        </row>
        <row r="1078">
          <cell r="A1078" t="str">
            <v>2628I327</v>
          </cell>
          <cell r="D1078" t="str">
            <v>FTW102K</v>
          </cell>
          <cell r="E1078"/>
        </row>
        <row r="1079">
          <cell r="A1079" t="str">
            <v>2628I427</v>
          </cell>
          <cell r="D1079" t="str">
            <v>FTW102K</v>
          </cell>
          <cell r="E1079"/>
        </row>
        <row r="1080">
          <cell r="A1080" t="str">
            <v>2628I727</v>
          </cell>
          <cell r="D1080" t="str">
            <v>FTW102K</v>
          </cell>
          <cell r="E1080"/>
        </row>
        <row r="1081">
          <cell r="A1081" t="str">
            <v>2627Y257</v>
          </cell>
          <cell r="D1081" t="str">
            <v>FTW503</v>
          </cell>
          <cell r="E1081"/>
        </row>
        <row r="1082">
          <cell r="A1082" t="str">
            <v>2627ZG67</v>
          </cell>
          <cell r="D1082" t="str">
            <v>FTW503</v>
          </cell>
          <cell r="E1082"/>
        </row>
        <row r="1083">
          <cell r="A1083" t="str">
            <v>2627ZH67</v>
          </cell>
          <cell r="D1083" t="str">
            <v>FTW503</v>
          </cell>
          <cell r="E1083"/>
        </row>
        <row r="1084">
          <cell r="A1084" t="str">
            <v>2627AH67</v>
          </cell>
          <cell r="D1084" t="str">
            <v>TTS50</v>
          </cell>
          <cell r="E1084"/>
        </row>
        <row r="1085">
          <cell r="A1085" t="str">
            <v>2627AR67</v>
          </cell>
          <cell r="D1085" t="str">
            <v>TTS50</v>
          </cell>
          <cell r="E1085"/>
        </row>
        <row r="1086">
          <cell r="A1086" t="str">
            <v>2628WH17</v>
          </cell>
          <cell r="D1086" t="str">
            <v>KBP76</v>
          </cell>
          <cell r="E1086"/>
        </row>
        <row r="1087">
          <cell r="A1087" t="str">
            <v>2627LL67</v>
          </cell>
          <cell r="D1087" t="str">
            <v>FTW102K</v>
          </cell>
          <cell r="E1087"/>
        </row>
        <row r="1088">
          <cell r="A1088" t="str">
            <v>2627LM67</v>
          </cell>
          <cell r="D1088" t="str">
            <v>FTW102K</v>
          </cell>
          <cell r="E1088"/>
        </row>
        <row r="1089">
          <cell r="A1089" t="str">
            <v>2627LO67</v>
          </cell>
          <cell r="D1089" t="str">
            <v>FTW102K</v>
          </cell>
          <cell r="E1089"/>
        </row>
        <row r="1090">
          <cell r="A1090" t="str">
            <v>2627I867</v>
          </cell>
          <cell r="D1090" t="str">
            <v>S706</v>
          </cell>
          <cell r="E1090"/>
        </row>
        <row r="1091">
          <cell r="A1091" t="str">
            <v>2627LI47</v>
          </cell>
          <cell r="D1091" t="str">
            <v>FTP200</v>
          </cell>
          <cell r="E1091"/>
        </row>
        <row r="1092">
          <cell r="A1092" t="str">
            <v>2627FY47</v>
          </cell>
          <cell r="D1092" t="str">
            <v>KBP76</v>
          </cell>
          <cell r="E1092"/>
        </row>
        <row r="1093">
          <cell r="A1093" t="str">
            <v>2627Y957</v>
          </cell>
          <cell r="D1093" t="str">
            <v>FTW503</v>
          </cell>
          <cell r="E1093"/>
        </row>
        <row r="1094">
          <cell r="A1094" t="str">
            <v>2627ZV57</v>
          </cell>
          <cell r="D1094" t="str">
            <v>FTW503</v>
          </cell>
          <cell r="E1094"/>
        </row>
        <row r="1095">
          <cell r="A1095" t="str">
            <v>2627FR90</v>
          </cell>
          <cell r="E1095"/>
        </row>
        <row r="1096">
          <cell r="A1096" t="str">
            <v>2627FS10</v>
          </cell>
          <cell r="E1096"/>
        </row>
        <row r="1097">
          <cell r="A1097" t="str">
            <v>2628QL17</v>
          </cell>
          <cell r="D1097" t="str">
            <v>FTW102K</v>
          </cell>
          <cell r="E1097"/>
        </row>
        <row r="1098">
          <cell r="A1098" t="str">
            <v>2628IK27</v>
          </cell>
          <cell r="D1098" t="str">
            <v>FTW102K</v>
          </cell>
          <cell r="E1098"/>
        </row>
        <row r="1099">
          <cell r="A1099" t="str">
            <v>2627HG67</v>
          </cell>
          <cell r="D1099" t="str">
            <v>FTW121KR</v>
          </cell>
          <cell r="E1099"/>
        </row>
        <row r="1100">
          <cell r="A1100" t="str">
            <v>2628S117</v>
          </cell>
          <cell r="D1100" t="str">
            <v>FTW121KR</v>
          </cell>
          <cell r="E1100"/>
        </row>
        <row r="1101">
          <cell r="A1101" t="str">
            <v>2627SH67</v>
          </cell>
          <cell r="D1101" t="str">
            <v>TTS80</v>
          </cell>
          <cell r="E1101"/>
        </row>
        <row r="1102">
          <cell r="A1102" t="str">
            <v>2627XK57</v>
          </cell>
          <cell r="D1102" t="str">
            <v>KBP76</v>
          </cell>
          <cell r="E1102"/>
        </row>
        <row r="1103">
          <cell r="A1103" t="str">
            <v>2628GD27</v>
          </cell>
          <cell r="D1103" t="str">
            <v>KBP76</v>
          </cell>
          <cell r="E1103"/>
        </row>
        <row r="1104">
          <cell r="A1104" t="str">
            <v>2627OM67</v>
          </cell>
          <cell r="D1104" t="str">
            <v>KBP76</v>
          </cell>
          <cell r="E1104"/>
        </row>
        <row r="1105">
          <cell r="A1105" t="str">
            <v>2627AN67</v>
          </cell>
          <cell r="D1105" t="str">
            <v>TTS50</v>
          </cell>
          <cell r="E1105"/>
        </row>
        <row r="1106">
          <cell r="A1106" t="str">
            <v>2628PT17</v>
          </cell>
          <cell r="D1106" t="str">
            <v>TTS50</v>
          </cell>
          <cell r="E1106"/>
        </row>
        <row r="1107">
          <cell r="A1107" t="str">
            <v>2628QA17</v>
          </cell>
          <cell r="D1107" t="str">
            <v>TTS50</v>
          </cell>
          <cell r="E1107"/>
        </row>
        <row r="1108">
          <cell r="A1108" t="str">
            <v>2628QE17</v>
          </cell>
          <cell r="D1108" t="str">
            <v>TTS50</v>
          </cell>
          <cell r="E1108"/>
        </row>
        <row r="1109">
          <cell r="A1109" t="str">
            <v>2627JJ67</v>
          </cell>
          <cell r="D1109" t="str">
            <v>KBP76</v>
          </cell>
          <cell r="E1109"/>
        </row>
        <row r="1110">
          <cell r="A1110" t="str">
            <v>2627I667</v>
          </cell>
          <cell r="D1110" t="str">
            <v>S706</v>
          </cell>
          <cell r="E1110"/>
        </row>
        <row r="1111">
          <cell r="A1111" t="str">
            <v>2627OI67</v>
          </cell>
          <cell r="D1111" t="str">
            <v>KBP86</v>
          </cell>
          <cell r="E1111"/>
        </row>
        <row r="1112">
          <cell r="A1112" t="str">
            <v>2627O367</v>
          </cell>
          <cell r="D1112" t="str">
            <v>S805</v>
          </cell>
          <cell r="E1112"/>
        </row>
        <row r="1113">
          <cell r="A1113" t="str">
            <v>2627QN67</v>
          </cell>
          <cell r="D1113" t="str">
            <v>TTS80</v>
          </cell>
          <cell r="E1113"/>
        </row>
        <row r="1114">
          <cell r="A1114" t="str">
            <v>2627QP67</v>
          </cell>
          <cell r="D1114" t="str">
            <v>TTS80</v>
          </cell>
          <cell r="E1114"/>
        </row>
        <row r="1115">
          <cell r="A1115" t="str">
            <v>2627SK67</v>
          </cell>
          <cell r="D1115" t="str">
            <v>TTS80</v>
          </cell>
          <cell r="E1115"/>
        </row>
        <row r="1116">
          <cell r="A1116" t="str">
            <v>2628X717</v>
          </cell>
          <cell r="D1116" t="str">
            <v>TTS80</v>
          </cell>
          <cell r="E1116"/>
        </row>
        <row r="1117">
          <cell r="A1117" t="str">
            <v>2628XD17</v>
          </cell>
          <cell r="D1117" t="str">
            <v>TTS80</v>
          </cell>
          <cell r="E1117"/>
        </row>
        <row r="1118">
          <cell r="A1118" t="str">
            <v>2628SU27</v>
          </cell>
          <cell r="D1118" t="str">
            <v>TTS80</v>
          </cell>
          <cell r="E1118"/>
        </row>
        <row r="1119">
          <cell r="A1119" t="str">
            <v>2628V517</v>
          </cell>
          <cell r="D1119" t="str">
            <v>TTS80</v>
          </cell>
          <cell r="E1119"/>
        </row>
        <row r="1120">
          <cell r="A1120" t="str">
            <v>2628V717</v>
          </cell>
          <cell r="D1120" t="str">
            <v>TTS80</v>
          </cell>
          <cell r="E1120"/>
        </row>
        <row r="1121">
          <cell r="A1121" t="str">
            <v>2628V817</v>
          </cell>
          <cell r="D1121" t="str">
            <v>TTS80</v>
          </cell>
          <cell r="E1121"/>
        </row>
        <row r="1122">
          <cell r="A1122" t="str">
            <v>2628V917</v>
          </cell>
          <cell r="D1122" t="str">
            <v>TTS80</v>
          </cell>
          <cell r="E1122"/>
        </row>
        <row r="1123">
          <cell r="A1123" t="str">
            <v>2628VA17</v>
          </cell>
          <cell r="D1123" t="str">
            <v>TTS80</v>
          </cell>
          <cell r="E1123"/>
        </row>
        <row r="1124">
          <cell r="A1124" t="str">
            <v>2628VB17</v>
          </cell>
          <cell r="D1124" t="str">
            <v>TTS80</v>
          </cell>
          <cell r="E1124"/>
        </row>
        <row r="1125">
          <cell r="A1125" t="str">
            <v>2628VC17</v>
          </cell>
          <cell r="D1125" t="str">
            <v>TTS80</v>
          </cell>
          <cell r="E1125"/>
        </row>
        <row r="1126">
          <cell r="A1126" t="str">
            <v>2628KG27</v>
          </cell>
          <cell r="D1126" t="str">
            <v>KBP52</v>
          </cell>
          <cell r="E1126"/>
        </row>
        <row r="1127">
          <cell r="A1127" t="str">
            <v>2628VV17</v>
          </cell>
          <cell r="D1127" t="str">
            <v>S706</v>
          </cell>
          <cell r="E1127"/>
        </row>
        <row r="1128">
          <cell r="A1128" t="str">
            <v>2628W517</v>
          </cell>
          <cell r="D1128" t="str">
            <v>S706</v>
          </cell>
          <cell r="E1128"/>
        </row>
        <row r="1129">
          <cell r="A1129" t="str">
            <v>2627AK67</v>
          </cell>
          <cell r="D1129" t="str">
            <v>TTS50</v>
          </cell>
          <cell r="E1129"/>
        </row>
        <row r="1130">
          <cell r="A1130" t="str">
            <v>2627DX67</v>
          </cell>
          <cell r="D1130" t="str">
            <v>TTS50</v>
          </cell>
          <cell r="E1130"/>
        </row>
        <row r="1131">
          <cell r="A1131" t="str">
            <v>2628Q117</v>
          </cell>
          <cell r="D1131" t="str">
            <v>TTS50</v>
          </cell>
          <cell r="E1131"/>
        </row>
        <row r="1132">
          <cell r="A1132" t="str">
            <v>2628Q417</v>
          </cell>
          <cell r="D1132" t="str">
            <v>TTS50</v>
          </cell>
          <cell r="E1132"/>
        </row>
        <row r="1133">
          <cell r="A1133" t="str">
            <v>2628Q717</v>
          </cell>
          <cell r="D1133" t="str">
            <v>TTS50</v>
          </cell>
          <cell r="E1133"/>
        </row>
        <row r="1134">
          <cell r="A1134" t="str">
            <v>2628Q817</v>
          </cell>
          <cell r="D1134" t="str">
            <v>TTS50</v>
          </cell>
          <cell r="E1134"/>
        </row>
        <row r="1135">
          <cell r="A1135" t="str">
            <v>2628QC17</v>
          </cell>
          <cell r="D1135" t="str">
            <v>TTS50</v>
          </cell>
          <cell r="E1135"/>
        </row>
        <row r="1136">
          <cell r="A1136" t="str">
            <v>2627JA67</v>
          </cell>
          <cell r="D1136" t="str">
            <v>KBP76</v>
          </cell>
          <cell r="E1136"/>
        </row>
        <row r="1137">
          <cell r="A1137" t="str">
            <v>2628WO17</v>
          </cell>
          <cell r="D1137" t="str">
            <v>KBP76</v>
          </cell>
          <cell r="E1137"/>
        </row>
        <row r="1138">
          <cell r="A1138" t="str">
            <v>2628OY17</v>
          </cell>
          <cell r="D1138" t="str">
            <v>S706</v>
          </cell>
          <cell r="E1138"/>
        </row>
        <row r="1139">
          <cell r="A1139" t="str">
            <v>2628OZ17</v>
          </cell>
          <cell r="D1139" t="str">
            <v>S706</v>
          </cell>
          <cell r="E1139"/>
        </row>
        <row r="1140">
          <cell r="A1140" t="str">
            <v>2627FZ67</v>
          </cell>
          <cell r="D1140" t="str">
            <v>FTW121KR</v>
          </cell>
          <cell r="E1140"/>
        </row>
        <row r="1141">
          <cell r="A1141" t="str">
            <v>2628S217</v>
          </cell>
          <cell r="D1141" t="str">
            <v>FTW121KR</v>
          </cell>
          <cell r="E1141"/>
        </row>
        <row r="1142">
          <cell r="A1142" t="str">
            <v>2628SK17</v>
          </cell>
          <cell r="D1142" t="str">
            <v>FTW121KR</v>
          </cell>
          <cell r="E1142"/>
        </row>
        <row r="1143">
          <cell r="A1143" t="str">
            <v>2628SO17</v>
          </cell>
          <cell r="D1143" t="str">
            <v>FTW121KR</v>
          </cell>
          <cell r="E1143"/>
        </row>
        <row r="1144">
          <cell r="A1144" t="str">
            <v>2628SS17</v>
          </cell>
          <cell r="D1144" t="str">
            <v>FTW121KR</v>
          </cell>
          <cell r="E1144"/>
        </row>
        <row r="1145">
          <cell r="A1145" t="str">
            <v>2628U117</v>
          </cell>
          <cell r="D1145" t="str">
            <v>FTW121KR</v>
          </cell>
          <cell r="E1145"/>
        </row>
        <row r="1146">
          <cell r="A1146" t="str">
            <v>2628IW27</v>
          </cell>
          <cell r="D1146" t="str">
            <v>FTW121KR</v>
          </cell>
          <cell r="E1146"/>
        </row>
        <row r="1147">
          <cell r="A1147" t="str">
            <v>2628J527</v>
          </cell>
          <cell r="D1147" t="str">
            <v>FTW121KR</v>
          </cell>
          <cell r="E1147"/>
        </row>
        <row r="1148">
          <cell r="A1148" t="str">
            <v>2628J627</v>
          </cell>
          <cell r="D1148" t="str">
            <v>FTW121KR</v>
          </cell>
          <cell r="E1148"/>
        </row>
        <row r="1149">
          <cell r="A1149" t="str">
            <v>2628JB27</v>
          </cell>
          <cell r="D1149" t="str">
            <v>FTW121KR</v>
          </cell>
          <cell r="E1149"/>
        </row>
        <row r="1150">
          <cell r="A1150" t="str">
            <v>2628QN17</v>
          </cell>
          <cell r="D1150" t="str">
            <v>FTW102K</v>
          </cell>
          <cell r="E1150"/>
        </row>
        <row r="1151">
          <cell r="A1151" t="str">
            <v>2628IB27</v>
          </cell>
          <cell r="D1151" t="str">
            <v>FTW102K</v>
          </cell>
          <cell r="E1151"/>
        </row>
        <row r="1152">
          <cell r="A1152" t="str">
            <v>2628IF27</v>
          </cell>
          <cell r="D1152" t="str">
            <v>FTW102K</v>
          </cell>
          <cell r="E1152"/>
        </row>
        <row r="1153">
          <cell r="A1153" t="str">
            <v>2628IH27</v>
          </cell>
          <cell r="D1153" t="str">
            <v>FTW102K</v>
          </cell>
          <cell r="E1153"/>
        </row>
        <row r="1154">
          <cell r="A1154" t="str">
            <v>2628KQ37</v>
          </cell>
          <cell r="D1154" t="str">
            <v>FTW102K</v>
          </cell>
          <cell r="E1154"/>
        </row>
        <row r="1155">
          <cell r="A1155" t="str">
            <v>2628KR37</v>
          </cell>
          <cell r="D1155" t="str">
            <v>FTW102K</v>
          </cell>
          <cell r="E1155"/>
        </row>
        <row r="1156">
          <cell r="A1156" t="str">
            <v>2628XJ17</v>
          </cell>
          <cell r="D1156" t="str">
            <v>TTS80</v>
          </cell>
          <cell r="E1156"/>
        </row>
        <row r="1157">
          <cell r="A1157" t="str">
            <v>2627LW67</v>
          </cell>
          <cell r="D1157" t="str">
            <v>STA156KA</v>
          </cell>
          <cell r="E1157"/>
        </row>
        <row r="1158">
          <cell r="A1158" t="str">
            <v>2627LZ67</v>
          </cell>
          <cell r="D1158" t="str">
            <v>STA156KA</v>
          </cell>
          <cell r="E1158"/>
        </row>
        <row r="1159">
          <cell r="A1159" t="str">
            <v>2628KE27</v>
          </cell>
          <cell r="D1159" t="str">
            <v>KBP52</v>
          </cell>
          <cell r="E1159"/>
        </row>
        <row r="1160">
          <cell r="A1160" t="str">
            <v>2627JT67</v>
          </cell>
          <cell r="D1160" t="str">
            <v>KBP76</v>
          </cell>
          <cell r="E1160"/>
        </row>
        <row r="1161">
          <cell r="A1161" t="str">
            <v>2628VO17</v>
          </cell>
          <cell r="D1161" t="str">
            <v>S706</v>
          </cell>
          <cell r="E1161"/>
        </row>
        <row r="1162">
          <cell r="A1162" t="str">
            <v>2628VQ17</v>
          </cell>
          <cell r="D1162" t="str">
            <v>S706</v>
          </cell>
          <cell r="E1162"/>
        </row>
        <row r="1163">
          <cell r="A1163" t="str">
            <v>2628VR17</v>
          </cell>
          <cell r="D1163" t="str">
            <v>S706</v>
          </cell>
          <cell r="E1163"/>
        </row>
        <row r="1164">
          <cell r="A1164" t="str">
            <v>2628W817</v>
          </cell>
          <cell r="D1164" t="str">
            <v>S706</v>
          </cell>
          <cell r="E1164"/>
        </row>
        <row r="1165">
          <cell r="A1165" t="str">
            <v>2628QH27</v>
          </cell>
          <cell r="D1165" t="str">
            <v>S706</v>
          </cell>
          <cell r="E1165"/>
        </row>
        <row r="1166">
          <cell r="A1166" t="str">
            <v>2627ZN67</v>
          </cell>
          <cell r="D1166" t="str">
            <v>FTW503</v>
          </cell>
          <cell r="E1166"/>
        </row>
        <row r="1167">
          <cell r="A1167" t="str">
            <v>2628Q217</v>
          </cell>
          <cell r="D1167" t="str">
            <v>TTS50</v>
          </cell>
          <cell r="E1167"/>
        </row>
        <row r="1168">
          <cell r="A1168" t="str">
            <v>2627I267</v>
          </cell>
          <cell r="D1168" t="str">
            <v>S706</v>
          </cell>
          <cell r="E1168"/>
        </row>
        <row r="1169">
          <cell r="A1169" t="str">
            <v>2628UR17</v>
          </cell>
          <cell r="D1169" t="str">
            <v>S706</v>
          </cell>
          <cell r="E1169"/>
        </row>
        <row r="1170">
          <cell r="A1170" t="str">
            <v>2628US17</v>
          </cell>
          <cell r="D1170" t="str">
            <v>S706</v>
          </cell>
          <cell r="E1170"/>
        </row>
        <row r="1171">
          <cell r="A1171" t="str">
            <v>2628UT17</v>
          </cell>
          <cell r="D1171" t="str">
            <v>S706</v>
          </cell>
          <cell r="E1171"/>
        </row>
        <row r="1172">
          <cell r="A1172" t="str">
            <v>2628UU17</v>
          </cell>
          <cell r="D1172" t="str">
            <v>S706</v>
          </cell>
          <cell r="E1172"/>
        </row>
        <row r="1173">
          <cell r="A1173" t="str">
            <v>2628UV17</v>
          </cell>
          <cell r="D1173" t="str">
            <v>S706</v>
          </cell>
          <cell r="E1173"/>
        </row>
        <row r="1174">
          <cell r="A1174" t="str">
            <v>2628UX17</v>
          </cell>
          <cell r="D1174" t="str">
            <v>S706</v>
          </cell>
          <cell r="E1174"/>
        </row>
        <row r="1175">
          <cell r="A1175" t="str">
            <v>2628UY17</v>
          </cell>
          <cell r="D1175" t="str">
            <v>S706</v>
          </cell>
          <cell r="E1175"/>
        </row>
        <row r="1176">
          <cell r="A1176" t="str">
            <v>2628UZ17</v>
          </cell>
          <cell r="D1176" t="str">
            <v>S706</v>
          </cell>
          <cell r="E1176"/>
        </row>
        <row r="1177">
          <cell r="A1177" t="str">
            <v>2628V117</v>
          </cell>
          <cell r="D1177" t="str">
            <v>S706</v>
          </cell>
          <cell r="E1177"/>
        </row>
        <row r="1178">
          <cell r="A1178" t="str">
            <v>2627G967</v>
          </cell>
          <cell r="D1178" t="str">
            <v>FTW121KR</v>
          </cell>
          <cell r="E1178"/>
        </row>
        <row r="1179">
          <cell r="A1179" t="str">
            <v>2628S817</v>
          </cell>
          <cell r="D1179" t="str">
            <v>FTW121KR</v>
          </cell>
          <cell r="E1179"/>
        </row>
        <row r="1180">
          <cell r="A1180" t="str">
            <v>2628SI17</v>
          </cell>
          <cell r="D1180" t="str">
            <v>FTW121KR</v>
          </cell>
          <cell r="E1180"/>
        </row>
        <row r="1181">
          <cell r="A1181" t="str">
            <v>2628SW17</v>
          </cell>
          <cell r="D1181" t="str">
            <v>FTW121KR</v>
          </cell>
          <cell r="E1181"/>
        </row>
        <row r="1182">
          <cell r="A1182" t="str">
            <v>2628IQ27</v>
          </cell>
          <cell r="D1182" t="str">
            <v>FTW121KR</v>
          </cell>
          <cell r="E1182"/>
        </row>
        <row r="1183">
          <cell r="A1183" t="str">
            <v>2628IV27</v>
          </cell>
          <cell r="D1183" t="str">
            <v>FTW121KR</v>
          </cell>
          <cell r="E1183"/>
        </row>
        <row r="1184">
          <cell r="A1184" t="str">
            <v>2628IY27</v>
          </cell>
          <cell r="D1184" t="str">
            <v>FTW121KR</v>
          </cell>
          <cell r="E1184"/>
        </row>
        <row r="1185">
          <cell r="A1185" t="str">
            <v>2628J227</v>
          </cell>
          <cell r="D1185" t="str">
            <v>FTW121KR</v>
          </cell>
          <cell r="E1185"/>
        </row>
        <row r="1186">
          <cell r="A1186" t="str">
            <v>2628J827</v>
          </cell>
          <cell r="D1186" t="str">
            <v>FTW121KR</v>
          </cell>
          <cell r="E1186"/>
        </row>
        <row r="1187">
          <cell r="A1187" t="str">
            <v>2628JA27</v>
          </cell>
          <cell r="D1187" t="str">
            <v>FTW121KR</v>
          </cell>
          <cell r="E1187"/>
        </row>
        <row r="1188">
          <cell r="A1188" t="str">
            <v>2628JF27</v>
          </cell>
          <cell r="D1188" t="str">
            <v>FTW121KR</v>
          </cell>
          <cell r="E1188"/>
        </row>
        <row r="1189">
          <cell r="A1189" t="str">
            <v>2628JH27</v>
          </cell>
          <cell r="D1189" t="str">
            <v>FTW121KR</v>
          </cell>
          <cell r="E1189"/>
        </row>
        <row r="1190">
          <cell r="A1190" t="str">
            <v>2628LJ37</v>
          </cell>
          <cell r="D1190" t="str">
            <v>FTW121KR</v>
          </cell>
          <cell r="E1190"/>
        </row>
        <row r="1191">
          <cell r="A1191" t="str">
            <v>2628IG27</v>
          </cell>
          <cell r="D1191" t="str">
            <v>FTW102K</v>
          </cell>
          <cell r="E1191"/>
        </row>
        <row r="1192">
          <cell r="A1192" t="str">
            <v>2628KO37</v>
          </cell>
          <cell r="D1192" t="str">
            <v>FTW102K</v>
          </cell>
          <cell r="E1192"/>
        </row>
        <row r="1193">
          <cell r="A1193" t="str">
            <v>2628KP37</v>
          </cell>
          <cell r="D1193" t="str">
            <v>FTW102K</v>
          </cell>
          <cell r="E1193"/>
        </row>
        <row r="1194">
          <cell r="A1194" t="str">
            <v>2628X917</v>
          </cell>
          <cell r="D1194" t="str">
            <v>TTS80</v>
          </cell>
          <cell r="E1194"/>
        </row>
        <row r="1195">
          <cell r="A1195" t="str">
            <v>2628XI17</v>
          </cell>
          <cell r="D1195" t="str">
            <v>TTS80</v>
          </cell>
          <cell r="E1195"/>
        </row>
        <row r="1196">
          <cell r="A1196" t="str">
            <v>2628SE27</v>
          </cell>
          <cell r="D1196" t="str">
            <v>TTS80</v>
          </cell>
          <cell r="E1196"/>
        </row>
        <row r="1197">
          <cell r="A1197" t="str">
            <v>2628SY27</v>
          </cell>
          <cell r="D1197" t="str">
            <v>TTS80</v>
          </cell>
          <cell r="E1197"/>
        </row>
        <row r="1198">
          <cell r="A1198" t="str">
            <v>2628JJ27</v>
          </cell>
          <cell r="D1198" t="str">
            <v>KBP86</v>
          </cell>
          <cell r="E1198"/>
        </row>
        <row r="1199">
          <cell r="A1199" t="str">
            <v>2628UQ17</v>
          </cell>
          <cell r="D1199" t="str">
            <v>KBP52</v>
          </cell>
          <cell r="E1199"/>
        </row>
        <row r="1200">
          <cell r="A1200" t="str">
            <v>2627JW67</v>
          </cell>
          <cell r="D1200" t="str">
            <v>KBP76</v>
          </cell>
          <cell r="E1200"/>
        </row>
        <row r="1201">
          <cell r="A1201" t="str">
            <v>2627OS67</v>
          </cell>
          <cell r="D1201" t="str">
            <v>KBP76</v>
          </cell>
          <cell r="E1201"/>
        </row>
        <row r="1202">
          <cell r="A1202" t="str">
            <v>2628QM27</v>
          </cell>
          <cell r="D1202" t="str">
            <v>S706</v>
          </cell>
          <cell r="E1202"/>
        </row>
        <row r="1203">
          <cell r="A1203" t="str">
            <v>2628X617</v>
          </cell>
          <cell r="D1203" t="str">
            <v>TTS50</v>
          </cell>
          <cell r="E1203"/>
        </row>
        <row r="1204">
          <cell r="A1204" t="str">
            <v>2627AP67</v>
          </cell>
          <cell r="D1204" t="str">
            <v>TTS50</v>
          </cell>
          <cell r="E1204"/>
        </row>
        <row r="1205">
          <cell r="A1205" t="str">
            <v>2628PK17</v>
          </cell>
          <cell r="D1205" t="str">
            <v>TTS50</v>
          </cell>
          <cell r="E1205"/>
        </row>
        <row r="1206">
          <cell r="A1206" t="str">
            <v>2628Q517</v>
          </cell>
          <cell r="D1206" t="str">
            <v>TTS50</v>
          </cell>
          <cell r="E1206"/>
        </row>
        <row r="1207">
          <cell r="A1207" t="str">
            <v>2628Q617</v>
          </cell>
          <cell r="D1207" t="str">
            <v>TTS50</v>
          </cell>
          <cell r="E1207"/>
        </row>
        <row r="1208">
          <cell r="A1208" t="str">
            <v>2628IC27</v>
          </cell>
          <cell r="D1208" t="str">
            <v>FTW102K</v>
          </cell>
          <cell r="E1208"/>
        </row>
        <row r="1209">
          <cell r="A1209" t="str">
            <v>2628ID27</v>
          </cell>
          <cell r="D1209" t="str">
            <v>FTW102K</v>
          </cell>
          <cell r="E1209"/>
        </row>
        <row r="1210">
          <cell r="A1210" t="str">
            <v>2627EK67</v>
          </cell>
          <cell r="D1210" t="str">
            <v>FTW102K</v>
          </cell>
          <cell r="E1210"/>
        </row>
        <row r="1211">
          <cell r="A1211" t="str">
            <v>2627J967</v>
          </cell>
          <cell r="D1211" t="str">
            <v>STA156KA</v>
          </cell>
          <cell r="E1211"/>
        </row>
        <row r="1212">
          <cell r="A1212" t="str">
            <v>2627O667</v>
          </cell>
          <cell r="D1212" t="str">
            <v>KBP76</v>
          </cell>
          <cell r="E1212"/>
        </row>
        <row r="1213">
          <cell r="A1213" t="str">
            <v>2628S417</v>
          </cell>
          <cell r="D1213" t="str">
            <v>FTW121KR</v>
          </cell>
          <cell r="E1213"/>
        </row>
        <row r="1214">
          <cell r="A1214" t="str">
            <v>2628IR27</v>
          </cell>
          <cell r="D1214" t="str">
            <v>FTW121KR</v>
          </cell>
          <cell r="E1214"/>
        </row>
        <row r="1215">
          <cell r="A1215" t="str">
            <v>2628LV37</v>
          </cell>
          <cell r="D1215" t="str">
            <v>FTW121KR</v>
          </cell>
          <cell r="E1215"/>
        </row>
        <row r="1216">
          <cell r="A1216" t="str">
            <v>2628VG17</v>
          </cell>
          <cell r="D1216" t="str">
            <v>S805</v>
          </cell>
          <cell r="E1216"/>
        </row>
        <row r="1217">
          <cell r="A1217" t="str">
            <v>2628WA17</v>
          </cell>
          <cell r="D1217" t="str">
            <v>STA156KA</v>
          </cell>
          <cell r="E1217"/>
        </row>
        <row r="1218">
          <cell r="A1218" t="str">
            <v>2628GF27</v>
          </cell>
          <cell r="D1218" t="str">
            <v>KBP76</v>
          </cell>
          <cell r="E1218"/>
        </row>
        <row r="1219">
          <cell r="A1219" t="str">
            <v>2628LY37</v>
          </cell>
          <cell r="D1219" t="str">
            <v>KBP86</v>
          </cell>
          <cell r="E1219"/>
        </row>
        <row r="1220">
          <cell r="A1220" t="str">
            <v>2628S927</v>
          </cell>
          <cell r="D1220" t="str">
            <v>TTS80</v>
          </cell>
          <cell r="E1220"/>
        </row>
        <row r="1221">
          <cell r="A1221" t="str">
            <v>2627OV57</v>
          </cell>
          <cell r="D1221" t="str">
            <v>KBP86</v>
          </cell>
          <cell r="E1221"/>
        </row>
        <row r="1222">
          <cell r="A1222" t="str">
            <v>2628CY17</v>
          </cell>
          <cell r="D1222" t="str">
            <v>KBP86</v>
          </cell>
          <cell r="E1222"/>
        </row>
        <row r="1223">
          <cell r="A1223" t="str">
            <v>2628UP17</v>
          </cell>
          <cell r="D1223" t="str">
            <v>KBP52</v>
          </cell>
          <cell r="E1223"/>
        </row>
        <row r="1224">
          <cell r="A1224" t="str">
            <v>2627PU67</v>
          </cell>
          <cell r="D1224" t="str">
            <v>TTS50</v>
          </cell>
          <cell r="E1224"/>
        </row>
        <row r="1225">
          <cell r="A1225" t="str">
            <v>2628W317</v>
          </cell>
          <cell r="D1225" t="str">
            <v>S706</v>
          </cell>
          <cell r="E1225"/>
        </row>
        <row r="1226">
          <cell r="A1226" t="str">
            <v>2628QF27</v>
          </cell>
          <cell r="D1226" t="str">
            <v>S706</v>
          </cell>
          <cell r="E1226"/>
        </row>
        <row r="1227">
          <cell r="A1227" t="str">
            <v>2628QJ27</v>
          </cell>
          <cell r="D1227" t="str">
            <v>S706</v>
          </cell>
          <cell r="E1227"/>
        </row>
        <row r="1228">
          <cell r="A1228" t="str">
            <v>2628QN27</v>
          </cell>
          <cell r="D1228" t="str">
            <v>S706</v>
          </cell>
          <cell r="E1228"/>
        </row>
        <row r="1229">
          <cell r="A1229" t="str">
            <v>2628OV37</v>
          </cell>
          <cell r="D1229" t="str">
            <v>S706</v>
          </cell>
          <cell r="E1229"/>
        </row>
        <row r="1230">
          <cell r="A1230" t="str">
            <v>2628I627</v>
          </cell>
          <cell r="D1230" t="str">
            <v>FTW102K</v>
          </cell>
          <cell r="E1230"/>
        </row>
        <row r="1231">
          <cell r="A1231" t="str">
            <v>2627LC37</v>
          </cell>
          <cell r="D1231" t="str">
            <v>FTW503</v>
          </cell>
          <cell r="E1231"/>
        </row>
        <row r="1232">
          <cell r="A1232" t="str">
            <v>2627DV67</v>
          </cell>
          <cell r="D1232" t="str">
            <v>TTS50</v>
          </cell>
          <cell r="E1232"/>
        </row>
        <row r="1233">
          <cell r="A1233" t="str">
            <v>2627E667</v>
          </cell>
          <cell r="D1233" t="str">
            <v>TTS50</v>
          </cell>
          <cell r="E1233"/>
        </row>
        <row r="1234">
          <cell r="A1234" t="str">
            <v>2627E767</v>
          </cell>
          <cell r="D1234" t="str">
            <v>TTS50</v>
          </cell>
          <cell r="E1234"/>
        </row>
        <row r="1235">
          <cell r="A1235" t="str">
            <v>2628PJ17</v>
          </cell>
          <cell r="D1235" t="str">
            <v>TTS50</v>
          </cell>
          <cell r="E1235"/>
        </row>
        <row r="1236">
          <cell r="A1236" t="str">
            <v>2628PM17</v>
          </cell>
          <cell r="D1236" t="str">
            <v>TTS50</v>
          </cell>
          <cell r="E1236"/>
        </row>
        <row r="1237">
          <cell r="A1237" t="str">
            <v>2628PO17</v>
          </cell>
          <cell r="D1237" t="str">
            <v>TTS50</v>
          </cell>
          <cell r="E1237"/>
        </row>
        <row r="1238">
          <cell r="A1238" t="str">
            <v>2628PQ17</v>
          </cell>
          <cell r="D1238" t="str">
            <v>TTS50</v>
          </cell>
          <cell r="E1238"/>
        </row>
        <row r="1239">
          <cell r="A1239" t="str">
            <v>2628PR17</v>
          </cell>
          <cell r="D1239" t="str">
            <v>TTS50</v>
          </cell>
          <cell r="E1239"/>
        </row>
        <row r="1240">
          <cell r="A1240" t="str">
            <v>2628PS17</v>
          </cell>
          <cell r="D1240" t="str">
            <v>TTS50</v>
          </cell>
          <cell r="E1240"/>
        </row>
        <row r="1241">
          <cell r="A1241" t="str">
            <v>2628PW17</v>
          </cell>
          <cell r="D1241" t="str">
            <v>TTS50</v>
          </cell>
          <cell r="E1241"/>
        </row>
        <row r="1242">
          <cell r="A1242" t="str">
            <v>2628Q917</v>
          </cell>
          <cell r="D1242" t="str">
            <v>TTS50</v>
          </cell>
          <cell r="E1242"/>
        </row>
        <row r="1243">
          <cell r="A1243" t="str">
            <v>2628HE27</v>
          </cell>
          <cell r="D1243" t="str">
            <v>TTS50</v>
          </cell>
          <cell r="E1243"/>
        </row>
        <row r="1244">
          <cell r="A1244" t="str">
            <v>2628VF17</v>
          </cell>
          <cell r="D1244" t="str">
            <v>STA156KA</v>
          </cell>
          <cell r="E1244"/>
        </row>
        <row r="1245">
          <cell r="A1245" t="str">
            <v>2628QC27</v>
          </cell>
          <cell r="D1245" t="str">
            <v>S805</v>
          </cell>
          <cell r="E1245"/>
        </row>
        <row r="1246">
          <cell r="A1246" t="str">
            <v>2628U427</v>
          </cell>
          <cell r="D1246" t="str">
            <v>KBP86</v>
          </cell>
          <cell r="E1246"/>
        </row>
        <row r="1247">
          <cell r="A1247" t="str">
            <v>2628IU27</v>
          </cell>
          <cell r="D1247" t="str">
            <v>FTW121KR</v>
          </cell>
          <cell r="E1247"/>
        </row>
        <row r="1248">
          <cell r="A1248" t="str">
            <v>2628L337</v>
          </cell>
          <cell r="D1248" t="str">
            <v>FTW121KR</v>
          </cell>
          <cell r="E1248"/>
        </row>
        <row r="1249">
          <cell r="A1249" t="str">
            <v>2628GB27</v>
          </cell>
          <cell r="D1249" t="str">
            <v>KBP86</v>
          </cell>
          <cell r="E1249"/>
        </row>
        <row r="1250">
          <cell r="A1250" t="str">
            <v>2628XA17</v>
          </cell>
          <cell r="D1250" t="str">
            <v>TTS80</v>
          </cell>
          <cell r="E1250"/>
        </row>
        <row r="1251">
          <cell r="A1251" t="str">
            <v>2628JI27</v>
          </cell>
          <cell r="D1251" t="str">
            <v>KBP86</v>
          </cell>
          <cell r="E1251"/>
        </row>
        <row r="1252">
          <cell r="A1252" t="str">
            <v>2628PL37</v>
          </cell>
          <cell r="D1252" t="str">
            <v>KBP76</v>
          </cell>
          <cell r="E1252"/>
        </row>
        <row r="1253">
          <cell r="A1253" t="str">
            <v>2628I227</v>
          </cell>
          <cell r="D1253" t="str">
            <v>FTW102K</v>
          </cell>
          <cell r="E1253"/>
        </row>
        <row r="1254">
          <cell r="A1254" t="str">
            <v>2628PV17</v>
          </cell>
          <cell r="D1254" t="str">
            <v>TTS50</v>
          </cell>
          <cell r="E1254"/>
        </row>
        <row r="1255">
          <cell r="A1255" t="str">
            <v>2628HA27</v>
          </cell>
          <cell r="D1255" t="str">
            <v>TTS50</v>
          </cell>
          <cell r="E1255"/>
        </row>
        <row r="1256">
          <cell r="A1256" t="str">
            <v>2628HH27</v>
          </cell>
          <cell r="D1256" t="str">
            <v>TTS50</v>
          </cell>
          <cell r="E1256"/>
        </row>
        <row r="1257">
          <cell r="A1257" t="str">
            <v>2628WG17</v>
          </cell>
          <cell r="D1257" t="str">
            <v>KBP76</v>
          </cell>
          <cell r="E1257"/>
        </row>
        <row r="1258">
          <cell r="A1258" t="str">
            <v>2628WS17</v>
          </cell>
          <cell r="D1258" t="str">
            <v>KBP76</v>
          </cell>
          <cell r="E1258"/>
        </row>
        <row r="1259">
          <cell r="A1259" t="str">
            <v>2628S427</v>
          </cell>
          <cell r="D1259" t="str">
            <v>KBP76</v>
          </cell>
          <cell r="E1259"/>
        </row>
        <row r="1260">
          <cell r="A1260" t="str">
            <v>2627OB67</v>
          </cell>
          <cell r="D1260" t="str">
            <v>KBP86</v>
          </cell>
          <cell r="E1260"/>
        </row>
        <row r="1261">
          <cell r="A1261" t="str">
            <v>2628H437</v>
          </cell>
          <cell r="D1261" t="str">
            <v>KBP76</v>
          </cell>
          <cell r="E1261"/>
        </row>
        <row r="1262">
          <cell r="A1262" t="str">
            <v>2628P137</v>
          </cell>
          <cell r="D1262" t="str">
            <v>S706</v>
          </cell>
          <cell r="E1262"/>
        </row>
        <row r="1263">
          <cell r="A1263" t="str">
            <v>2628P237</v>
          </cell>
          <cell r="D1263" t="str">
            <v>S706</v>
          </cell>
          <cell r="E1263"/>
        </row>
        <row r="1264">
          <cell r="A1264" t="str">
            <v>2628P437</v>
          </cell>
          <cell r="D1264" t="str">
            <v>S706</v>
          </cell>
          <cell r="E1264"/>
        </row>
        <row r="1265">
          <cell r="A1265" t="str">
            <v>2628S727</v>
          </cell>
          <cell r="D1265" t="str">
            <v>KBP74</v>
          </cell>
          <cell r="E1265"/>
        </row>
        <row r="1266">
          <cell r="A1266" t="str">
            <v>2628QY17</v>
          </cell>
          <cell r="D1266" t="str">
            <v>FTW121KR</v>
          </cell>
          <cell r="E1266"/>
        </row>
        <row r="1267">
          <cell r="A1267" t="str">
            <v>2628J727</v>
          </cell>
          <cell r="D1267" t="str">
            <v>FTW121KR</v>
          </cell>
          <cell r="E1267"/>
        </row>
        <row r="1268">
          <cell r="A1268" t="str">
            <v>2628JD27</v>
          </cell>
          <cell r="D1268" t="str">
            <v>FTW121KR</v>
          </cell>
          <cell r="E1268"/>
        </row>
        <row r="1269">
          <cell r="A1269" t="str">
            <v>2628KS37</v>
          </cell>
          <cell r="D1269" t="str">
            <v>FTW121KR</v>
          </cell>
          <cell r="E1269"/>
        </row>
        <row r="1270">
          <cell r="A1270" t="str">
            <v>2628KV37</v>
          </cell>
          <cell r="D1270" t="str">
            <v>FTW121KR</v>
          </cell>
          <cell r="E1270"/>
        </row>
        <row r="1271">
          <cell r="A1271" t="str">
            <v>2628KX37</v>
          </cell>
          <cell r="D1271" t="str">
            <v>FTW121KR</v>
          </cell>
          <cell r="E1271"/>
        </row>
        <row r="1272">
          <cell r="A1272" t="str">
            <v>2628KY37</v>
          </cell>
          <cell r="D1272" t="str">
            <v>FTW121KR</v>
          </cell>
          <cell r="E1272"/>
        </row>
        <row r="1273">
          <cell r="A1273" t="str">
            <v>2628KZ37</v>
          </cell>
          <cell r="D1273" t="str">
            <v>FTW121KR</v>
          </cell>
          <cell r="E1273"/>
        </row>
        <row r="1274">
          <cell r="A1274" t="str">
            <v>2628L137</v>
          </cell>
          <cell r="D1274" t="str">
            <v>FTW121KR</v>
          </cell>
          <cell r="E1274"/>
        </row>
        <row r="1275">
          <cell r="A1275" t="str">
            <v>2628LA37</v>
          </cell>
          <cell r="D1275" t="str">
            <v>FTW121KR</v>
          </cell>
          <cell r="E1275"/>
        </row>
        <row r="1276">
          <cell r="A1276" t="str">
            <v>2628LB37</v>
          </cell>
          <cell r="D1276" t="str">
            <v>FTW121KR</v>
          </cell>
          <cell r="E1276"/>
        </row>
        <row r="1277">
          <cell r="A1277" t="str">
            <v>2628LC37</v>
          </cell>
          <cell r="D1277" t="str">
            <v>FTW121KR</v>
          </cell>
          <cell r="E1277"/>
        </row>
        <row r="1278">
          <cell r="A1278" t="str">
            <v>2628LE37</v>
          </cell>
          <cell r="D1278" t="str">
            <v>FTW121KR</v>
          </cell>
          <cell r="E1278"/>
        </row>
        <row r="1279">
          <cell r="A1279" t="str">
            <v>2628LH37</v>
          </cell>
          <cell r="D1279" t="str">
            <v>FTW121KR</v>
          </cell>
          <cell r="E1279"/>
        </row>
        <row r="1280">
          <cell r="A1280" t="str">
            <v>2628LR37</v>
          </cell>
          <cell r="D1280" t="str">
            <v>FTW121KR</v>
          </cell>
          <cell r="E1280"/>
        </row>
        <row r="1281">
          <cell r="A1281" t="str">
            <v>2628LW37</v>
          </cell>
          <cell r="D1281" t="str">
            <v>FTW121KR</v>
          </cell>
          <cell r="E1281"/>
        </row>
        <row r="1282">
          <cell r="A1282" t="str">
            <v>2628JD47</v>
          </cell>
          <cell r="D1282" t="str">
            <v>FTW121KR</v>
          </cell>
          <cell r="E1282"/>
        </row>
        <row r="1283">
          <cell r="A1283" t="str">
            <v>2628VI17</v>
          </cell>
          <cell r="D1283" t="str">
            <v>S805</v>
          </cell>
          <cell r="E1283"/>
        </row>
        <row r="1284">
          <cell r="A1284" t="str">
            <v>2628W917</v>
          </cell>
          <cell r="D1284" t="str">
            <v>KBP86</v>
          </cell>
          <cell r="E1284"/>
        </row>
        <row r="1285">
          <cell r="A1285" t="str">
            <v>2628SN27</v>
          </cell>
          <cell r="D1285" t="str">
            <v>TTS80</v>
          </cell>
          <cell r="E1285"/>
        </row>
        <row r="1286">
          <cell r="A1286" t="str">
            <v>2628SP27</v>
          </cell>
          <cell r="D1286" t="str">
            <v>TTS80</v>
          </cell>
          <cell r="E1286"/>
        </row>
        <row r="1287">
          <cell r="A1287" t="str">
            <v>2628SS27</v>
          </cell>
          <cell r="D1287" t="str">
            <v>TTS80</v>
          </cell>
          <cell r="E1287"/>
        </row>
        <row r="1288">
          <cell r="A1288" t="str">
            <v>2628ST27</v>
          </cell>
          <cell r="D1288" t="str">
            <v>TTS80</v>
          </cell>
          <cell r="E1288"/>
        </row>
        <row r="1289">
          <cell r="A1289" t="str">
            <v>2628SX27</v>
          </cell>
          <cell r="D1289" t="str">
            <v>TTS80</v>
          </cell>
          <cell r="E1289"/>
        </row>
        <row r="1290">
          <cell r="A1290" t="str">
            <v>2628KD27</v>
          </cell>
          <cell r="D1290" t="str">
            <v>KBP52</v>
          </cell>
          <cell r="E1290"/>
        </row>
        <row r="1291">
          <cell r="A1291" t="str">
            <v>2628O837</v>
          </cell>
          <cell r="D1291" t="str">
            <v>KBP52</v>
          </cell>
          <cell r="E1291"/>
        </row>
        <row r="1292">
          <cell r="A1292" t="str">
            <v>2627OL67</v>
          </cell>
          <cell r="D1292" t="str">
            <v>KBP76</v>
          </cell>
          <cell r="E1292"/>
        </row>
        <row r="1293">
          <cell r="A1293" t="str">
            <v>2628QS27</v>
          </cell>
          <cell r="D1293" t="str">
            <v>KBP76</v>
          </cell>
          <cell r="E1293"/>
        </row>
        <row r="1294">
          <cell r="A1294" t="str">
            <v>2628KI37</v>
          </cell>
          <cell r="D1294" t="str">
            <v>FTW102K</v>
          </cell>
          <cell r="E1294"/>
        </row>
        <row r="1295">
          <cell r="A1295" t="str">
            <v>2628KJ37</v>
          </cell>
          <cell r="D1295" t="str">
            <v>FTW102K</v>
          </cell>
          <cell r="E1295"/>
        </row>
        <row r="1296">
          <cell r="A1296" t="str">
            <v>2628PU17</v>
          </cell>
          <cell r="D1296" t="str">
            <v>TTS50</v>
          </cell>
          <cell r="E1296"/>
        </row>
        <row r="1297">
          <cell r="A1297" t="str">
            <v>2628GX27</v>
          </cell>
          <cell r="D1297" t="str">
            <v>TTS50</v>
          </cell>
          <cell r="E1297"/>
        </row>
        <row r="1298">
          <cell r="A1298" t="str">
            <v>2628V217</v>
          </cell>
          <cell r="D1298" t="str">
            <v>S706</v>
          </cell>
          <cell r="E1298"/>
        </row>
        <row r="1299">
          <cell r="A1299" t="str">
            <v>2628Q127</v>
          </cell>
          <cell r="D1299" t="str">
            <v>S706</v>
          </cell>
          <cell r="E1299"/>
        </row>
        <row r="1300">
          <cell r="A1300" t="str">
            <v>2628XO17</v>
          </cell>
          <cell r="D1300" t="str">
            <v>KBP86</v>
          </cell>
          <cell r="E1300"/>
        </row>
        <row r="1301">
          <cell r="A1301" t="str">
            <v>2628QD37</v>
          </cell>
          <cell r="D1301" t="str">
            <v>KBP86</v>
          </cell>
          <cell r="E1301"/>
        </row>
        <row r="1302">
          <cell r="A1302" t="str">
            <v>2628PZ37</v>
          </cell>
          <cell r="D1302" t="str">
            <v>TTS80</v>
          </cell>
          <cell r="E1302"/>
        </row>
        <row r="1303">
          <cell r="A1303" t="str">
            <v>2627LY67</v>
          </cell>
          <cell r="D1303" t="str">
            <v>STA156KA</v>
          </cell>
          <cell r="E1303"/>
        </row>
        <row r="1304">
          <cell r="A1304" t="str">
            <v>2627GA67</v>
          </cell>
          <cell r="D1304" t="str">
            <v>FTW121KR</v>
          </cell>
          <cell r="E1304"/>
        </row>
        <row r="1305">
          <cell r="A1305" t="str">
            <v>2628IN27</v>
          </cell>
          <cell r="D1305" t="str">
            <v>FTW121KR</v>
          </cell>
          <cell r="E1305"/>
        </row>
        <row r="1306">
          <cell r="A1306" t="str">
            <v>2628IX27</v>
          </cell>
          <cell r="D1306" t="str">
            <v>FTW121KR</v>
          </cell>
          <cell r="E1306"/>
        </row>
        <row r="1307">
          <cell r="A1307" t="str">
            <v>2628J127</v>
          </cell>
          <cell r="D1307" t="str">
            <v>FTW121KR</v>
          </cell>
          <cell r="E1307"/>
        </row>
        <row r="1308">
          <cell r="A1308" t="str">
            <v>2628J927</v>
          </cell>
          <cell r="D1308" t="str">
            <v>FTW121KR</v>
          </cell>
          <cell r="E1308"/>
        </row>
        <row r="1309">
          <cell r="A1309" t="str">
            <v>2628L937</v>
          </cell>
          <cell r="D1309" t="str">
            <v>FTW121KR</v>
          </cell>
          <cell r="E1309"/>
        </row>
        <row r="1310">
          <cell r="A1310" t="str">
            <v>2628LF37</v>
          </cell>
          <cell r="D1310" t="str">
            <v>FTW121KR</v>
          </cell>
          <cell r="E1310"/>
        </row>
        <row r="1311">
          <cell r="A1311" t="str">
            <v>2628LQ37</v>
          </cell>
          <cell r="D1311" t="str">
            <v>FTW121KR</v>
          </cell>
          <cell r="E1311"/>
        </row>
        <row r="1312">
          <cell r="A1312" t="str">
            <v>2628P637</v>
          </cell>
          <cell r="D1312" t="str">
            <v>S706</v>
          </cell>
          <cell r="E1312"/>
        </row>
        <row r="1313">
          <cell r="A1313" t="str">
            <v>2628X317</v>
          </cell>
          <cell r="D1313" t="str">
            <v>TTS50</v>
          </cell>
          <cell r="E1313"/>
        </row>
        <row r="1314">
          <cell r="A1314" t="str">
            <v>2628H627</v>
          </cell>
          <cell r="D1314" t="str">
            <v>TTS50</v>
          </cell>
          <cell r="E1314"/>
        </row>
        <row r="1315">
          <cell r="A1315" t="str">
            <v>2628QA27</v>
          </cell>
          <cell r="D1315" t="str">
            <v>STA156KA</v>
          </cell>
          <cell r="E1315"/>
        </row>
        <row r="1316">
          <cell r="A1316" t="str">
            <v>2628SF27</v>
          </cell>
          <cell r="D1316" t="str">
            <v>TTS80</v>
          </cell>
          <cell r="E1316"/>
        </row>
        <row r="1317">
          <cell r="A1317" t="str">
            <v>2628SG27</v>
          </cell>
          <cell r="D1317" t="str">
            <v>TTS80</v>
          </cell>
          <cell r="E1317"/>
        </row>
        <row r="1318">
          <cell r="A1318" t="str">
            <v>2628Q937</v>
          </cell>
          <cell r="D1318" t="str">
            <v>TTS80</v>
          </cell>
          <cell r="E1318"/>
        </row>
        <row r="1319">
          <cell r="A1319" t="str">
            <v>2628PZ47</v>
          </cell>
          <cell r="D1319" t="str">
            <v>TTS80</v>
          </cell>
          <cell r="E1319"/>
        </row>
        <row r="1320">
          <cell r="A1320" t="str">
            <v>2628PC37</v>
          </cell>
          <cell r="D1320" t="str">
            <v>S706</v>
          </cell>
          <cell r="E1320"/>
        </row>
        <row r="1321">
          <cell r="A1321" t="str">
            <v>2628X117</v>
          </cell>
          <cell r="D1321" t="str">
            <v>TTS50</v>
          </cell>
          <cell r="E1321"/>
        </row>
        <row r="1322">
          <cell r="A1322" t="str">
            <v>2627OA67</v>
          </cell>
          <cell r="D1322" t="str">
            <v>KBP86</v>
          </cell>
          <cell r="E1322"/>
        </row>
        <row r="1323">
          <cell r="A1323" t="str">
            <v>2628AT37</v>
          </cell>
          <cell r="D1323" t="str">
            <v>KBP126</v>
          </cell>
          <cell r="E1323"/>
        </row>
        <row r="1324">
          <cell r="A1324" t="str">
            <v>2628YI17</v>
          </cell>
          <cell r="D1324" t="str">
            <v>STA156KA</v>
          </cell>
          <cell r="E1324"/>
        </row>
        <row r="1325">
          <cell r="A1325" t="str">
            <v>2628QO27</v>
          </cell>
          <cell r="D1325" t="str">
            <v>STA156KA</v>
          </cell>
          <cell r="E1325"/>
        </row>
        <row r="1326">
          <cell r="A1326" t="str">
            <v>2627XD57</v>
          </cell>
          <cell r="D1326" t="str">
            <v>KBP86</v>
          </cell>
          <cell r="E1326"/>
        </row>
        <row r="1327">
          <cell r="A1327" t="str">
            <v>2628JK27</v>
          </cell>
          <cell r="D1327" t="str">
            <v>KBP86</v>
          </cell>
          <cell r="E1327"/>
        </row>
        <row r="1328">
          <cell r="A1328" t="str">
            <v>2628O937</v>
          </cell>
          <cell r="D1328" t="str">
            <v>KBP52</v>
          </cell>
          <cell r="E1328"/>
        </row>
        <row r="1329">
          <cell r="A1329" t="str">
            <v>2628OW37</v>
          </cell>
          <cell r="D1329" t="str">
            <v>S706</v>
          </cell>
          <cell r="E1329"/>
        </row>
        <row r="1330">
          <cell r="A1330" t="str">
            <v>2628OZ37</v>
          </cell>
          <cell r="D1330" t="str">
            <v>S706</v>
          </cell>
          <cell r="E1330"/>
        </row>
        <row r="1331">
          <cell r="A1331" t="str">
            <v>2628P337</v>
          </cell>
          <cell r="D1331" t="str">
            <v>S706</v>
          </cell>
          <cell r="E1331"/>
        </row>
        <row r="1332">
          <cell r="A1332" t="str">
            <v>2628P447</v>
          </cell>
          <cell r="D1332" t="str">
            <v>S706</v>
          </cell>
          <cell r="E1332"/>
        </row>
        <row r="1333">
          <cell r="A1333" t="str">
            <v>2628S317</v>
          </cell>
          <cell r="D1333" t="str">
            <v>FTW121KR</v>
          </cell>
          <cell r="E1333"/>
        </row>
        <row r="1334">
          <cell r="A1334" t="str">
            <v>2628U417</v>
          </cell>
          <cell r="D1334" t="str">
            <v>FTW121KR</v>
          </cell>
          <cell r="E1334"/>
        </row>
        <row r="1335">
          <cell r="A1335" t="str">
            <v>2628IZ27</v>
          </cell>
          <cell r="D1335" t="str">
            <v>FTW121KR</v>
          </cell>
          <cell r="E1335"/>
        </row>
        <row r="1336">
          <cell r="A1336" t="str">
            <v>2628L237</v>
          </cell>
          <cell r="D1336" t="str">
            <v>FTW121KR</v>
          </cell>
          <cell r="E1336"/>
        </row>
        <row r="1337">
          <cell r="A1337" t="str">
            <v>2628L537</v>
          </cell>
          <cell r="D1337" t="str">
            <v>FTW121KR</v>
          </cell>
          <cell r="E1337"/>
        </row>
        <row r="1338">
          <cell r="A1338" t="str">
            <v>2628L637</v>
          </cell>
          <cell r="D1338" t="str">
            <v>FTW121KR</v>
          </cell>
          <cell r="E1338"/>
        </row>
        <row r="1339">
          <cell r="A1339" t="str">
            <v>2628L737</v>
          </cell>
          <cell r="D1339" t="str">
            <v>FTW121KR</v>
          </cell>
          <cell r="E1339"/>
        </row>
        <row r="1340">
          <cell r="A1340" t="str">
            <v>2628LD37</v>
          </cell>
          <cell r="D1340" t="str">
            <v>FTW121KR</v>
          </cell>
          <cell r="E1340"/>
        </row>
        <row r="1341">
          <cell r="A1341" t="str">
            <v>2628LG37</v>
          </cell>
          <cell r="D1341" t="str">
            <v>FTW121KR</v>
          </cell>
          <cell r="E1341"/>
        </row>
        <row r="1342">
          <cell r="A1342" t="str">
            <v>2628LK37</v>
          </cell>
          <cell r="D1342" t="str">
            <v>FTW121KR</v>
          </cell>
          <cell r="E1342"/>
        </row>
        <row r="1343">
          <cell r="A1343" t="str">
            <v>2628LN37</v>
          </cell>
          <cell r="D1343" t="str">
            <v>FTW121KR</v>
          </cell>
          <cell r="E1343"/>
        </row>
        <row r="1344">
          <cell r="A1344" t="str">
            <v>2628LO37</v>
          </cell>
          <cell r="D1344" t="str">
            <v>FTW121KR</v>
          </cell>
          <cell r="E1344"/>
        </row>
        <row r="1345">
          <cell r="A1345" t="str">
            <v>2628JB47</v>
          </cell>
          <cell r="D1345" t="str">
            <v>FTW121KR</v>
          </cell>
          <cell r="E1345"/>
        </row>
        <row r="1346">
          <cell r="A1346" t="str">
            <v>2628JN47</v>
          </cell>
          <cell r="D1346" t="str">
            <v>FTW121KR</v>
          </cell>
          <cell r="E1346"/>
        </row>
        <row r="1347">
          <cell r="A1347" t="str">
            <v>2628JO47</v>
          </cell>
          <cell r="D1347" t="str">
            <v>FTW121KR</v>
          </cell>
          <cell r="E1347"/>
        </row>
        <row r="1348">
          <cell r="A1348" t="str">
            <v>2628K247</v>
          </cell>
          <cell r="D1348" t="str">
            <v>FTW121KR</v>
          </cell>
          <cell r="E1348"/>
        </row>
        <row r="1349">
          <cell r="A1349" t="str">
            <v>2628OQ47</v>
          </cell>
          <cell r="D1349" t="str">
            <v>FTW102K</v>
          </cell>
          <cell r="E1349"/>
        </row>
        <row r="1350">
          <cell r="A1350" t="str">
            <v>2628U227</v>
          </cell>
          <cell r="D1350" t="str">
            <v>TTS80</v>
          </cell>
          <cell r="E1350"/>
        </row>
        <row r="1351">
          <cell r="A1351" t="str">
            <v>2628OC37</v>
          </cell>
          <cell r="D1351" t="str">
            <v>TTS80</v>
          </cell>
          <cell r="E1351"/>
        </row>
        <row r="1352">
          <cell r="A1352" t="str">
            <v>2628OE37</v>
          </cell>
          <cell r="D1352" t="str">
            <v>TTS80</v>
          </cell>
          <cell r="E1352"/>
        </row>
        <row r="1353">
          <cell r="A1353" t="str">
            <v>2628OK37</v>
          </cell>
          <cell r="D1353" t="str">
            <v>TTS80</v>
          </cell>
          <cell r="E1353"/>
        </row>
        <row r="1354">
          <cell r="A1354" t="str">
            <v>2627FR20</v>
          </cell>
          <cell r="D1354" t="str">
            <v xml:space="preserve">TTS125    </v>
          </cell>
          <cell r="E1354"/>
        </row>
        <row r="1355">
          <cell r="A1355" t="str">
            <v>2627FR60</v>
          </cell>
          <cell r="D1355" t="str">
            <v xml:space="preserve">TTS125    </v>
          </cell>
          <cell r="E1355"/>
        </row>
        <row r="1356">
          <cell r="A1356" t="str">
            <v>2628PA37</v>
          </cell>
          <cell r="D1356" t="str">
            <v>S706</v>
          </cell>
          <cell r="E1356"/>
        </row>
        <row r="1357">
          <cell r="A1357" t="str">
            <v>2628OS47</v>
          </cell>
          <cell r="D1357" t="str">
            <v>S706</v>
          </cell>
          <cell r="E1357"/>
        </row>
        <row r="1358">
          <cell r="A1358" t="str">
            <v>2628OW47</v>
          </cell>
          <cell r="D1358" t="str">
            <v>S706</v>
          </cell>
          <cell r="E1358"/>
        </row>
        <row r="1359">
          <cell r="A1359" t="str">
            <v>2628PY17</v>
          </cell>
          <cell r="D1359" t="str">
            <v>TTS50</v>
          </cell>
          <cell r="E1359"/>
        </row>
        <row r="1360">
          <cell r="A1360" t="str">
            <v>2628H127</v>
          </cell>
          <cell r="D1360" t="str">
            <v>TTS50</v>
          </cell>
          <cell r="E1360"/>
        </row>
        <row r="1361">
          <cell r="A1361" t="str">
            <v>2628H227</v>
          </cell>
          <cell r="D1361" t="str">
            <v>TTS50</v>
          </cell>
          <cell r="E1361"/>
        </row>
        <row r="1362">
          <cell r="A1362" t="str">
            <v>2628OI37</v>
          </cell>
          <cell r="D1362" t="str">
            <v>TTS80</v>
          </cell>
          <cell r="E1362"/>
        </row>
        <row r="1363">
          <cell r="A1363" t="str">
            <v>2628O447</v>
          </cell>
          <cell r="D1363" t="str">
            <v>KBP52</v>
          </cell>
          <cell r="E1363"/>
        </row>
        <row r="1364">
          <cell r="A1364" t="str">
            <v>2628O647</v>
          </cell>
          <cell r="D1364" t="str">
            <v>KBP52</v>
          </cell>
          <cell r="E1364"/>
        </row>
        <row r="1365">
          <cell r="A1365" t="str">
            <v>2627OH67</v>
          </cell>
          <cell r="D1365" t="str">
            <v>KBP86</v>
          </cell>
          <cell r="E1365"/>
        </row>
        <row r="1366">
          <cell r="A1366" t="str">
            <v>2628WC17</v>
          </cell>
          <cell r="D1366" t="str">
            <v>KBP76</v>
          </cell>
          <cell r="E1366"/>
        </row>
        <row r="1367">
          <cell r="A1367" t="str">
            <v>2628J947</v>
          </cell>
          <cell r="D1367" t="str">
            <v>FTW121KR</v>
          </cell>
          <cell r="E1367"/>
        </row>
        <row r="1368">
          <cell r="A1368" t="str">
            <v>2628JC47</v>
          </cell>
          <cell r="D1368" t="str">
            <v>FTW121KR</v>
          </cell>
          <cell r="E1368"/>
        </row>
        <row r="1369">
          <cell r="A1369" t="str">
            <v>2628JE47</v>
          </cell>
          <cell r="D1369" t="str">
            <v>FTW121KR</v>
          </cell>
          <cell r="E1369"/>
        </row>
        <row r="1370">
          <cell r="A1370" t="str">
            <v>2628JJ47</v>
          </cell>
          <cell r="D1370" t="str">
            <v>FTW121KR</v>
          </cell>
          <cell r="E1370"/>
        </row>
        <row r="1371">
          <cell r="A1371" t="str">
            <v>2628JX47</v>
          </cell>
          <cell r="D1371" t="str">
            <v>FTW121KR</v>
          </cell>
          <cell r="E1371"/>
        </row>
        <row r="1372">
          <cell r="A1372" t="str">
            <v>2628JY47</v>
          </cell>
          <cell r="D1372" t="str">
            <v>FTW121KR</v>
          </cell>
          <cell r="E1372"/>
        </row>
        <row r="1373">
          <cell r="A1373" t="str">
            <v>2628SR27</v>
          </cell>
          <cell r="D1373" t="str">
            <v>TTS80</v>
          </cell>
          <cell r="E1373"/>
        </row>
        <row r="1374">
          <cell r="A1374" t="str">
            <v>2628QA37</v>
          </cell>
          <cell r="D1374" t="str">
            <v>TTS80</v>
          </cell>
          <cell r="E1374"/>
        </row>
        <row r="1375">
          <cell r="A1375" t="str">
            <v>2628PR37</v>
          </cell>
          <cell r="D1375" t="str">
            <v>KBP76</v>
          </cell>
          <cell r="E1375"/>
        </row>
        <row r="1376">
          <cell r="A1376" t="str">
            <v>2628PU37</v>
          </cell>
          <cell r="D1376" t="str">
            <v>KBP76</v>
          </cell>
          <cell r="E1376"/>
        </row>
        <row r="1377">
          <cell r="A1377" t="str">
            <v>2628L437</v>
          </cell>
          <cell r="D1377" t="str">
            <v>FTW121KR</v>
          </cell>
          <cell r="E1377"/>
        </row>
        <row r="1378">
          <cell r="A1378" t="str">
            <v>2628LU37</v>
          </cell>
          <cell r="D1378" t="str">
            <v>FTW121KR</v>
          </cell>
          <cell r="E1378"/>
        </row>
        <row r="1379">
          <cell r="A1379" t="str">
            <v>2628QQ17</v>
          </cell>
          <cell r="D1379" t="str">
            <v>FTW102K</v>
          </cell>
          <cell r="E1379"/>
        </row>
        <row r="1380">
          <cell r="A1380" t="str">
            <v>2627OE67</v>
          </cell>
          <cell r="D1380" t="str">
            <v>KBP86</v>
          </cell>
          <cell r="E1380"/>
        </row>
        <row r="1381">
          <cell r="A1381" t="str">
            <v>2628K547</v>
          </cell>
          <cell r="D1381" t="str">
            <v>FTW121KR</v>
          </cell>
          <cell r="E1381"/>
        </row>
        <row r="1382">
          <cell r="A1382" t="str">
            <v>2627J767</v>
          </cell>
          <cell r="D1382" t="str">
            <v>STA156KA</v>
          </cell>
          <cell r="E1382"/>
        </row>
        <row r="1383">
          <cell r="A1383" t="str">
            <v>2628XB17</v>
          </cell>
          <cell r="D1383" t="str">
            <v>TTS80</v>
          </cell>
          <cell r="E1383"/>
        </row>
        <row r="1384">
          <cell r="A1384" t="str">
            <v>2628QC37</v>
          </cell>
          <cell r="D1384" t="str">
            <v>TTS80</v>
          </cell>
          <cell r="E1384"/>
        </row>
        <row r="1385">
          <cell r="A1385" t="str">
            <v>2627OD67</v>
          </cell>
          <cell r="D1385" t="str">
            <v>KBP86</v>
          </cell>
          <cell r="E1385"/>
        </row>
        <row r="1386">
          <cell r="A1386" t="str">
            <v>2627OG67</v>
          </cell>
          <cell r="D1386" t="str">
            <v>KBP86</v>
          </cell>
          <cell r="E1386"/>
        </row>
        <row r="1387">
          <cell r="A1387" t="str">
            <v>2627Q847</v>
          </cell>
          <cell r="D1387" t="str">
            <v>STA200KA</v>
          </cell>
          <cell r="E1387"/>
        </row>
        <row r="1388">
          <cell r="A1388" t="str">
            <v>2628KT37</v>
          </cell>
          <cell r="D1388" t="str">
            <v>FTW121KR</v>
          </cell>
          <cell r="E1388"/>
        </row>
        <row r="1389">
          <cell r="A1389" t="str">
            <v>2628KU37</v>
          </cell>
          <cell r="D1389" t="str">
            <v>FTW121KR</v>
          </cell>
          <cell r="E1389"/>
        </row>
        <row r="1390">
          <cell r="A1390" t="str">
            <v>2628L837</v>
          </cell>
          <cell r="D1390" t="str">
            <v>FTW121KR</v>
          </cell>
          <cell r="E1390"/>
        </row>
        <row r="1391">
          <cell r="A1391" t="str">
            <v>2628LL37</v>
          </cell>
          <cell r="D1391" t="str">
            <v>FTW121KR</v>
          </cell>
          <cell r="E1391"/>
        </row>
        <row r="1392">
          <cell r="A1392" t="str">
            <v>2628LM37</v>
          </cell>
          <cell r="D1392" t="str">
            <v>FTW121KR</v>
          </cell>
          <cell r="E1392"/>
        </row>
        <row r="1393">
          <cell r="A1393" t="str">
            <v>2628LP37</v>
          </cell>
          <cell r="D1393" t="str">
            <v>FTW121KR</v>
          </cell>
          <cell r="E1393"/>
        </row>
        <row r="1394">
          <cell r="A1394" t="str">
            <v>2628LS37</v>
          </cell>
          <cell r="D1394" t="str">
            <v>FTW121KR</v>
          </cell>
          <cell r="E1394"/>
        </row>
        <row r="1395">
          <cell r="A1395" t="str">
            <v>2628LT37</v>
          </cell>
          <cell r="D1395" t="str">
            <v>FTW121KR</v>
          </cell>
          <cell r="E1395"/>
        </row>
        <row r="1396">
          <cell r="A1396" t="str">
            <v>2628JF47</v>
          </cell>
          <cell r="D1396" t="str">
            <v>FTW121KR</v>
          </cell>
          <cell r="E1396"/>
        </row>
        <row r="1397">
          <cell r="A1397" t="str">
            <v>2628JK47</v>
          </cell>
          <cell r="D1397" t="str">
            <v>FTW121KR</v>
          </cell>
          <cell r="E1397"/>
        </row>
        <row r="1398">
          <cell r="A1398" t="str">
            <v>2628JQ47</v>
          </cell>
          <cell r="D1398" t="str">
            <v>FTW121KR</v>
          </cell>
          <cell r="E1398"/>
        </row>
        <row r="1399">
          <cell r="A1399" t="str">
            <v>2628JR47</v>
          </cell>
          <cell r="D1399" t="str">
            <v>FTW121KR</v>
          </cell>
          <cell r="E1399"/>
        </row>
        <row r="1400">
          <cell r="A1400" t="str">
            <v>2628JS47</v>
          </cell>
          <cell r="D1400" t="str">
            <v>FTW121KR</v>
          </cell>
          <cell r="E1400"/>
        </row>
        <row r="1401">
          <cell r="A1401" t="str">
            <v>2628JV47</v>
          </cell>
          <cell r="D1401" t="str">
            <v>FTW121KR</v>
          </cell>
          <cell r="E1401"/>
        </row>
        <row r="1402">
          <cell r="A1402" t="str">
            <v>2628JW47</v>
          </cell>
          <cell r="D1402" t="str">
            <v>FTW121KR</v>
          </cell>
          <cell r="E1402"/>
        </row>
        <row r="1403">
          <cell r="A1403" t="str">
            <v>2628K147</v>
          </cell>
          <cell r="D1403" t="str">
            <v>FTW121KR</v>
          </cell>
          <cell r="E1403"/>
        </row>
        <row r="1404">
          <cell r="A1404" t="str">
            <v>2628K447</v>
          </cell>
          <cell r="D1404" t="str">
            <v>FTW121KR</v>
          </cell>
          <cell r="E1404"/>
        </row>
        <row r="1405">
          <cell r="A1405" t="str">
            <v>2628VL17</v>
          </cell>
          <cell r="D1405" t="str">
            <v>S805</v>
          </cell>
          <cell r="E1405"/>
        </row>
        <row r="1406">
          <cell r="A1406" t="str">
            <v>2628QD27</v>
          </cell>
          <cell r="D1406" t="str">
            <v>S805</v>
          </cell>
          <cell r="E1406"/>
        </row>
        <row r="1407">
          <cell r="A1407" t="str">
            <v>2628OS37</v>
          </cell>
          <cell r="D1407" t="str">
            <v>S805</v>
          </cell>
          <cell r="E1407"/>
        </row>
        <row r="1408">
          <cell r="A1408" t="str">
            <v>2628QB37</v>
          </cell>
          <cell r="D1408" t="str">
            <v>TTS80</v>
          </cell>
          <cell r="E1408"/>
        </row>
        <row r="1409">
          <cell r="A1409" t="str">
            <v>2628H637</v>
          </cell>
          <cell r="D1409" t="str">
            <v>KBP86</v>
          </cell>
          <cell r="E1409"/>
        </row>
        <row r="1410">
          <cell r="A1410" t="str">
            <v>2628OR47</v>
          </cell>
          <cell r="D1410" t="str">
            <v>S706</v>
          </cell>
          <cell r="E1410"/>
        </row>
        <row r="1411">
          <cell r="A1411" t="str">
            <v>2628OZ47</v>
          </cell>
          <cell r="D1411" t="str">
            <v>S706</v>
          </cell>
          <cell r="E1411"/>
        </row>
        <row r="1412">
          <cell r="A1412" t="str">
            <v>2628P347</v>
          </cell>
          <cell r="D1412" t="str">
            <v>S706</v>
          </cell>
          <cell r="E1412"/>
        </row>
        <row r="1413">
          <cell r="A1413" t="str">
            <v>2628P647</v>
          </cell>
          <cell r="D1413" t="str">
            <v>S706</v>
          </cell>
          <cell r="E1413"/>
        </row>
        <row r="1414">
          <cell r="A1414" t="str">
            <v>2628IZ47</v>
          </cell>
          <cell r="D1414" t="str">
            <v>FTW102K</v>
          </cell>
          <cell r="E1414"/>
        </row>
        <row r="1415">
          <cell r="A1415" t="str">
            <v>2628Q317</v>
          </cell>
          <cell r="D1415" t="str">
            <v>TTS50</v>
          </cell>
          <cell r="E1415"/>
        </row>
        <row r="1416">
          <cell r="A1416" t="str">
            <v>2628HD27</v>
          </cell>
          <cell r="D1416" t="str">
            <v>TTS50</v>
          </cell>
          <cell r="E1416"/>
        </row>
        <row r="1417">
          <cell r="A1417" t="str">
            <v>2628HF27</v>
          </cell>
          <cell r="D1417" t="str">
            <v>TTS50</v>
          </cell>
          <cell r="E1417"/>
        </row>
        <row r="1418">
          <cell r="A1418" t="str">
            <v>2628JY37</v>
          </cell>
          <cell r="D1418" t="str">
            <v>TTS50</v>
          </cell>
          <cell r="E1418"/>
        </row>
        <row r="1419">
          <cell r="A1419" t="str">
            <v>2628WQ17</v>
          </cell>
          <cell r="D1419" t="str">
            <v>KBP76</v>
          </cell>
          <cell r="E1419"/>
        </row>
        <row r="1420">
          <cell r="A1420" t="str">
            <v>2628ZB27</v>
          </cell>
          <cell r="D1420" t="str">
            <v>STA156KA</v>
          </cell>
          <cell r="E1420"/>
        </row>
        <row r="1421">
          <cell r="A1421" t="str">
            <v>2628GE27</v>
          </cell>
          <cell r="D1421" t="str">
            <v>KBP76</v>
          </cell>
          <cell r="E1421"/>
        </row>
        <row r="1422">
          <cell r="A1422" t="str">
            <v>2628FM67</v>
          </cell>
          <cell r="D1422" t="str">
            <v>KBP86</v>
          </cell>
          <cell r="E1422"/>
        </row>
        <row r="1423">
          <cell r="A1423" t="str">
            <v>2628OJ37</v>
          </cell>
          <cell r="D1423" t="str">
            <v>TTS80</v>
          </cell>
          <cell r="E1423"/>
        </row>
        <row r="1424">
          <cell r="A1424" t="str">
            <v>2628PI37</v>
          </cell>
          <cell r="D1424" t="str">
            <v>KBP76</v>
          </cell>
          <cell r="E1424"/>
        </row>
        <row r="1425">
          <cell r="A1425" t="str">
            <v>2628PJ37</v>
          </cell>
          <cell r="D1425" t="str">
            <v>KBP76</v>
          </cell>
          <cell r="E1425"/>
        </row>
        <row r="1426">
          <cell r="A1426" t="str">
            <v>2628PF47</v>
          </cell>
          <cell r="D1426" t="str">
            <v>KBP76</v>
          </cell>
          <cell r="E1426"/>
        </row>
        <row r="1427">
          <cell r="A1427" t="str">
            <v>2628PJ47</v>
          </cell>
          <cell r="D1427" t="str">
            <v>KBP76</v>
          </cell>
          <cell r="E1427"/>
        </row>
        <row r="1428">
          <cell r="A1428" t="str">
            <v>2628KU67</v>
          </cell>
          <cell r="D1428" t="str">
            <v>KBP76</v>
          </cell>
          <cell r="E1428"/>
        </row>
        <row r="1429">
          <cell r="A1429" t="str">
            <v>2628ET57</v>
          </cell>
          <cell r="D1429" t="str">
            <v>FTW102K</v>
          </cell>
          <cell r="E1429"/>
        </row>
        <row r="1430">
          <cell r="A1430" t="str">
            <v>2627E867</v>
          </cell>
          <cell r="D1430" t="str">
            <v>TTS50</v>
          </cell>
          <cell r="E1430"/>
        </row>
        <row r="1431">
          <cell r="A1431" t="str">
            <v>2628PG17</v>
          </cell>
          <cell r="D1431" t="str">
            <v>TTS50</v>
          </cell>
          <cell r="E1431"/>
        </row>
        <row r="1432">
          <cell r="A1432" t="str">
            <v>2628H327</v>
          </cell>
          <cell r="D1432" t="str">
            <v>TTS50</v>
          </cell>
          <cell r="E1432"/>
        </row>
        <row r="1433">
          <cell r="A1433" t="str">
            <v>2628H427</v>
          </cell>
          <cell r="D1433" t="str">
            <v>TTS50</v>
          </cell>
          <cell r="E1433"/>
        </row>
        <row r="1434">
          <cell r="A1434" t="str">
            <v>2628HC27</v>
          </cell>
          <cell r="D1434" t="str">
            <v>TTS50</v>
          </cell>
          <cell r="E1434"/>
        </row>
        <row r="1435">
          <cell r="A1435" t="str">
            <v>2628KA37</v>
          </cell>
          <cell r="D1435" t="str">
            <v>TTS50</v>
          </cell>
          <cell r="E1435"/>
        </row>
        <row r="1436">
          <cell r="A1436" t="str">
            <v>2628I147</v>
          </cell>
          <cell r="D1436" t="str">
            <v>TTS50</v>
          </cell>
          <cell r="E1436"/>
        </row>
        <row r="1437">
          <cell r="A1437" t="str">
            <v>2628I547</v>
          </cell>
          <cell r="D1437" t="str">
            <v>TTS50</v>
          </cell>
          <cell r="E1437"/>
        </row>
        <row r="1438">
          <cell r="A1438" t="str">
            <v>2628QW27</v>
          </cell>
          <cell r="D1438" t="str">
            <v>KBP76</v>
          </cell>
          <cell r="E1438"/>
        </row>
        <row r="1439">
          <cell r="A1439" t="str">
            <v>2628QX27</v>
          </cell>
          <cell r="D1439" t="str">
            <v>KBP76</v>
          </cell>
          <cell r="E1439"/>
        </row>
        <row r="1440">
          <cell r="A1440" t="str">
            <v>2628PM37</v>
          </cell>
          <cell r="D1440" t="str">
            <v>KBP76</v>
          </cell>
          <cell r="E1440"/>
        </row>
        <row r="1441">
          <cell r="A1441" t="str">
            <v>2628QY27</v>
          </cell>
          <cell r="D1441" t="str">
            <v>KBP76</v>
          </cell>
          <cell r="E1441"/>
        </row>
        <row r="1442">
          <cell r="A1442" t="str">
            <v>2628JH47</v>
          </cell>
          <cell r="D1442" t="str">
            <v>FTW121KR</v>
          </cell>
          <cell r="E1442"/>
        </row>
        <row r="1443">
          <cell r="A1443" t="str">
            <v>2628Q627</v>
          </cell>
          <cell r="D1443" t="str">
            <v>TTS80</v>
          </cell>
          <cell r="E1443"/>
        </row>
        <row r="1444">
          <cell r="A1444" t="str">
            <v>2628Q927</v>
          </cell>
          <cell r="D1444" t="str">
            <v>TTS80</v>
          </cell>
          <cell r="E1444"/>
        </row>
        <row r="1445">
          <cell r="A1445" t="str">
            <v>2628OF37</v>
          </cell>
          <cell r="D1445" t="str">
            <v>TTS80</v>
          </cell>
          <cell r="E1445"/>
        </row>
        <row r="1446">
          <cell r="A1446" t="str">
            <v>2628OH37</v>
          </cell>
          <cell r="D1446" t="str">
            <v>TTS80</v>
          </cell>
          <cell r="E1446"/>
        </row>
        <row r="1447">
          <cell r="A1447" t="str">
            <v>2627O967</v>
          </cell>
          <cell r="D1447" t="str">
            <v>KBP76</v>
          </cell>
          <cell r="E1447"/>
        </row>
        <row r="1448">
          <cell r="A1448" t="str">
            <v>2628SD27</v>
          </cell>
          <cell r="D1448" t="str">
            <v>KBP55</v>
          </cell>
          <cell r="E1448"/>
        </row>
        <row r="1449">
          <cell r="A1449" t="str">
            <v>2628PX47</v>
          </cell>
          <cell r="D1449" t="str">
            <v>KBP55</v>
          </cell>
          <cell r="E1449"/>
        </row>
        <row r="1450">
          <cell r="A1450" t="str">
            <v>2628JG47</v>
          </cell>
          <cell r="D1450" t="str">
            <v>FTW121KR</v>
          </cell>
          <cell r="E1450"/>
        </row>
        <row r="1451">
          <cell r="A1451" t="str">
            <v>2628JP47</v>
          </cell>
          <cell r="D1451" t="str">
            <v>FTW121KR</v>
          </cell>
          <cell r="E1451"/>
        </row>
        <row r="1452">
          <cell r="A1452" t="str">
            <v>2628JU47</v>
          </cell>
          <cell r="D1452" t="str">
            <v>FTW121KR</v>
          </cell>
          <cell r="E1452"/>
        </row>
        <row r="1453">
          <cell r="A1453" t="str">
            <v>2628JZ47</v>
          </cell>
          <cell r="D1453" t="str">
            <v>FTW121KR</v>
          </cell>
          <cell r="E1453"/>
        </row>
        <row r="1454">
          <cell r="A1454" t="str">
            <v>2628FA57</v>
          </cell>
          <cell r="D1454" t="str">
            <v>FTW121KR</v>
          </cell>
          <cell r="E1454"/>
        </row>
        <row r="1455">
          <cell r="A1455" t="str">
            <v>2628FC57</v>
          </cell>
          <cell r="D1455" t="str">
            <v>FTW121KR</v>
          </cell>
          <cell r="E1455"/>
        </row>
        <row r="1456">
          <cell r="A1456" t="str">
            <v>2628FF57</v>
          </cell>
          <cell r="D1456" t="str">
            <v>FTW121KR</v>
          </cell>
          <cell r="E1456"/>
        </row>
        <row r="1457">
          <cell r="A1457" t="str">
            <v>2628FG57</v>
          </cell>
          <cell r="D1457" t="str">
            <v>FTW121KR</v>
          </cell>
          <cell r="E1457"/>
        </row>
        <row r="1458">
          <cell r="A1458" t="str">
            <v>2628FL57</v>
          </cell>
          <cell r="D1458" t="str">
            <v>FTW121KR</v>
          </cell>
          <cell r="E1458"/>
        </row>
        <row r="1459">
          <cell r="A1459" t="str">
            <v>2628FW57</v>
          </cell>
          <cell r="D1459" t="str">
            <v>FTW121KR</v>
          </cell>
          <cell r="E1459"/>
        </row>
        <row r="1460">
          <cell r="A1460" t="str">
            <v>2628FZ57</v>
          </cell>
          <cell r="D1460" t="str">
            <v>FTW121KR</v>
          </cell>
          <cell r="E1460"/>
        </row>
        <row r="1461">
          <cell r="A1461" t="str">
            <v>2628OL47</v>
          </cell>
          <cell r="D1461" t="str">
            <v>S805</v>
          </cell>
          <cell r="E1461"/>
        </row>
        <row r="1462">
          <cell r="A1462" t="str">
            <v>2628Q537</v>
          </cell>
          <cell r="D1462" t="str">
            <v>TTS80</v>
          </cell>
          <cell r="E1462"/>
        </row>
        <row r="1463">
          <cell r="A1463" t="str">
            <v>2628Q737</v>
          </cell>
          <cell r="D1463" t="str">
            <v>TTS80</v>
          </cell>
          <cell r="E1463"/>
        </row>
        <row r="1464">
          <cell r="A1464" t="str">
            <v>2628K167</v>
          </cell>
          <cell r="D1464" t="str">
            <v>TTS80</v>
          </cell>
          <cell r="E1464"/>
        </row>
        <row r="1465">
          <cell r="A1465" t="str">
            <v>2628PO37</v>
          </cell>
          <cell r="D1465" t="str">
            <v>KBP76</v>
          </cell>
          <cell r="E1465"/>
        </row>
        <row r="1466">
          <cell r="A1466" t="str">
            <v>2628PS37</v>
          </cell>
          <cell r="D1466" t="str">
            <v>KBP76</v>
          </cell>
          <cell r="E1466"/>
        </row>
        <row r="1467">
          <cell r="A1467" t="str">
            <v>2628PR47</v>
          </cell>
          <cell r="D1467" t="str">
            <v>KBP76</v>
          </cell>
          <cell r="E1467"/>
        </row>
        <row r="1468">
          <cell r="A1468" t="str">
            <v>2628QF37</v>
          </cell>
          <cell r="D1468" t="str">
            <v>KBP86</v>
          </cell>
          <cell r="E1468"/>
        </row>
        <row r="1469">
          <cell r="A1469" t="str">
            <v>2628O737</v>
          </cell>
          <cell r="D1469" t="str">
            <v>KBP52</v>
          </cell>
          <cell r="E1469"/>
        </row>
        <row r="1470">
          <cell r="A1470" t="str">
            <v>2628OA37</v>
          </cell>
          <cell r="D1470" t="str">
            <v>KBP52</v>
          </cell>
          <cell r="E1470"/>
        </row>
        <row r="1471">
          <cell r="A1471" t="str">
            <v>2628H557</v>
          </cell>
          <cell r="D1471" t="str">
            <v>S706</v>
          </cell>
          <cell r="E1471"/>
        </row>
        <row r="1472">
          <cell r="A1472" t="str">
            <v>2628PE17</v>
          </cell>
          <cell r="D1472" t="str">
            <v>TTS50</v>
          </cell>
          <cell r="E1472"/>
        </row>
        <row r="1473">
          <cell r="A1473" t="str">
            <v>2628H727</v>
          </cell>
          <cell r="D1473" t="str">
            <v>TTS50</v>
          </cell>
          <cell r="E1473"/>
        </row>
        <row r="1474">
          <cell r="A1474" t="str">
            <v>2628HB27</v>
          </cell>
          <cell r="D1474" t="str">
            <v>TTS50</v>
          </cell>
          <cell r="E1474"/>
        </row>
        <row r="1475">
          <cell r="A1475" t="str">
            <v>2628K137</v>
          </cell>
          <cell r="D1475" t="str">
            <v>TTS50</v>
          </cell>
          <cell r="E1475"/>
        </row>
        <row r="1476">
          <cell r="A1476" t="str">
            <v>2628K637</v>
          </cell>
          <cell r="D1476" t="str">
            <v>TTS50</v>
          </cell>
          <cell r="E1476"/>
        </row>
        <row r="1477">
          <cell r="A1477" t="str">
            <v>2628KD37</v>
          </cell>
          <cell r="D1477" t="str">
            <v>TTS50</v>
          </cell>
          <cell r="E1477"/>
        </row>
        <row r="1478">
          <cell r="A1478" t="str">
            <v>2627S167</v>
          </cell>
          <cell r="D1478" t="str">
            <v>TTS80</v>
          </cell>
          <cell r="E1478"/>
        </row>
        <row r="1479">
          <cell r="A1479" t="str">
            <v>2628FS60</v>
          </cell>
          <cell r="D1479" t="str">
            <v xml:space="preserve">TTS125    </v>
          </cell>
          <cell r="E1479"/>
        </row>
        <row r="1480">
          <cell r="A1480" t="str">
            <v>2627FS20</v>
          </cell>
          <cell r="E1480"/>
        </row>
        <row r="1481">
          <cell r="A1481" t="str">
            <v>2628FS80</v>
          </cell>
          <cell r="D1481" t="str">
            <v xml:space="preserve">TTS125    </v>
          </cell>
          <cell r="E1481"/>
        </row>
        <row r="1482">
          <cell r="A1482" t="str">
            <v>2628FS70</v>
          </cell>
          <cell r="D1482" t="str">
            <v xml:space="preserve">TTS125    </v>
          </cell>
          <cell r="E1482"/>
        </row>
        <row r="1483">
          <cell r="A1483" t="str">
            <v>2627FS40</v>
          </cell>
          <cell r="E1483"/>
        </row>
        <row r="1484">
          <cell r="A1484" t="str">
            <v>2627FS30</v>
          </cell>
          <cell r="E1484"/>
        </row>
        <row r="1485">
          <cell r="A1485" t="str">
            <v>2627FS50</v>
          </cell>
          <cell r="E1485"/>
        </row>
        <row r="1486">
          <cell r="A1486" t="str">
            <v>2628FU40</v>
          </cell>
          <cell r="D1486" t="str">
            <v xml:space="preserve">STA200KA  </v>
          </cell>
          <cell r="E1486"/>
        </row>
        <row r="1487">
          <cell r="A1487" t="str">
            <v>2628FU50</v>
          </cell>
          <cell r="D1487" t="str">
            <v xml:space="preserve">STA200KA  </v>
          </cell>
          <cell r="E1487"/>
        </row>
        <row r="1488">
          <cell r="A1488" t="str">
            <v>2628QB27</v>
          </cell>
          <cell r="D1488" t="str">
            <v>STA156KA</v>
          </cell>
          <cell r="E1488"/>
        </row>
        <row r="1489">
          <cell r="A1489" t="str">
            <v>2628H237</v>
          </cell>
          <cell r="D1489" t="str">
            <v>KBP86</v>
          </cell>
          <cell r="E1489"/>
        </row>
        <row r="1490">
          <cell r="A1490" t="str">
            <v>2628G957</v>
          </cell>
          <cell r="D1490" t="str">
            <v>KBP86</v>
          </cell>
          <cell r="E1490"/>
        </row>
        <row r="1491">
          <cell r="A1491" t="str">
            <v>2628GA57</v>
          </cell>
          <cell r="D1491" t="str">
            <v>KBP86</v>
          </cell>
          <cell r="E1491"/>
        </row>
        <row r="1492">
          <cell r="A1492" t="str">
            <v>2628FG67</v>
          </cell>
          <cell r="D1492" t="str">
            <v>KBP86</v>
          </cell>
          <cell r="E1492"/>
        </row>
        <row r="1493">
          <cell r="A1493" t="str">
            <v>2628FK67</v>
          </cell>
          <cell r="D1493" t="str">
            <v>KBP86</v>
          </cell>
          <cell r="E1493"/>
        </row>
        <row r="1494">
          <cell r="A1494" t="str">
            <v>2628PD47</v>
          </cell>
          <cell r="D1494" t="str">
            <v>KBP76</v>
          </cell>
          <cell r="E1494"/>
        </row>
        <row r="1495">
          <cell r="A1495" t="str">
            <v>2628PE47</v>
          </cell>
          <cell r="D1495" t="str">
            <v>KBP76</v>
          </cell>
          <cell r="E1495"/>
        </row>
        <row r="1496">
          <cell r="A1496" t="str">
            <v>2628PG47</v>
          </cell>
          <cell r="D1496" t="str">
            <v>KBP76</v>
          </cell>
          <cell r="E1496"/>
        </row>
        <row r="1497">
          <cell r="A1497" t="str">
            <v>2628PH47</v>
          </cell>
          <cell r="D1497" t="str">
            <v>KBP76</v>
          </cell>
          <cell r="E1497"/>
        </row>
        <row r="1498">
          <cell r="A1498" t="str">
            <v>2628PM47</v>
          </cell>
          <cell r="D1498" t="str">
            <v>KBP76</v>
          </cell>
          <cell r="E1498"/>
        </row>
        <row r="1499">
          <cell r="A1499" t="str">
            <v>2628HJ57</v>
          </cell>
          <cell r="D1499" t="str">
            <v>KBP76</v>
          </cell>
          <cell r="E1499"/>
        </row>
        <row r="1500">
          <cell r="A1500" t="str">
            <v>2628ER57</v>
          </cell>
          <cell r="D1500" t="str">
            <v>S805</v>
          </cell>
          <cell r="E1500"/>
        </row>
        <row r="1501">
          <cell r="A1501" t="str">
            <v>2628GU27</v>
          </cell>
          <cell r="D1501" t="str">
            <v>FTP150</v>
          </cell>
          <cell r="E1501"/>
        </row>
        <row r="1502">
          <cell r="A1502" t="str">
            <v>2628HD47</v>
          </cell>
          <cell r="D1502" t="str">
            <v>FTP150</v>
          </cell>
          <cell r="E1502"/>
        </row>
        <row r="1503">
          <cell r="A1503" t="str">
            <v>2628SC27</v>
          </cell>
          <cell r="D1503" t="str">
            <v>TTS50</v>
          </cell>
          <cell r="E1503"/>
        </row>
        <row r="1504">
          <cell r="A1504" t="str">
            <v>2628J347</v>
          </cell>
          <cell r="D1504" t="str">
            <v>FTW102K</v>
          </cell>
          <cell r="E1504"/>
        </row>
        <row r="1505">
          <cell r="A1505" t="str">
            <v>2628EY57</v>
          </cell>
          <cell r="D1505" t="str">
            <v>FTW102K</v>
          </cell>
          <cell r="E1505"/>
        </row>
        <row r="1506">
          <cell r="A1506" t="str">
            <v>2627E567</v>
          </cell>
          <cell r="D1506" t="str">
            <v>TTS50</v>
          </cell>
          <cell r="E1506"/>
        </row>
        <row r="1507">
          <cell r="A1507" t="str">
            <v>2628K237</v>
          </cell>
          <cell r="D1507" t="str">
            <v>TTS50</v>
          </cell>
          <cell r="E1507"/>
        </row>
        <row r="1508">
          <cell r="A1508" t="str">
            <v>2628K837</v>
          </cell>
          <cell r="D1508" t="str">
            <v>TTS50</v>
          </cell>
          <cell r="E1508"/>
        </row>
        <row r="1509">
          <cell r="A1509" t="str">
            <v>2628HP47</v>
          </cell>
          <cell r="D1509" t="str">
            <v>TTS50</v>
          </cell>
          <cell r="E1509"/>
        </row>
        <row r="1510">
          <cell r="A1510" t="str">
            <v>2628HQ47</v>
          </cell>
          <cell r="D1510" t="str">
            <v>TTS50</v>
          </cell>
          <cell r="E1510"/>
        </row>
        <row r="1511">
          <cell r="A1511" t="str">
            <v>2628HW47</v>
          </cell>
          <cell r="D1511" t="str">
            <v>TTS50</v>
          </cell>
          <cell r="E1511"/>
        </row>
        <row r="1512">
          <cell r="A1512" t="str">
            <v>2628HX47</v>
          </cell>
          <cell r="D1512" t="str">
            <v>TTS50</v>
          </cell>
          <cell r="E1512"/>
        </row>
        <row r="1513">
          <cell r="A1513" t="str">
            <v>2628IB47</v>
          </cell>
          <cell r="D1513" t="str">
            <v>TTS50</v>
          </cell>
          <cell r="E1513"/>
        </row>
        <row r="1514">
          <cell r="A1514" t="str">
            <v>2628IC47</v>
          </cell>
          <cell r="D1514" t="str">
            <v>TTS50</v>
          </cell>
          <cell r="E1514"/>
        </row>
        <row r="1515">
          <cell r="A1515" t="str">
            <v>2628IB67</v>
          </cell>
          <cell r="D1515" t="str">
            <v>KBP55</v>
          </cell>
          <cell r="E1515"/>
        </row>
        <row r="1516">
          <cell r="A1516" t="str">
            <v>2628IC67</v>
          </cell>
          <cell r="D1516" t="str">
            <v>KBP55</v>
          </cell>
          <cell r="E1516"/>
        </row>
        <row r="1517">
          <cell r="A1517" t="str">
            <v>2628QZ27</v>
          </cell>
          <cell r="D1517" t="str">
            <v>KBP76</v>
          </cell>
          <cell r="E1517"/>
        </row>
        <row r="1518">
          <cell r="A1518" t="str">
            <v>2628JA47</v>
          </cell>
          <cell r="D1518" t="str">
            <v>FTW121KR</v>
          </cell>
          <cell r="E1518"/>
        </row>
        <row r="1519">
          <cell r="A1519" t="str">
            <v>2628JL47</v>
          </cell>
          <cell r="D1519" t="str">
            <v>FTW121KR</v>
          </cell>
          <cell r="E1519"/>
        </row>
        <row r="1520">
          <cell r="A1520" t="str">
            <v>2628FB57</v>
          </cell>
          <cell r="D1520" t="str">
            <v>FTW121KR</v>
          </cell>
          <cell r="E1520"/>
        </row>
        <row r="1521">
          <cell r="A1521" t="str">
            <v>2628FR57</v>
          </cell>
          <cell r="D1521" t="str">
            <v>FTW121KR</v>
          </cell>
          <cell r="E1521"/>
        </row>
        <row r="1522">
          <cell r="A1522" t="str">
            <v>2628FS57</v>
          </cell>
          <cell r="D1522" t="str">
            <v>FTW121KR</v>
          </cell>
          <cell r="E1522"/>
        </row>
        <row r="1523">
          <cell r="A1523" t="str">
            <v>2628FV57</v>
          </cell>
          <cell r="D1523" t="str">
            <v>FTW121KR</v>
          </cell>
          <cell r="E1523"/>
        </row>
        <row r="1524">
          <cell r="A1524" t="str">
            <v>2628FY57</v>
          </cell>
          <cell r="D1524" t="str">
            <v>FTW121KR</v>
          </cell>
          <cell r="E1524"/>
        </row>
        <row r="1525">
          <cell r="A1525" t="str">
            <v>2628G157</v>
          </cell>
          <cell r="D1525" t="str">
            <v>FTW121KR</v>
          </cell>
          <cell r="E1525"/>
        </row>
        <row r="1526">
          <cell r="A1526" t="str">
            <v>2628G557</v>
          </cell>
          <cell r="D1526" t="str">
            <v>FTW121KR</v>
          </cell>
          <cell r="E1526"/>
        </row>
        <row r="1527">
          <cell r="A1527" t="str">
            <v>2628OU37</v>
          </cell>
          <cell r="D1527" t="str">
            <v>S805</v>
          </cell>
          <cell r="E1527"/>
        </row>
        <row r="1528">
          <cell r="A1528" t="str">
            <v>2628KN37</v>
          </cell>
          <cell r="D1528" t="str">
            <v>FTW102K</v>
          </cell>
          <cell r="E1528"/>
        </row>
        <row r="1529">
          <cell r="A1529" t="str">
            <v>2628DH37</v>
          </cell>
          <cell r="D1529" t="str">
            <v>KBP40</v>
          </cell>
          <cell r="E1529"/>
        </row>
        <row r="1530">
          <cell r="A1530" t="str">
            <v>2628Q137</v>
          </cell>
          <cell r="D1530" t="str">
            <v>TTS80</v>
          </cell>
          <cell r="E1530"/>
        </row>
        <row r="1531">
          <cell r="A1531" t="str">
            <v>2628Q447</v>
          </cell>
          <cell r="D1531" t="str">
            <v>TTS80</v>
          </cell>
          <cell r="E1531"/>
        </row>
        <row r="1532">
          <cell r="A1532" t="str">
            <v>2628J567</v>
          </cell>
          <cell r="D1532" t="str">
            <v>TTS80</v>
          </cell>
          <cell r="E1532"/>
        </row>
        <row r="1533">
          <cell r="A1533" t="str">
            <v>2628J667</v>
          </cell>
          <cell r="D1533" t="str">
            <v>TTS80</v>
          </cell>
          <cell r="E1533"/>
        </row>
        <row r="1534">
          <cell r="A1534" t="str">
            <v>2628JJ67</v>
          </cell>
          <cell r="D1534" t="str">
            <v>TTS80</v>
          </cell>
          <cell r="E1534"/>
        </row>
        <row r="1535">
          <cell r="A1535" t="str">
            <v>2628JS67</v>
          </cell>
          <cell r="D1535" t="str">
            <v>TTS80</v>
          </cell>
          <cell r="E1535"/>
        </row>
        <row r="1536">
          <cell r="A1536" t="str">
            <v>2628JT67</v>
          </cell>
          <cell r="D1536" t="str">
            <v>TTS80</v>
          </cell>
          <cell r="E1536"/>
        </row>
        <row r="1537">
          <cell r="A1537" t="str">
            <v>2628JZ67</v>
          </cell>
          <cell r="D1537" t="str">
            <v>TTS80</v>
          </cell>
          <cell r="E1537"/>
        </row>
        <row r="1538">
          <cell r="A1538" t="str">
            <v>2628WB17</v>
          </cell>
          <cell r="D1538" t="str">
            <v>STA156KA</v>
          </cell>
          <cell r="E1538"/>
        </row>
        <row r="1539">
          <cell r="A1539" t="str">
            <v>2628PN37</v>
          </cell>
          <cell r="D1539" t="str">
            <v>KBP76</v>
          </cell>
          <cell r="E1539"/>
        </row>
        <row r="1540">
          <cell r="A1540" t="str">
            <v>2628PP37</v>
          </cell>
          <cell r="D1540" t="str">
            <v>KBP76</v>
          </cell>
          <cell r="E1540"/>
        </row>
        <row r="1541">
          <cell r="A1541" t="str">
            <v>2628PQ37</v>
          </cell>
          <cell r="D1541" t="str">
            <v>KBP76</v>
          </cell>
          <cell r="E1541"/>
        </row>
        <row r="1542">
          <cell r="A1542" t="str">
            <v>2628PN47</v>
          </cell>
          <cell r="D1542" t="str">
            <v>KBP76</v>
          </cell>
          <cell r="E1542"/>
        </row>
        <row r="1543">
          <cell r="A1543" t="str">
            <v>2628PP47</v>
          </cell>
          <cell r="D1543" t="str">
            <v>KBP76</v>
          </cell>
          <cell r="E1543"/>
        </row>
        <row r="1544">
          <cell r="A1544" t="str">
            <v>2628PQ47</v>
          </cell>
          <cell r="D1544" t="str">
            <v>KBP76</v>
          </cell>
          <cell r="E1544"/>
        </row>
        <row r="1545">
          <cell r="A1545" t="str">
            <v>2628PS47</v>
          </cell>
          <cell r="D1545" t="str">
            <v>KBP76</v>
          </cell>
          <cell r="E1545"/>
        </row>
        <row r="1546">
          <cell r="A1546" t="str">
            <v>2628HM67</v>
          </cell>
          <cell r="D1546" t="str">
            <v>KBP76</v>
          </cell>
          <cell r="E1546"/>
        </row>
        <row r="1547">
          <cell r="A1547" t="str">
            <v>2628LI37</v>
          </cell>
          <cell r="D1547" t="str">
            <v>FTW121KR</v>
          </cell>
          <cell r="E1547"/>
        </row>
        <row r="1548">
          <cell r="A1548" t="str">
            <v>2628IM27</v>
          </cell>
          <cell r="D1548" t="str">
            <v>FTW102K</v>
          </cell>
          <cell r="E1548"/>
        </row>
        <row r="1549">
          <cell r="A1549" t="str">
            <v>2628S617</v>
          </cell>
          <cell r="D1549" t="str">
            <v>FTW121KR</v>
          </cell>
          <cell r="E1549"/>
        </row>
        <row r="1550">
          <cell r="A1550" t="str">
            <v>2628K747</v>
          </cell>
          <cell r="D1550" t="str">
            <v>FTW121KR</v>
          </cell>
          <cell r="E1550"/>
        </row>
        <row r="1551">
          <cell r="A1551" t="str">
            <v>2628P117</v>
          </cell>
          <cell r="D1551" t="str">
            <v>S706</v>
          </cell>
          <cell r="E1551"/>
        </row>
        <row r="1552">
          <cell r="A1552" t="str">
            <v>2627OC67</v>
          </cell>
          <cell r="D1552" t="str">
            <v>KBP86</v>
          </cell>
          <cell r="E1552"/>
        </row>
        <row r="1553">
          <cell r="A1553" t="str">
            <v>2628GT67</v>
          </cell>
          <cell r="D1553" t="str">
            <v>KBP76</v>
          </cell>
          <cell r="E1553"/>
        </row>
        <row r="1554">
          <cell r="A1554" t="str">
            <v>2628HG27</v>
          </cell>
          <cell r="D1554" t="str">
            <v>TTS50</v>
          </cell>
          <cell r="E1554"/>
        </row>
        <row r="1555">
          <cell r="A1555" t="str">
            <v>2628HK47</v>
          </cell>
          <cell r="D1555" t="str">
            <v>TTS50</v>
          </cell>
          <cell r="E1555"/>
        </row>
        <row r="1556">
          <cell r="A1556" t="str">
            <v>2628HR47</v>
          </cell>
          <cell r="D1556" t="str">
            <v>TTS50</v>
          </cell>
          <cell r="E1556"/>
        </row>
        <row r="1557">
          <cell r="A1557" t="str">
            <v>2628HY47</v>
          </cell>
          <cell r="D1557" t="str">
            <v>TTS50</v>
          </cell>
          <cell r="E1557"/>
        </row>
        <row r="1558">
          <cell r="A1558" t="str">
            <v>2628DY57</v>
          </cell>
          <cell r="D1558" t="str">
            <v>TTS50</v>
          </cell>
          <cell r="E1558"/>
        </row>
        <row r="1559">
          <cell r="A1559" t="str">
            <v>2628ED67</v>
          </cell>
          <cell r="D1559" t="str">
            <v>TTS50</v>
          </cell>
          <cell r="E1559"/>
        </row>
        <row r="1560">
          <cell r="A1560" t="str">
            <v>2628FI67</v>
          </cell>
          <cell r="D1560" t="str">
            <v>KBP86</v>
          </cell>
          <cell r="E1560"/>
        </row>
        <row r="1561">
          <cell r="A1561" t="str">
            <v>2628PI47</v>
          </cell>
          <cell r="D1561" t="str">
            <v>KBP76</v>
          </cell>
          <cell r="E1561"/>
        </row>
        <row r="1562">
          <cell r="A1562" t="str">
            <v>2628KK37</v>
          </cell>
          <cell r="D1562" t="str">
            <v>FTW102K</v>
          </cell>
          <cell r="E1562"/>
        </row>
        <row r="1563">
          <cell r="A1563" t="str">
            <v>2628IX47</v>
          </cell>
          <cell r="D1563" t="str">
            <v>FTW102K</v>
          </cell>
          <cell r="E1563"/>
        </row>
        <row r="1564">
          <cell r="A1564" t="str">
            <v>2628J247</v>
          </cell>
          <cell r="D1564" t="str">
            <v>FTW102K</v>
          </cell>
          <cell r="E1564"/>
        </row>
        <row r="1565">
          <cell r="A1565" t="str">
            <v>2628J647</v>
          </cell>
          <cell r="D1565" t="str">
            <v>FTW102K</v>
          </cell>
          <cell r="E1565"/>
        </row>
        <row r="1566">
          <cell r="A1566" t="str">
            <v>2628EU57</v>
          </cell>
          <cell r="D1566" t="str">
            <v>FTW102K</v>
          </cell>
          <cell r="E1566"/>
        </row>
        <row r="1567">
          <cell r="A1567" t="str">
            <v>2628EW57</v>
          </cell>
          <cell r="D1567" t="str">
            <v>FTW102K</v>
          </cell>
          <cell r="E1567"/>
        </row>
        <row r="1568">
          <cell r="A1568" t="str">
            <v>2628EX57</v>
          </cell>
          <cell r="D1568" t="str">
            <v>FTW102K</v>
          </cell>
          <cell r="E1568"/>
        </row>
        <row r="1569">
          <cell r="A1569" t="str">
            <v>2628F357</v>
          </cell>
          <cell r="D1569" t="str">
            <v>FTW102K</v>
          </cell>
          <cell r="E1569"/>
        </row>
        <row r="1570">
          <cell r="A1570" t="str">
            <v>2628S327</v>
          </cell>
          <cell r="D1570" t="str">
            <v>KBP76</v>
          </cell>
          <cell r="E1570"/>
        </row>
        <row r="1571">
          <cell r="A1571" t="str">
            <v>2628D127</v>
          </cell>
          <cell r="D1571" t="str">
            <v>KBP126</v>
          </cell>
          <cell r="E1571"/>
        </row>
        <row r="1572">
          <cell r="A1572" t="str">
            <v>2628PT37</v>
          </cell>
          <cell r="D1572" t="str">
            <v>KBP76</v>
          </cell>
          <cell r="E1572"/>
        </row>
        <row r="1573">
          <cell r="A1573" t="str">
            <v>2628HL57</v>
          </cell>
          <cell r="D1573" t="str">
            <v>KBP76</v>
          </cell>
          <cell r="E1573"/>
        </row>
        <row r="1574">
          <cell r="A1574" t="str">
            <v>2628QR27</v>
          </cell>
          <cell r="D1574" t="str">
            <v>KBP86</v>
          </cell>
          <cell r="E1574"/>
        </row>
        <row r="1575">
          <cell r="A1575" t="str">
            <v>2628D327</v>
          </cell>
          <cell r="D1575" t="str">
            <v>KBP126</v>
          </cell>
          <cell r="E1575"/>
        </row>
        <row r="1576">
          <cell r="A1576" t="str">
            <v>2628AU37</v>
          </cell>
          <cell r="D1576" t="str">
            <v>KBP126</v>
          </cell>
          <cell r="E1576"/>
        </row>
        <row r="1577">
          <cell r="A1577" t="str">
            <v>2628HQ67</v>
          </cell>
          <cell r="D1577" t="str">
            <v>KBP74</v>
          </cell>
          <cell r="E1577"/>
        </row>
        <row r="1578">
          <cell r="A1578" t="str">
            <v>2628K647</v>
          </cell>
          <cell r="D1578" t="str">
            <v>FTW121KR</v>
          </cell>
          <cell r="E1578"/>
        </row>
        <row r="1579">
          <cell r="A1579" t="str">
            <v>2628FE57</v>
          </cell>
          <cell r="D1579" t="str">
            <v>FTW121KR</v>
          </cell>
          <cell r="E1579"/>
        </row>
        <row r="1580">
          <cell r="A1580" t="str">
            <v>2628FJ57</v>
          </cell>
          <cell r="D1580" t="str">
            <v>FTW121KR</v>
          </cell>
          <cell r="E1580"/>
        </row>
        <row r="1581">
          <cell r="A1581" t="str">
            <v>2628FU57</v>
          </cell>
          <cell r="D1581" t="str">
            <v>FTW121KR</v>
          </cell>
          <cell r="E1581"/>
        </row>
        <row r="1582">
          <cell r="A1582" t="str">
            <v>2628G257</v>
          </cell>
          <cell r="D1582" t="str">
            <v>FTW121KR</v>
          </cell>
          <cell r="E1582"/>
        </row>
        <row r="1583">
          <cell r="A1583" t="str">
            <v>2628F767</v>
          </cell>
          <cell r="D1583" t="str">
            <v>FTW121KR</v>
          </cell>
          <cell r="E1583"/>
        </row>
        <row r="1584">
          <cell r="A1584" t="str">
            <v>2628FE67</v>
          </cell>
          <cell r="D1584" t="str">
            <v>FTW121KR</v>
          </cell>
          <cell r="E1584"/>
        </row>
        <row r="1585">
          <cell r="A1585" t="str">
            <v>2628FF67</v>
          </cell>
          <cell r="D1585" t="str">
            <v>FTW121KR</v>
          </cell>
          <cell r="E1585"/>
        </row>
        <row r="1586">
          <cell r="A1586" t="str">
            <v>2628ON47</v>
          </cell>
          <cell r="D1586" t="str">
            <v>S805</v>
          </cell>
          <cell r="E1586"/>
        </row>
        <row r="1587">
          <cell r="A1587" t="str">
            <v>2628OP47</v>
          </cell>
          <cell r="D1587" t="str">
            <v>S805</v>
          </cell>
          <cell r="E1587"/>
        </row>
        <row r="1588">
          <cell r="A1588" t="str">
            <v>2628JA67</v>
          </cell>
          <cell r="D1588" t="str">
            <v>TTS80</v>
          </cell>
          <cell r="E1588"/>
        </row>
        <row r="1589">
          <cell r="A1589" t="str">
            <v>2628GZ37</v>
          </cell>
          <cell r="D1589" t="str">
            <v>KBP86</v>
          </cell>
          <cell r="E1589"/>
        </row>
        <row r="1590">
          <cell r="A1590" t="str">
            <v>2628Q727</v>
          </cell>
          <cell r="D1590" t="str">
            <v>TTS80</v>
          </cell>
          <cell r="E1590"/>
        </row>
        <row r="1591">
          <cell r="A1591" t="str">
            <v>2628OD37</v>
          </cell>
          <cell r="D1591" t="str">
            <v>TTS80</v>
          </cell>
          <cell r="E1591"/>
        </row>
        <row r="1592">
          <cell r="A1592" t="str">
            <v>2628OG37</v>
          </cell>
          <cell r="D1592" t="str">
            <v>TTS80</v>
          </cell>
          <cell r="E1592"/>
        </row>
        <row r="1593">
          <cell r="A1593" t="str">
            <v>2628OM37</v>
          </cell>
          <cell r="D1593" t="str">
            <v>TTS80</v>
          </cell>
          <cell r="E1593"/>
        </row>
        <row r="1594">
          <cell r="A1594" t="str">
            <v>2628OB47</v>
          </cell>
          <cell r="D1594" t="str">
            <v>TTS80</v>
          </cell>
          <cell r="E1594"/>
        </row>
        <row r="1595">
          <cell r="A1595" t="str">
            <v>2628OC47</v>
          </cell>
          <cell r="D1595" t="str">
            <v>TTS80</v>
          </cell>
          <cell r="E1595"/>
        </row>
        <row r="1596">
          <cell r="A1596" t="str">
            <v>2628OD47</v>
          </cell>
          <cell r="D1596" t="str">
            <v>TTS80</v>
          </cell>
          <cell r="E1596"/>
        </row>
        <row r="1597">
          <cell r="A1597" t="str">
            <v>2628OE47</v>
          </cell>
          <cell r="D1597" t="str">
            <v>TTS80</v>
          </cell>
          <cell r="E1597"/>
        </row>
        <row r="1598">
          <cell r="A1598" t="str">
            <v>2628OF47</v>
          </cell>
          <cell r="D1598" t="str">
            <v>TTS80</v>
          </cell>
          <cell r="E1598"/>
        </row>
        <row r="1599">
          <cell r="A1599" t="str">
            <v>2628OG47</v>
          </cell>
          <cell r="D1599" t="str">
            <v>TTS80</v>
          </cell>
          <cell r="E1599"/>
        </row>
        <row r="1600">
          <cell r="A1600" t="str">
            <v>2628OH47</v>
          </cell>
          <cell r="D1600" t="str">
            <v>TTS80</v>
          </cell>
          <cell r="E1600"/>
        </row>
        <row r="1601">
          <cell r="A1601" t="str">
            <v>2628OI47</v>
          </cell>
          <cell r="D1601" t="str">
            <v>TTS80</v>
          </cell>
          <cell r="E1601"/>
        </row>
        <row r="1602">
          <cell r="A1602" t="str">
            <v>2628OJ47</v>
          </cell>
          <cell r="D1602" t="str">
            <v>TTS80</v>
          </cell>
          <cell r="E1602"/>
        </row>
        <row r="1603">
          <cell r="A1603" t="str">
            <v>2628GQ57</v>
          </cell>
          <cell r="D1603" t="str">
            <v>TTS80</v>
          </cell>
          <cell r="E1603"/>
        </row>
        <row r="1604">
          <cell r="A1604" t="str">
            <v>2628GR57</v>
          </cell>
          <cell r="D1604" t="str">
            <v>TTS80</v>
          </cell>
          <cell r="E1604"/>
        </row>
        <row r="1605">
          <cell r="A1605" t="str">
            <v>2628KV67</v>
          </cell>
          <cell r="D1605" t="str">
            <v>KBP76</v>
          </cell>
          <cell r="E1605"/>
        </row>
        <row r="1606">
          <cell r="A1606" t="str">
            <v>2628GS67</v>
          </cell>
          <cell r="D1606" t="str">
            <v>S706</v>
          </cell>
          <cell r="E1606"/>
        </row>
        <row r="1607">
          <cell r="A1607" t="str">
            <v>2627ZC67</v>
          </cell>
          <cell r="D1607" t="str">
            <v>FTW503</v>
          </cell>
          <cell r="E1607"/>
        </row>
        <row r="1608">
          <cell r="A1608" t="str">
            <v>2628KC37</v>
          </cell>
          <cell r="D1608" t="str">
            <v>TTS50</v>
          </cell>
          <cell r="E1608"/>
        </row>
        <row r="1609">
          <cell r="A1609" t="str">
            <v>2628HT47</v>
          </cell>
          <cell r="D1609" t="str">
            <v>TTS50</v>
          </cell>
          <cell r="E1609"/>
        </row>
        <row r="1610">
          <cell r="A1610" t="str">
            <v>2628H967</v>
          </cell>
          <cell r="D1610" t="str">
            <v>KBP76</v>
          </cell>
          <cell r="E1610"/>
        </row>
        <row r="1611">
          <cell r="A1611" t="str">
            <v>2628FP67</v>
          </cell>
          <cell r="D1611" t="str">
            <v>KBP86</v>
          </cell>
          <cell r="E1611"/>
        </row>
        <row r="1612">
          <cell r="A1612" t="str">
            <v>2628DG37</v>
          </cell>
          <cell r="D1612" t="str">
            <v>STA156KA</v>
          </cell>
          <cell r="E1612"/>
        </row>
        <row r="1613">
          <cell r="A1613" t="str">
            <v>2628EQ57</v>
          </cell>
          <cell r="D1613" t="str">
            <v>S805</v>
          </cell>
          <cell r="E1613"/>
        </row>
        <row r="1614">
          <cell r="A1614" t="str">
            <v>2628QF17</v>
          </cell>
          <cell r="D1614" t="str">
            <v>TTS50</v>
          </cell>
          <cell r="E1614"/>
        </row>
        <row r="1615">
          <cell r="A1615" t="str">
            <v>2628IF47</v>
          </cell>
          <cell r="D1615" t="str">
            <v>TTS50</v>
          </cell>
          <cell r="E1615"/>
        </row>
        <row r="1616">
          <cell r="A1616" t="str">
            <v>2628PE37</v>
          </cell>
          <cell r="D1616" t="str">
            <v>KBP76</v>
          </cell>
          <cell r="E1616"/>
        </row>
        <row r="1617">
          <cell r="A1617" t="str">
            <v>2628PC47</v>
          </cell>
          <cell r="D1617" t="str">
            <v>KBP76</v>
          </cell>
          <cell r="E1617"/>
        </row>
        <row r="1618">
          <cell r="A1618" t="str">
            <v>2628LN67</v>
          </cell>
          <cell r="D1618" t="str">
            <v>KBP55</v>
          </cell>
          <cell r="E1618"/>
        </row>
        <row r="1619">
          <cell r="A1619" t="str">
            <v>2628D227</v>
          </cell>
          <cell r="D1619" t="str">
            <v>KBP126</v>
          </cell>
          <cell r="E1619"/>
        </row>
        <row r="1620">
          <cell r="A1620" t="str">
            <v>2628CS47</v>
          </cell>
          <cell r="D1620" t="str">
            <v>STA156KA</v>
          </cell>
          <cell r="E1620"/>
        </row>
        <row r="1621">
          <cell r="A1621" t="str">
            <v>2628FD57</v>
          </cell>
          <cell r="D1621" t="str">
            <v>FTW121KR</v>
          </cell>
          <cell r="E1621"/>
        </row>
        <row r="1622">
          <cell r="A1622" t="str">
            <v>2628FI57</v>
          </cell>
          <cell r="D1622" t="str">
            <v>FTW121KR</v>
          </cell>
          <cell r="E1622"/>
        </row>
        <row r="1623">
          <cell r="A1623" t="str">
            <v>2628FM57</v>
          </cell>
          <cell r="D1623" t="str">
            <v>FTW121KR</v>
          </cell>
          <cell r="E1623"/>
        </row>
        <row r="1624">
          <cell r="A1624" t="str">
            <v>2628FO57</v>
          </cell>
          <cell r="D1624" t="str">
            <v>FTW121KR</v>
          </cell>
          <cell r="E1624"/>
        </row>
        <row r="1625">
          <cell r="A1625" t="str">
            <v>2628FP57</v>
          </cell>
          <cell r="D1625" t="str">
            <v>FTW121KR</v>
          </cell>
          <cell r="E1625"/>
        </row>
        <row r="1626">
          <cell r="A1626" t="str">
            <v>2628G457</v>
          </cell>
          <cell r="D1626" t="str">
            <v>FTW121KR</v>
          </cell>
          <cell r="E1626"/>
        </row>
        <row r="1627">
          <cell r="A1627" t="str">
            <v>2628ER67</v>
          </cell>
          <cell r="D1627" t="str">
            <v>FTW121KR</v>
          </cell>
          <cell r="E1627"/>
        </row>
        <row r="1628">
          <cell r="A1628" t="str">
            <v>2628ES67</v>
          </cell>
          <cell r="D1628" t="str">
            <v>FTW121KR</v>
          </cell>
          <cell r="E1628"/>
        </row>
        <row r="1629">
          <cell r="A1629" t="str">
            <v>2628EW67</v>
          </cell>
          <cell r="D1629" t="str">
            <v>FTW121KR</v>
          </cell>
          <cell r="E1629"/>
        </row>
        <row r="1630">
          <cell r="A1630" t="str">
            <v>2628EZ67</v>
          </cell>
          <cell r="D1630" t="str">
            <v>FTW121KR</v>
          </cell>
          <cell r="E1630"/>
        </row>
        <row r="1631">
          <cell r="A1631" t="str">
            <v>2628F167</v>
          </cell>
          <cell r="D1631" t="str">
            <v>FTW121KR</v>
          </cell>
          <cell r="E1631"/>
        </row>
        <row r="1632">
          <cell r="A1632" t="str">
            <v>2628F367</v>
          </cell>
          <cell r="D1632" t="str">
            <v>FTW121KR</v>
          </cell>
          <cell r="E1632"/>
        </row>
        <row r="1633">
          <cell r="A1633" t="str">
            <v>2628F467</v>
          </cell>
          <cell r="D1633" t="str">
            <v>FTW121KR</v>
          </cell>
          <cell r="E1633"/>
        </row>
        <row r="1634">
          <cell r="A1634" t="str">
            <v>2628F967</v>
          </cell>
          <cell r="D1634" t="str">
            <v>FTW121KR</v>
          </cell>
          <cell r="E1634"/>
        </row>
        <row r="1635">
          <cell r="A1635" t="str">
            <v>2628FC67</v>
          </cell>
          <cell r="D1635" t="str">
            <v>FTW121KR</v>
          </cell>
          <cell r="E1635"/>
        </row>
        <row r="1636">
          <cell r="A1636" t="str">
            <v>2629PY17</v>
          </cell>
          <cell r="D1636" t="str">
            <v>FTW121KR</v>
          </cell>
          <cell r="E1636"/>
        </row>
        <row r="1637">
          <cell r="A1637" t="str">
            <v>2629Q217</v>
          </cell>
          <cell r="D1637" t="str">
            <v>FTW121KR</v>
          </cell>
          <cell r="E1637"/>
        </row>
        <row r="1638">
          <cell r="A1638" t="str">
            <v>2628OT37</v>
          </cell>
          <cell r="D1638" t="str">
            <v>S805</v>
          </cell>
          <cell r="E1638"/>
        </row>
        <row r="1639">
          <cell r="A1639" t="str">
            <v>2628JC67</v>
          </cell>
          <cell r="D1639" t="str">
            <v>TTS80</v>
          </cell>
          <cell r="E1639"/>
        </row>
        <row r="1640">
          <cell r="A1640" t="str">
            <v>2628JG67</v>
          </cell>
          <cell r="D1640" t="str">
            <v>TTS80</v>
          </cell>
          <cell r="E1640"/>
        </row>
        <row r="1641">
          <cell r="A1641" t="str">
            <v>2628JP67</v>
          </cell>
          <cell r="D1641" t="str">
            <v>TTS80</v>
          </cell>
          <cell r="E1641"/>
        </row>
        <row r="1642">
          <cell r="A1642" t="str">
            <v>2628K467</v>
          </cell>
          <cell r="D1642" t="str">
            <v>TTS80</v>
          </cell>
          <cell r="E1642"/>
        </row>
        <row r="1643">
          <cell r="A1643" t="str">
            <v>2628LR47</v>
          </cell>
          <cell r="D1643" t="str">
            <v>KBP86</v>
          </cell>
          <cell r="E1643"/>
        </row>
        <row r="1644">
          <cell r="A1644" t="str">
            <v>2628FL67</v>
          </cell>
          <cell r="D1644" t="str">
            <v>KBP86</v>
          </cell>
          <cell r="E1644"/>
        </row>
        <row r="1645">
          <cell r="A1645" t="str">
            <v>2628O547</v>
          </cell>
          <cell r="D1645" t="str">
            <v>KBP52</v>
          </cell>
          <cell r="E1645"/>
        </row>
        <row r="1646">
          <cell r="A1646" t="str">
            <v>2628GU67</v>
          </cell>
          <cell r="D1646" t="str">
            <v>KBP76</v>
          </cell>
          <cell r="E1646"/>
        </row>
        <row r="1647">
          <cell r="A1647" t="str">
            <v>2628GY67</v>
          </cell>
          <cell r="D1647" t="str">
            <v>KBP76</v>
          </cell>
          <cell r="E1647"/>
        </row>
        <row r="1648">
          <cell r="A1648" t="str">
            <v>2628HK57</v>
          </cell>
          <cell r="D1648" t="str">
            <v>KBP76</v>
          </cell>
          <cell r="E1648"/>
        </row>
        <row r="1649">
          <cell r="A1649" t="str">
            <v>2628G767</v>
          </cell>
          <cell r="D1649" t="str">
            <v>S706</v>
          </cell>
          <cell r="E1649"/>
        </row>
        <row r="1650">
          <cell r="A1650" t="str">
            <v>2628GA67</v>
          </cell>
          <cell r="D1650" t="str">
            <v>S706</v>
          </cell>
          <cell r="E1650"/>
        </row>
        <row r="1651">
          <cell r="A1651" t="str">
            <v>2628GC67</v>
          </cell>
          <cell r="D1651" t="str">
            <v>S706</v>
          </cell>
          <cell r="E1651"/>
        </row>
        <row r="1652">
          <cell r="A1652" t="str">
            <v>2628GE67</v>
          </cell>
          <cell r="D1652" t="str">
            <v>S706</v>
          </cell>
          <cell r="E1652"/>
        </row>
        <row r="1653">
          <cell r="A1653" t="str">
            <v>2628GF67</v>
          </cell>
          <cell r="D1653" t="str">
            <v>S706</v>
          </cell>
          <cell r="E1653"/>
        </row>
        <row r="1654">
          <cell r="A1654" t="str">
            <v>2628GR67</v>
          </cell>
          <cell r="D1654" t="str">
            <v>S706</v>
          </cell>
          <cell r="E1654"/>
        </row>
        <row r="1655">
          <cell r="A1655" t="str">
            <v>2628QG17</v>
          </cell>
          <cell r="D1655" t="str">
            <v>TTS50</v>
          </cell>
          <cell r="E1655"/>
        </row>
        <row r="1656">
          <cell r="A1656" t="str">
            <v>2628H527</v>
          </cell>
          <cell r="D1656" t="str">
            <v>TTS50</v>
          </cell>
          <cell r="E1656"/>
        </row>
        <row r="1657">
          <cell r="A1657" t="str">
            <v>2628K337</v>
          </cell>
          <cell r="D1657" t="str">
            <v>TTS50</v>
          </cell>
          <cell r="E1657"/>
        </row>
        <row r="1658">
          <cell r="A1658" t="str">
            <v>2628K437</v>
          </cell>
          <cell r="D1658" t="str">
            <v>TTS50</v>
          </cell>
          <cell r="E1658"/>
        </row>
        <row r="1659">
          <cell r="A1659" t="str">
            <v>2628K537</v>
          </cell>
          <cell r="D1659" t="str">
            <v>TTS50</v>
          </cell>
          <cell r="E1659"/>
        </row>
        <row r="1660">
          <cell r="A1660" t="str">
            <v>2628K937</v>
          </cell>
          <cell r="D1660" t="str">
            <v>TTS50</v>
          </cell>
          <cell r="E1660"/>
        </row>
        <row r="1661">
          <cell r="A1661" t="str">
            <v>2628KB37</v>
          </cell>
          <cell r="D1661" t="str">
            <v>TTS50</v>
          </cell>
          <cell r="E1661"/>
        </row>
        <row r="1662">
          <cell r="A1662" t="str">
            <v>2628HZ47</v>
          </cell>
          <cell r="D1662" t="str">
            <v>TTS50</v>
          </cell>
          <cell r="E1662"/>
        </row>
        <row r="1663">
          <cell r="A1663" t="str">
            <v>2628I247</v>
          </cell>
          <cell r="D1663" t="str">
            <v>TTS50</v>
          </cell>
          <cell r="E1663"/>
        </row>
        <row r="1664">
          <cell r="A1664" t="str">
            <v>2628I647</v>
          </cell>
          <cell r="D1664" t="str">
            <v>TTS50</v>
          </cell>
          <cell r="E1664"/>
        </row>
        <row r="1665">
          <cell r="A1665" t="str">
            <v>2628I747</v>
          </cell>
          <cell r="D1665" t="str">
            <v>TTS50</v>
          </cell>
          <cell r="E1665"/>
        </row>
        <row r="1666">
          <cell r="A1666" t="str">
            <v>2628I847</v>
          </cell>
          <cell r="D1666" t="str">
            <v>TTS50</v>
          </cell>
          <cell r="E1666"/>
        </row>
        <row r="1667">
          <cell r="A1667" t="str">
            <v>2628I947</v>
          </cell>
          <cell r="D1667" t="str">
            <v>TTS50</v>
          </cell>
          <cell r="E1667"/>
        </row>
        <row r="1668">
          <cell r="A1668" t="str">
            <v>2628ID47</v>
          </cell>
          <cell r="D1668" t="str">
            <v>TTS50</v>
          </cell>
          <cell r="E1668"/>
        </row>
        <row r="1669">
          <cell r="A1669" t="str">
            <v>2628HJ67</v>
          </cell>
          <cell r="D1669" t="str">
            <v>KBP76</v>
          </cell>
          <cell r="E1669"/>
        </row>
        <row r="1670">
          <cell r="A1670" t="str">
            <v>2628EP57</v>
          </cell>
          <cell r="D1670" t="str">
            <v>S805</v>
          </cell>
          <cell r="E1670"/>
        </row>
        <row r="1671">
          <cell r="A1671" t="str">
            <v>2628ID67</v>
          </cell>
          <cell r="D1671" t="str">
            <v>KBP55</v>
          </cell>
          <cell r="E1671"/>
        </row>
        <row r="1672">
          <cell r="A1672" t="str">
            <v>2628PO47</v>
          </cell>
          <cell r="D1672" t="str">
            <v>KBP76</v>
          </cell>
          <cell r="E1672"/>
        </row>
        <row r="1673">
          <cell r="A1673" t="str">
            <v>2628K847</v>
          </cell>
          <cell r="D1673" t="str">
            <v>FTW121KR</v>
          </cell>
          <cell r="E1673"/>
        </row>
        <row r="1674">
          <cell r="A1674" t="str">
            <v>2628FH57</v>
          </cell>
          <cell r="D1674" t="str">
            <v>FTW121KR</v>
          </cell>
          <cell r="E1674"/>
        </row>
        <row r="1675">
          <cell r="A1675" t="str">
            <v>2628FK57</v>
          </cell>
          <cell r="D1675" t="str">
            <v>FTW121KR</v>
          </cell>
          <cell r="E1675"/>
        </row>
        <row r="1676">
          <cell r="A1676" t="str">
            <v>2628FQ57</v>
          </cell>
          <cell r="D1676" t="str">
            <v>FTW121KR</v>
          </cell>
          <cell r="E1676"/>
        </row>
        <row r="1677">
          <cell r="A1677" t="str">
            <v>2628FT57</v>
          </cell>
          <cell r="D1677" t="str">
            <v>FTW121KR</v>
          </cell>
          <cell r="E1677"/>
        </row>
        <row r="1678">
          <cell r="A1678" t="str">
            <v>2628FX57</v>
          </cell>
          <cell r="D1678" t="str">
            <v>FTW121KR</v>
          </cell>
          <cell r="E1678"/>
        </row>
        <row r="1679">
          <cell r="A1679" t="str">
            <v>2628G357</v>
          </cell>
          <cell r="D1679" t="str">
            <v>FTW121KR</v>
          </cell>
          <cell r="E1679"/>
        </row>
        <row r="1680">
          <cell r="A1680" t="str">
            <v>2628EQ67</v>
          </cell>
          <cell r="D1680" t="str">
            <v>FTW121KR</v>
          </cell>
          <cell r="E1680"/>
        </row>
        <row r="1681">
          <cell r="A1681" t="str">
            <v>2628EX67</v>
          </cell>
          <cell r="D1681" t="str">
            <v>FTW121KR</v>
          </cell>
          <cell r="E1681"/>
        </row>
        <row r="1682">
          <cell r="A1682" t="str">
            <v>2628F267</v>
          </cell>
          <cell r="D1682" t="str">
            <v>FTW121KR</v>
          </cell>
          <cell r="E1682"/>
        </row>
        <row r="1683">
          <cell r="A1683" t="str">
            <v>2628FA67</v>
          </cell>
          <cell r="D1683" t="str">
            <v>FTW121KR</v>
          </cell>
          <cell r="E1683"/>
        </row>
        <row r="1684">
          <cell r="A1684" t="str">
            <v>2628FB67</v>
          </cell>
          <cell r="D1684" t="str">
            <v>FTW121KR</v>
          </cell>
          <cell r="E1684"/>
        </row>
        <row r="1685">
          <cell r="A1685" t="str">
            <v>2628FD67</v>
          </cell>
          <cell r="D1685" t="str">
            <v>FTW121KR</v>
          </cell>
          <cell r="E1685"/>
        </row>
        <row r="1686">
          <cell r="A1686" t="str">
            <v>2629Q117</v>
          </cell>
          <cell r="D1686" t="str">
            <v>FTW121KR</v>
          </cell>
          <cell r="E1686"/>
        </row>
        <row r="1687">
          <cell r="A1687" t="str">
            <v>2629IT27</v>
          </cell>
          <cell r="D1687" t="str">
            <v>FTW121KR</v>
          </cell>
          <cell r="E1687"/>
        </row>
        <row r="1688">
          <cell r="A1688" t="str">
            <v>2628OK47</v>
          </cell>
          <cell r="D1688" t="str">
            <v>S805</v>
          </cell>
          <cell r="E1688"/>
        </row>
        <row r="1689">
          <cell r="A1689" t="str">
            <v>2628OM47</v>
          </cell>
          <cell r="D1689" t="str">
            <v>S805</v>
          </cell>
          <cell r="E1689"/>
        </row>
        <row r="1690">
          <cell r="A1690" t="str">
            <v>2628OO47</v>
          </cell>
          <cell r="D1690" t="str">
            <v>S805</v>
          </cell>
          <cell r="E1690"/>
        </row>
        <row r="1691">
          <cell r="A1691" t="str">
            <v>2628JU67</v>
          </cell>
          <cell r="D1691" t="str">
            <v>TTS80</v>
          </cell>
          <cell r="E1691"/>
        </row>
        <row r="1692">
          <cell r="A1692" t="str">
            <v>2628JX67</v>
          </cell>
          <cell r="D1692" t="str">
            <v>TTS80</v>
          </cell>
          <cell r="E1692"/>
        </row>
        <row r="1693">
          <cell r="A1693" t="str">
            <v>2628U157</v>
          </cell>
          <cell r="D1693" t="str">
            <v>KBP86</v>
          </cell>
          <cell r="E1693"/>
        </row>
        <row r="1694">
          <cell r="A1694" t="str">
            <v>2628U357</v>
          </cell>
          <cell r="D1694" t="str">
            <v>KBP86</v>
          </cell>
          <cell r="E1694"/>
        </row>
        <row r="1695">
          <cell r="A1695" t="str">
            <v>2628OL37</v>
          </cell>
          <cell r="D1695" t="str">
            <v>TTS80</v>
          </cell>
          <cell r="E1695"/>
        </row>
        <row r="1696">
          <cell r="A1696" t="str">
            <v>2628GS57</v>
          </cell>
          <cell r="D1696" t="str">
            <v>TTS80</v>
          </cell>
          <cell r="E1696"/>
        </row>
        <row r="1697">
          <cell r="A1697" t="str">
            <v>2628GW57</v>
          </cell>
          <cell r="D1697" t="str">
            <v>TTS80</v>
          </cell>
          <cell r="E1697"/>
        </row>
        <row r="1698">
          <cell r="A1698" t="str">
            <v>2628GX57</v>
          </cell>
          <cell r="D1698" t="str">
            <v>TTS80</v>
          </cell>
          <cell r="E1698"/>
        </row>
        <row r="1699">
          <cell r="A1699" t="str">
            <v>2628GY57</v>
          </cell>
          <cell r="D1699" t="str">
            <v>TTS80</v>
          </cell>
          <cell r="E1699"/>
        </row>
        <row r="1700">
          <cell r="A1700" t="str">
            <v>2628FX67</v>
          </cell>
          <cell r="D1700" t="str">
            <v>TTS80</v>
          </cell>
          <cell r="E1700"/>
        </row>
        <row r="1701">
          <cell r="A1701" t="str">
            <v>2628GW67</v>
          </cell>
          <cell r="D1701" t="str">
            <v>KBP76</v>
          </cell>
          <cell r="E1701"/>
        </row>
        <row r="1702">
          <cell r="A1702" t="str">
            <v>2628G367</v>
          </cell>
          <cell r="D1702" t="str">
            <v>S706</v>
          </cell>
          <cell r="E1702"/>
        </row>
        <row r="1703">
          <cell r="A1703" t="str">
            <v>2628IE47</v>
          </cell>
          <cell r="D1703" t="str">
            <v>TTS50</v>
          </cell>
          <cell r="E1703"/>
        </row>
        <row r="1704">
          <cell r="A1704" t="str">
            <v>2628E357</v>
          </cell>
          <cell r="D1704" t="str">
            <v>TTS50</v>
          </cell>
          <cell r="E1704"/>
        </row>
        <row r="1705">
          <cell r="A1705" t="str">
            <v>2628E767</v>
          </cell>
          <cell r="D1705" t="str">
            <v>TTS50</v>
          </cell>
          <cell r="E1705"/>
        </row>
        <row r="1706">
          <cell r="A1706" t="str">
            <v>2628EA67</v>
          </cell>
          <cell r="D1706" t="str">
            <v>TTS50</v>
          </cell>
          <cell r="E1706"/>
        </row>
        <row r="1707">
          <cell r="A1707" t="str">
            <v>2629OV17</v>
          </cell>
          <cell r="D1707" t="str">
            <v>TTS50</v>
          </cell>
          <cell r="E1707"/>
        </row>
        <row r="1708">
          <cell r="A1708" t="str">
            <v>2628F657</v>
          </cell>
          <cell r="D1708" t="str">
            <v>KBP44</v>
          </cell>
          <cell r="E1708"/>
        </row>
        <row r="1709">
          <cell r="A1709" t="str">
            <v>2628HX67</v>
          </cell>
          <cell r="D1709" t="str">
            <v>KBP55</v>
          </cell>
          <cell r="E1709"/>
        </row>
        <row r="1710">
          <cell r="A1710" t="str">
            <v>2628HE67</v>
          </cell>
          <cell r="D1710" t="str">
            <v>KBP76</v>
          </cell>
          <cell r="E1710"/>
        </row>
        <row r="1711">
          <cell r="A1711" t="str">
            <v>2628WD17</v>
          </cell>
          <cell r="D1711" t="str">
            <v>KBP86</v>
          </cell>
          <cell r="E1711"/>
        </row>
        <row r="1712">
          <cell r="A1712" t="str">
            <v>2628QQ27</v>
          </cell>
          <cell r="D1712" t="str">
            <v>KBP86</v>
          </cell>
          <cell r="E1712"/>
        </row>
        <row r="1713">
          <cell r="A1713" t="str">
            <v>2628QP27</v>
          </cell>
          <cell r="D1713" t="str">
            <v>KBP76</v>
          </cell>
          <cell r="E1713"/>
        </row>
        <row r="1714">
          <cell r="A1714" t="str">
            <v>2628SY57</v>
          </cell>
          <cell r="D1714" t="str">
            <v>KBP76</v>
          </cell>
          <cell r="E1714"/>
        </row>
        <row r="1715">
          <cell r="A1715" t="str">
            <v>2628JD67</v>
          </cell>
          <cell r="D1715" t="str">
            <v>TTS80</v>
          </cell>
          <cell r="E1715"/>
        </row>
        <row r="1716">
          <cell r="A1716" t="str">
            <v>2628JY67</v>
          </cell>
          <cell r="D1716" t="str">
            <v>TTS80</v>
          </cell>
          <cell r="E1716"/>
        </row>
        <row r="1717">
          <cell r="A1717" t="str">
            <v>2628U257</v>
          </cell>
          <cell r="D1717" t="str">
            <v>KBP86</v>
          </cell>
          <cell r="E1717"/>
        </row>
        <row r="1718">
          <cell r="A1718" t="str">
            <v>2628O747</v>
          </cell>
          <cell r="D1718" t="str">
            <v>KBP52</v>
          </cell>
          <cell r="E1718"/>
        </row>
        <row r="1719">
          <cell r="A1719" t="str">
            <v>2628PK47</v>
          </cell>
          <cell r="D1719" t="str">
            <v>KBP76</v>
          </cell>
          <cell r="E1719"/>
        </row>
        <row r="1720">
          <cell r="A1720" t="str">
            <v>2628G867</v>
          </cell>
          <cell r="D1720" t="str">
            <v>S706</v>
          </cell>
          <cell r="E1720"/>
        </row>
        <row r="1721">
          <cell r="A1721" t="str">
            <v>2628GD67</v>
          </cell>
          <cell r="D1721" t="str">
            <v>S706</v>
          </cell>
          <cell r="E1721"/>
        </row>
        <row r="1722">
          <cell r="A1722" t="str">
            <v>2628GI67</v>
          </cell>
          <cell r="D1722" t="str">
            <v>S706</v>
          </cell>
          <cell r="E1722"/>
        </row>
        <row r="1723">
          <cell r="A1723" t="str">
            <v>2628GJ67</v>
          </cell>
          <cell r="D1723" t="str">
            <v>S706</v>
          </cell>
          <cell r="E1723"/>
        </row>
        <row r="1724">
          <cell r="A1724" t="str">
            <v>2628GN67</v>
          </cell>
          <cell r="D1724" t="str">
            <v>S706</v>
          </cell>
          <cell r="E1724"/>
        </row>
        <row r="1725">
          <cell r="A1725" t="str">
            <v>2628GQ67</v>
          </cell>
          <cell r="D1725" t="str">
            <v>S706</v>
          </cell>
          <cell r="E1725"/>
        </row>
        <row r="1726">
          <cell r="A1726" t="str">
            <v>2628J447</v>
          </cell>
          <cell r="D1726" t="str">
            <v>FTW102K</v>
          </cell>
          <cell r="E1726"/>
        </row>
        <row r="1727">
          <cell r="A1727" t="str">
            <v>2628KE37</v>
          </cell>
          <cell r="D1727" t="str">
            <v>TTS50</v>
          </cell>
          <cell r="E1727"/>
        </row>
        <row r="1728">
          <cell r="A1728" t="str">
            <v>2628KF37</v>
          </cell>
          <cell r="D1728" t="str">
            <v>TTS50</v>
          </cell>
          <cell r="E1728"/>
        </row>
        <row r="1729">
          <cell r="A1729" t="str">
            <v>2628KG37</v>
          </cell>
          <cell r="D1729" t="str">
            <v>TTS50</v>
          </cell>
          <cell r="E1729"/>
        </row>
        <row r="1730">
          <cell r="A1730" t="str">
            <v>2628HS47</v>
          </cell>
          <cell r="D1730" t="str">
            <v>TTS50</v>
          </cell>
          <cell r="E1730"/>
        </row>
        <row r="1731">
          <cell r="A1731" t="str">
            <v>2628HV47</v>
          </cell>
          <cell r="D1731" t="str">
            <v>TTS50</v>
          </cell>
          <cell r="E1731"/>
        </row>
        <row r="1732">
          <cell r="A1732" t="str">
            <v>2628DO67</v>
          </cell>
          <cell r="D1732" t="str">
            <v>TTS50</v>
          </cell>
          <cell r="E1732"/>
        </row>
        <row r="1733">
          <cell r="A1733" t="str">
            <v>2628EC67</v>
          </cell>
          <cell r="D1733" t="str">
            <v>TTS50</v>
          </cell>
          <cell r="E1733"/>
        </row>
        <row r="1734">
          <cell r="A1734" t="str">
            <v>2628H827</v>
          </cell>
          <cell r="D1734" t="str">
            <v>TTS50</v>
          </cell>
          <cell r="E1734"/>
        </row>
        <row r="1735">
          <cell r="A1735" t="str">
            <v>2628IF67</v>
          </cell>
          <cell r="D1735" t="str">
            <v>KBP55</v>
          </cell>
          <cell r="E1735"/>
        </row>
        <row r="1736">
          <cell r="A1736" t="str">
            <v>2628IG67</v>
          </cell>
          <cell r="D1736" t="str">
            <v>KBP55</v>
          </cell>
          <cell r="E1736"/>
        </row>
        <row r="1737">
          <cell r="A1737" t="str">
            <v>2628HC67</v>
          </cell>
          <cell r="D1737" t="str">
            <v>KBP76</v>
          </cell>
          <cell r="E1737"/>
        </row>
        <row r="1738">
          <cell r="A1738" t="str">
            <v>2628EE67</v>
          </cell>
          <cell r="D1738" t="str">
            <v>TTS50</v>
          </cell>
          <cell r="E1738"/>
        </row>
        <row r="1739">
          <cell r="A1739" t="str">
            <v>2628EH67</v>
          </cell>
          <cell r="D1739" t="str">
            <v>TTS50</v>
          </cell>
          <cell r="E1739"/>
        </row>
        <row r="1740">
          <cell r="A1740" t="str">
            <v>2628HY67</v>
          </cell>
          <cell r="D1740" t="str">
            <v>KBP55</v>
          </cell>
          <cell r="E1740"/>
        </row>
        <row r="1741">
          <cell r="A1741" t="str">
            <v>2628HG67</v>
          </cell>
          <cell r="D1741" t="str">
            <v>KBP76</v>
          </cell>
          <cell r="E1741"/>
        </row>
        <row r="1742">
          <cell r="A1742" t="str">
            <v>2628IV67</v>
          </cell>
          <cell r="D1742" t="str">
            <v>TTS80</v>
          </cell>
          <cell r="E1742"/>
        </row>
        <row r="1743">
          <cell r="A1743" t="str">
            <v>2628IW67</v>
          </cell>
          <cell r="D1743" t="str">
            <v>TTS80</v>
          </cell>
          <cell r="E1743"/>
        </row>
        <row r="1744">
          <cell r="A1744" t="str">
            <v>2628FZ67</v>
          </cell>
          <cell r="D1744" t="str">
            <v>S805</v>
          </cell>
          <cell r="E1744"/>
        </row>
        <row r="1745">
          <cell r="A1745" t="str">
            <v>2628ZA57</v>
          </cell>
          <cell r="D1745" t="str">
            <v>FTW102K</v>
          </cell>
          <cell r="E1745"/>
        </row>
        <row r="1746">
          <cell r="A1746" t="str">
            <v>2628BI27</v>
          </cell>
          <cell r="D1746" t="str">
            <v>STA156KA</v>
          </cell>
          <cell r="E1746"/>
        </row>
        <row r="1747">
          <cell r="A1747" t="str">
            <v>2628HO67</v>
          </cell>
          <cell r="D1747" t="str">
            <v>KBP74</v>
          </cell>
          <cell r="E1747"/>
        </row>
        <row r="1748">
          <cell r="A1748" t="str">
            <v>2628HR67</v>
          </cell>
          <cell r="D1748" t="str">
            <v>KBP74</v>
          </cell>
          <cell r="E1748"/>
        </row>
        <row r="1749">
          <cell r="A1749" t="str">
            <v>2628K347</v>
          </cell>
          <cell r="D1749" t="str">
            <v>FTW121KR</v>
          </cell>
          <cell r="E1749"/>
        </row>
        <row r="1750">
          <cell r="A1750" t="str">
            <v>2628FN57</v>
          </cell>
          <cell r="D1750" t="str">
            <v>FTW121KR</v>
          </cell>
          <cell r="E1750"/>
        </row>
        <row r="1751">
          <cell r="A1751" t="str">
            <v>2628EU67</v>
          </cell>
          <cell r="D1751" t="str">
            <v>FTW121KR</v>
          </cell>
          <cell r="E1751"/>
        </row>
        <row r="1752">
          <cell r="A1752" t="str">
            <v>2628EV67</v>
          </cell>
          <cell r="D1752" t="str">
            <v>FTW121KR</v>
          </cell>
          <cell r="E1752"/>
        </row>
        <row r="1753">
          <cell r="A1753" t="str">
            <v>2628EY67</v>
          </cell>
          <cell r="D1753" t="str">
            <v>FTW121KR</v>
          </cell>
          <cell r="E1753"/>
        </row>
        <row r="1754">
          <cell r="A1754" t="str">
            <v>2628F567</v>
          </cell>
          <cell r="D1754" t="str">
            <v>FTW121KR</v>
          </cell>
          <cell r="E1754"/>
        </row>
        <row r="1755">
          <cell r="A1755" t="str">
            <v>2628F867</v>
          </cell>
          <cell r="D1755" t="str">
            <v>FTW121KR</v>
          </cell>
          <cell r="E1755"/>
        </row>
        <row r="1756">
          <cell r="A1756" t="str">
            <v>2629PC17</v>
          </cell>
          <cell r="D1756" t="str">
            <v>FTW121KR</v>
          </cell>
          <cell r="E1756"/>
        </row>
        <row r="1757">
          <cell r="A1757" t="str">
            <v>2629PD17</v>
          </cell>
          <cell r="D1757" t="str">
            <v>FTW121KR</v>
          </cell>
          <cell r="E1757"/>
        </row>
        <row r="1758">
          <cell r="A1758" t="str">
            <v>2629PG17</v>
          </cell>
          <cell r="D1758" t="str">
            <v>FTW121KR</v>
          </cell>
          <cell r="E1758"/>
        </row>
        <row r="1759">
          <cell r="A1759" t="str">
            <v>2629PK17</v>
          </cell>
          <cell r="D1759" t="str">
            <v>FTW121KR</v>
          </cell>
          <cell r="E1759"/>
        </row>
        <row r="1760">
          <cell r="A1760" t="str">
            <v>2629PL17</v>
          </cell>
          <cell r="D1760" t="str">
            <v>FTW121KR</v>
          </cell>
          <cell r="E1760"/>
        </row>
        <row r="1761">
          <cell r="A1761" t="str">
            <v>2629PQ17</v>
          </cell>
          <cell r="D1761" t="str">
            <v>FTW121KR</v>
          </cell>
          <cell r="E1761"/>
        </row>
        <row r="1762">
          <cell r="A1762" t="str">
            <v>2629PS17</v>
          </cell>
          <cell r="D1762" t="str">
            <v>FTW121KR</v>
          </cell>
          <cell r="E1762"/>
        </row>
        <row r="1763">
          <cell r="A1763" t="str">
            <v>2628U557</v>
          </cell>
          <cell r="D1763" t="str">
            <v>KBP86</v>
          </cell>
          <cell r="E1763"/>
        </row>
        <row r="1764">
          <cell r="A1764" t="str">
            <v>2628EF67</v>
          </cell>
          <cell r="D1764" t="str">
            <v>TTS50</v>
          </cell>
          <cell r="E1764"/>
        </row>
        <row r="1765">
          <cell r="A1765" t="str">
            <v>2628H257</v>
          </cell>
          <cell r="D1765" t="str">
            <v>S805</v>
          </cell>
          <cell r="E1765"/>
        </row>
        <row r="1766">
          <cell r="A1766" t="str">
            <v>2628J967</v>
          </cell>
          <cell r="D1766" t="str">
            <v>TTS80</v>
          </cell>
          <cell r="E1766"/>
        </row>
        <row r="1767">
          <cell r="A1767" t="str">
            <v>2628JH67</v>
          </cell>
          <cell r="D1767" t="str">
            <v>TTS80</v>
          </cell>
          <cell r="E1767"/>
        </row>
        <row r="1768">
          <cell r="A1768" t="str">
            <v>2628JL67</v>
          </cell>
          <cell r="D1768" t="str">
            <v>TTS80</v>
          </cell>
          <cell r="E1768"/>
        </row>
        <row r="1769">
          <cell r="A1769" t="str">
            <v>2628JM67</v>
          </cell>
          <cell r="D1769" t="str">
            <v>TTS80</v>
          </cell>
          <cell r="E1769"/>
        </row>
        <row r="1770">
          <cell r="A1770" t="str">
            <v>2629U917</v>
          </cell>
          <cell r="D1770" t="str">
            <v>TTS80</v>
          </cell>
          <cell r="E1770"/>
        </row>
        <row r="1771">
          <cell r="A1771" t="str">
            <v>2628PY57</v>
          </cell>
          <cell r="D1771" t="str">
            <v>KBP76</v>
          </cell>
          <cell r="E1771"/>
        </row>
        <row r="1772">
          <cell r="A1772" t="str">
            <v>2628U657</v>
          </cell>
          <cell r="D1772" t="str">
            <v>KBP86</v>
          </cell>
          <cell r="E1772"/>
        </row>
        <row r="1773">
          <cell r="A1773" t="str">
            <v>2628UA57</v>
          </cell>
          <cell r="D1773" t="str">
            <v>KBP86</v>
          </cell>
          <cell r="E1773"/>
        </row>
        <row r="1774">
          <cell r="A1774" t="str">
            <v>2628UC57</v>
          </cell>
          <cell r="D1774" t="str">
            <v>KBP86</v>
          </cell>
          <cell r="E1774"/>
        </row>
        <row r="1775">
          <cell r="A1775" t="str">
            <v>2628D667</v>
          </cell>
          <cell r="D1775" t="str">
            <v>KBP76</v>
          </cell>
          <cell r="E1775"/>
        </row>
        <row r="1776">
          <cell r="A1776" t="str">
            <v>2628LZ37</v>
          </cell>
          <cell r="D1776" t="str">
            <v>KBP86</v>
          </cell>
          <cell r="E1776"/>
        </row>
        <row r="1777">
          <cell r="A1777" t="str">
            <v>2628LK47</v>
          </cell>
          <cell r="D1777" t="str">
            <v>KBP86</v>
          </cell>
          <cell r="E1777"/>
        </row>
        <row r="1778">
          <cell r="A1778" t="str">
            <v>2628FJ67</v>
          </cell>
          <cell r="D1778" t="str">
            <v>KBP86</v>
          </cell>
          <cell r="E1778"/>
        </row>
        <row r="1779">
          <cell r="A1779" t="str">
            <v>2629Q917</v>
          </cell>
          <cell r="D1779" t="str">
            <v>KBP86</v>
          </cell>
          <cell r="E1779"/>
        </row>
        <row r="1780">
          <cell r="A1780" t="str">
            <v>2629QD17</v>
          </cell>
          <cell r="D1780" t="str">
            <v>KBP86</v>
          </cell>
          <cell r="E1780"/>
        </row>
        <row r="1781">
          <cell r="A1781" t="str">
            <v>2628GT57</v>
          </cell>
          <cell r="D1781" t="str">
            <v>TTS80</v>
          </cell>
          <cell r="E1781"/>
        </row>
        <row r="1782">
          <cell r="A1782" t="str">
            <v>2628GV57</v>
          </cell>
          <cell r="D1782" t="str">
            <v>TTS80</v>
          </cell>
          <cell r="E1782"/>
        </row>
        <row r="1783">
          <cell r="A1783" t="str">
            <v>2628FW67</v>
          </cell>
          <cell r="D1783" t="str">
            <v>TTS80</v>
          </cell>
          <cell r="E1783"/>
        </row>
        <row r="1784">
          <cell r="A1784" t="str">
            <v>2629QL17</v>
          </cell>
          <cell r="D1784" t="str">
            <v>TTS80</v>
          </cell>
          <cell r="E1784"/>
        </row>
        <row r="1785">
          <cell r="A1785" t="str">
            <v>2628G467</v>
          </cell>
          <cell r="D1785" t="str">
            <v>S706</v>
          </cell>
          <cell r="E1785"/>
        </row>
        <row r="1786">
          <cell r="A1786" t="str">
            <v>2629QV17</v>
          </cell>
          <cell r="D1786" t="str">
            <v>S706</v>
          </cell>
          <cell r="E1786"/>
        </row>
        <row r="1787">
          <cell r="A1787" t="str">
            <v>2629QY17</v>
          </cell>
          <cell r="D1787" t="str">
            <v>S706</v>
          </cell>
          <cell r="E1787"/>
        </row>
        <row r="1788">
          <cell r="A1788" t="str">
            <v>2629S517</v>
          </cell>
          <cell r="D1788" t="str">
            <v>S706</v>
          </cell>
          <cell r="E1788"/>
        </row>
        <row r="1789">
          <cell r="A1789" t="str">
            <v>2629S617</v>
          </cell>
          <cell r="D1789" t="str">
            <v>S706</v>
          </cell>
          <cell r="E1789"/>
        </row>
        <row r="1790">
          <cell r="A1790" t="str">
            <v>2628IY47</v>
          </cell>
          <cell r="D1790" t="str">
            <v>FTW102K</v>
          </cell>
          <cell r="E1790"/>
        </row>
        <row r="1791">
          <cell r="A1791" t="str">
            <v>2628J547</v>
          </cell>
          <cell r="D1791" t="str">
            <v>FTW102K</v>
          </cell>
          <cell r="E1791"/>
        </row>
        <row r="1792">
          <cell r="A1792" t="str">
            <v>2628EV57</v>
          </cell>
          <cell r="D1792" t="str">
            <v>FTW102K</v>
          </cell>
          <cell r="E1792"/>
        </row>
        <row r="1793">
          <cell r="A1793" t="str">
            <v>2628EZ57</v>
          </cell>
          <cell r="D1793" t="str">
            <v>FTW102K</v>
          </cell>
          <cell r="E1793"/>
        </row>
        <row r="1794">
          <cell r="A1794" t="str">
            <v>2628F157</v>
          </cell>
          <cell r="D1794" t="str">
            <v>FTW102K</v>
          </cell>
          <cell r="E1794"/>
        </row>
        <row r="1795">
          <cell r="A1795" t="str">
            <v>2628F257</v>
          </cell>
          <cell r="D1795" t="str">
            <v>FTW102K</v>
          </cell>
          <cell r="E1795"/>
        </row>
        <row r="1796">
          <cell r="A1796" t="str">
            <v>2628F457</v>
          </cell>
          <cell r="D1796" t="str">
            <v>FTW102K</v>
          </cell>
          <cell r="E1796"/>
        </row>
        <row r="1797">
          <cell r="A1797" t="str">
            <v>2628EJ67</v>
          </cell>
          <cell r="D1797" t="str">
            <v>FTW102K</v>
          </cell>
          <cell r="E1797"/>
        </row>
        <row r="1798">
          <cell r="A1798" t="str">
            <v>2628HL47</v>
          </cell>
          <cell r="D1798" t="str">
            <v>TTS50</v>
          </cell>
          <cell r="E1798"/>
        </row>
        <row r="1799">
          <cell r="A1799" t="str">
            <v>2628HM47</v>
          </cell>
          <cell r="D1799" t="str">
            <v>TTS50</v>
          </cell>
          <cell r="E1799"/>
        </row>
        <row r="1800">
          <cell r="A1800" t="str">
            <v>2628HN47</v>
          </cell>
          <cell r="D1800" t="str">
            <v>TTS50</v>
          </cell>
          <cell r="E1800"/>
        </row>
        <row r="1801">
          <cell r="A1801" t="str">
            <v>2628HO47</v>
          </cell>
          <cell r="D1801" t="str">
            <v>TTS50</v>
          </cell>
          <cell r="E1801"/>
        </row>
        <row r="1802">
          <cell r="A1802" t="str">
            <v>2628IA47</v>
          </cell>
          <cell r="D1802" t="str">
            <v>TTS50</v>
          </cell>
          <cell r="E1802"/>
        </row>
        <row r="1803">
          <cell r="A1803" t="str">
            <v>2628DZ57</v>
          </cell>
          <cell r="D1803" t="str">
            <v>TTS50</v>
          </cell>
          <cell r="E1803"/>
        </row>
        <row r="1804">
          <cell r="A1804" t="str">
            <v>2628E557</v>
          </cell>
          <cell r="D1804" t="str">
            <v>TTS50</v>
          </cell>
          <cell r="E1804"/>
        </row>
        <row r="1805">
          <cell r="A1805" t="str">
            <v>2628E857</v>
          </cell>
          <cell r="D1805" t="str">
            <v>TTS50</v>
          </cell>
          <cell r="E1805"/>
        </row>
        <row r="1806">
          <cell r="A1806" t="str">
            <v>2628DN67</v>
          </cell>
          <cell r="D1806" t="str">
            <v>TTS50</v>
          </cell>
          <cell r="E1806"/>
        </row>
        <row r="1807">
          <cell r="A1807" t="str">
            <v>2628DP67</v>
          </cell>
          <cell r="D1807" t="str">
            <v>TTS50</v>
          </cell>
          <cell r="E1807"/>
        </row>
        <row r="1808">
          <cell r="A1808" t="str">
            <v>2628E667</v>
          </cell>
          <cell r="D1808" t="str">
            <v>TTS50</v>
          </cell>
          <cell r="E1808"/>
        </row>
        <row r="1809">
          <cell r="A1809" t="str">
            <v>2629OB17</v>
          </cell>
          <cell r="D1809" t="str">
            <v>TTS50</v>
          </cell>
          <cell r="E1809"/>
        </row>
        <row r="1810">
          <cell r="A1810" t="str">
            <v>2629OR17</v>
          </cell>
          <cell r="D1810" t="str">
            <v>TTS50</v>
          </cell>
          <cell r="E1810"/>
        </row>
        <row r="1811">
          <cell r="A1811" t="str">
            <v>2628GG57</v>
          </cell>
          <cell r="D1811" t="str">
            <v>S15HV100</v>
          </cell>
          <cell r="E1811"/>
        </row>
        <row r="1812">
          <cell r="A1812" t="str">
            <v>2628GH57</v>
          </cell>
          <cell r="D1812" t="str">
            <v>S15HV100</v>
          </cell>
          <cell r="E1812"/>
        </row>
        <row r="1813">
          <cell r="A1813" t="str">
            <v>2628FT67</v>
          </cell>
          <cell r="D1813" t="str">
            <v>FTW102K</v>
          </cell>
          <cell r="E1813"/>
        </row>
        <row r="1814">
          <cell r="A1814" t="str">
            <v>2628I467</v>
          </cell>
          <cell r="D1814" t="str">
            <v>KBP55</v>
          </cell>
          <cell r="E1814"/>
        </row>
        <row r="1815">
          <cell r="A1815" t="str">
            <v>2628HD67</v>
          </cell>
          <cell r="D1815" t="str">
            <v>KBP76</v>
          </cell>
          <cell r="E1815"/>
        </row>
        <row r="1816">
          <cell r="A1816" t="str">
            <v>2628HH67</v>
          </cell>
          <cell r="D1816" t="str">
            <v>KBP76</v>
          </cell>
          <cell r="E1816"/>
        </row>
        <row r="1817">
          <cell r="A1817" t="str">
            <v>2628G967</v>
          </cell>
          <cell r="D1817" t="str">
            <v>S706</v>
          </cell>
          <cell r="E1817"/>
        </row>
        <row r="1818">
          <cell r="A1818" t="str">
            <v>2628EK67</v>
          </cell>
          <cell r="D1818" t="str">
            <v>FTW102K</v>
          </cell>
          <cell r="E1818"/>
        </row>
        <row r="1819">
          <cell r="A1819" t="str">
            <v>2628EL67</v>
          </cell>
          <cell r="D1819" t="str">
            <v>FTW102K</v>
          </cell>
          <cell r="E1819"/>
        </row>
        <row r="1820">
          <cell r="A1820" t="str">
            <v>2628LS67</v>
          </cell>
          <cell r="D1820" t="str">
            <v>KBP55</v>
          </cell>
          <cell r="E1820"/>
        </row>
        <row r="1821">
          <cell r="A1821" t="str">
            <v>2628H867</v>
          </cell>
          <cell r="D1821" t="str">
            <v>KBP76</v>
          </cell>
          <cell r="E1821"/>
        </row>
        <row r="1822">
          <cell r="A1822" t="str">
            <v>2628HA67</v>
          </cell>
          <cell r="D1822" t="str">
            <v>KBP76</v>
          </cell>
          <cell r="E1822"/>
        </row>
        <row r="1823">
          <cell r="A1823" t="str">
            <v>2628H357</v>
          </cell>
          <cell r="D1823" t="str">
            <v>S805</v>
          </cell>
          <cell r="E1823"/>
        </row>
        <row r="1824">
          <cell r="A1824" t="str">
            <v>2628FU70</v>
          </cell>
          <cell r="D1824" t="str">
            <v xml:space="preserve">STA200KA  </v>
          </cell>
          <cell r="E1824"/>
        </row>
        <row r="1825">
          <cell r="A1825" t="str">
            <v>2628FU60</v>
          </cell>
          <cell r="D1825" t="str">
            <v xml:space="preserve">STA200KA  </v>
          </cell>
          <cell r="E1825"/>
        </row>
        <row r="1826">
          <cell r="A1826" t="str">
            <v>2628QP17</v>
          </cell>
          <cell r="D1826" t="str">
            <v>FTW102K</v>
          </cell>
          <cell r="E1826"/>
        </row>
        <row r="1827">
          <cell r="A1827" t="str">
            <v>2628LX47</v>
          </cell>
          <cell r="D1827" t="str">
            <v>FTW102K</v>
          </cell>
          <cell r="E1827"/>
        </row>
        <row r="1828">
          <cell r="A1828" t="str">
            <v>2629KS17</v>
          </cell>
          <cell r="D1828" t="str">
            <v>S15MB</v>
          </cell>
          <cell r="E1828"/>
        </row>
        <row r="1829">
          <cell r="A1829" t="str">
            <v>2629KT17</v>
          </cell>
          <cell r="D1829" t="str">
            <v>S15MB</v>
          </cell>
          <cell r="E1829"/>
        </row>
        <row r="1830">
          <cell r="A1830" t="str">
            <v>2629KU17</v>
          </cell>
          <cell r="D1830" t="str">
            <v>S15MB</v>
          </cell>
          <cell r="E1830"/>
        </row>
        <row r="1831">
          <cell r="A1831" t="str">
            <v>2628ET67</v>
          </cell>
          <cell r="D1831" t="str">
            <v>FTW121KR</v>
          </cell>
          <cell r="E1831"/>
        </row>
        <row r="1832">
          <cell r="A1832" t="str">
            <v>2628F667</v>
          </cell>
          <cell r="D1832" t="str">
            <v>FTW121KR</v>
          </cell>
          <cell r="E1832"/>
        </row>
        <row r="1833">
          <cell r="A1833" t="str">
            <v>2629PF17</v>
          </cell>
          <cell r="D1833" t="str">
            <v>FTW121KR</v>
          </cell>
          <cell r="E1833"/>
        </row>
        <row r="1834">
          <cell r="A1834" t="str">
            <v>2629PH17</v>
          </cell>
          <cell r="D1834" t="str">
            <v>FTW121KR</v>
          </cell>
          <cell r="E1834"/>
        </row>
        <row r="1835">
          <cell r="A1835" t="str">
            <v>2629PJ17</v>
          </cell>
          <cell r="D1835" t="str">
            <v>FTW121KR</v>
          </cell>
          <cell r="E1835"/>
        </row>
        <row r="1836">
          <cell r="A1836" t="str">
            <v>2629PM17</v>
          </cell>
          <cell r="D1836" t="str">
            <v>FTW121KR</v>
          </cell>
          <cell r="E1836"/>
        </row>
        <row r="1837">
          <cell r="A1837" t="str">
            <v>2629PN17</v>
          </cell>
          <cell r="D1837" t="str">
            <v>FTW121KR</v>
          </cell>
          <cell r="E1837"/>
        </row>
        <row r="1838">
          <cell r="A1838" t="str">
            <v>2629PO17</v>
          </cell>
          <cell r="D1838" t="str">
            <v>FTW121KR</v>
          </cell>
          <cell r="E1838"/>
        </row>
        <row r="1839">
          <cell r="A1839" t="str">
            <v>2629PR17</v>
          </cell>
          <cell r="D1839" t="str">
            <v>FTW121KR</v>
          </cell>
          <cell r="E1839"/>
        </row>
        <row r="1840">
          <cell r="A1840" t="str">
            <v>2629PT17</v>
          </cell>
          <cell r="D1840" t="str">
            <v>FTW121KR</v>
          </cell>
          <cell r="E1840"/>
        </row>
        <row r="1841">
          <cell r="A1841" t="str">
            <v>2629PV17</v>
          </cell>
          <cell r="D1841" t="str">
            <v>FTW121KR</v>
          </cell>
          <cell r="E1841"/>
        </row>
        <row r="1842">
          <cell r="A1842" t="str">
            <v>2629PW17</v>
          </cell>
          <cell r="D1842" t="str">
            <v>FTW121KR</v>
          </cell>
          <cell r="E1842"/>
        </row>
        <row r="1843">
          <cell r="A1843" t="str">
            <v>2629PX17</v>
          </cell>
          <cell r="D1843" t="str">
            <v>FTW121KR</v>
          </cell>
          <cell r="E1843"/>
        </row>
        <row r="1844">
          <cell r="A1844" t="str">
            <v>2629IR27</v>
          </cell>
          <cell r="D1844" t="str">
            <v>FTW121KR</v>
          </cell>
          <cell r="E1844"/>
        </row>
        <row r="1845">
          <cell r="A1845" t="str">
            <v>2629J827</v>
          </cell>
          <cell r="D1845" t="str">
            <v>FTW121KR</v>
          </cell>
          <cell r="E1845"/>
        </row>
        <row r="1846">
          <cell r="A1846" t="str">
            <v>2629JJ27</v>
          </cell>
          <cell r="D1846" t="str">
            <v>FTW121KR</v>
          </cell>
          <cell r="E1846"/>
        </row>
        <row r="1847">
          <cell r="A1847" t="str">
            <v>2628J767</v>
          </cell>
          <cell r="D1847" t="str">
            <v>TTS80</v>
          </cell>
          <cell r="E1847"/>
        </row>
        <row r="1848">
          <cell r="A1848" t="str">
            <v>2628JF67</v>
          </cell>
          <cell r="D1848" t="str">
            <v>TTS80</v>
          </cell>
          <cell r="E1848"/>
        </row>
        <row r="1849">
          <cell r="A1849" t="str">
            <v>2628JW67</v>
          </cell>
          <cell r="D1849" t="str">
            <v>TTS80</v>
          </cell>
          <cell r="E1849"/>
        </row>
        <row r="1850">
          <cell r="A1850" t="str">
            <v>2628K367</v>
          </cell>
          <cell r="D1850" t="str">
            <v>TTS80</v>
          </cell>
          <cell r="E1850"/>
        </row>
        <row r="1851">
          <cell r="A1851" t="str">
            <v>2629L117</v>
          </cell>
          <cell r="D1851" t="str">
            <v>KBP76</v>
          </cell>
          <cell r="E1851"/>
        </row>
        <row r="1852">
          <cell r="A1852" t="str">
            <v>2628O847</v>
          </cell>
          <cell r="D1852" t="str">
            <v>KBP52</v>
          </cell>
          <cell r="E1852"/>
        </row>
        <row r="1853">
          <cell r="A1853" t="str">
            <v>2628O947</v>
          </cell>
          <cell r="D1853" t="str">
            <v>KBP52</v>
          </cell>
          <cell r="E1853"/>
        </row>
        <row r="1854">
          <cell r="A1854" t="str">
            <v>2628GO57</v>
          </cell>
          <cell r="D1854" t="str">
            <v>KBP52</v>
          </cell>
          <cell r="E1854"/>
        </row>
        <row r="1855">
          <cell r="A1855" t="str">
            <v>2628GP57</v>
          </cell>
          <cell r="D1855" t="str">
            <v>KBP52</v>
          </cell>
          <cell r="E1855"/>
        </row>
        <row r="1856">
          <cell r="A1856" t="str">
            <v>2628G267</v>
          </cell>
          <cell r="D1856" t="str">
            <v>S706</v>
          </cell>
          <cell r="E1856"/>
        </row>
        <row r="1857">
          <cell r="A1857" t="str">
            <v>2628G667</v>
          </cell>
          <cell r="D1857" t="str">
            <v>S706</v>
          </cell>
          <cell r="E1857"/>
        </row>
        <row r="1858">
          <cell r="A1858" t="str">
            <v>2628GH67</v>
          </cell>
          <cell r="D1858" t="str">
            <v>S706</v>
          </cell>
          <cell r="E1858"/>
        </row>
        <row r="1859">
          <cell r="A1859" t="str">
            <v>2629QW17</v>
          </cell>
          <cell r="D1859" t="str">
            <v>S706</v>
          </cell>
          <cell r="E1859"/>
        </row>
        <row r="1860">
          <cell r="A1860" t="str">
            <v>2629S117</v>
          </cell>
          <cell r="D1860" t="str">
            <v>S706</v>
          </cell>
          <cell r="E1860"/>
        </row>
        <row r="1861">
          <cell r="A1861" t="str">
            <v>2629K127</v>
          </cell>
          <cell r="D1861" t="str">
            <v>S706</v>
          </cell>
          <cell r="E1861"/>
        </row>
        <row r="1862">
          <cell r="A1862" t="str">
            <v>2628E957</v>
          </cell>
          <cell r="D1862" t="str">
            <v>TTS50</v>
          </cell>
          <cell r="E1862"/>
        </row>
        <row r="1863">
          <cell r="A1863" t="str">
            <v>2628EC57</v>
          </cell>
          <cell r="D1863" t="str">
            <v>TTS50</v>
          </cell>
          <cell r="E1863"/>
        </row>
        <row r="1864">
          <cell r="A1864" t="str">
            <v>2628DR67</v>
          </cell>
          <cell r="D1864" t="str">
            <v>TTS50</v>
          </cell>
          <cell r="E1864"/>
        </row>
        <row r="1865">
          <cell r="A1865" t="str">
            <v>2628E367</v>
          </cell>
          <cell r="D1865" t="str">
            <v>TTS50</v>
          </cell>
          <cell r="E1865"/>
        </row>
        <row r="1866">
          <cell r="A1866" t="str">
            <v>2629ON17</v>
          </cell>
          <cell r="D1866" t="str">
            <v>TTS50</v>
          </cell>
          <cell r="E1866"/>
        </row>
        <row r="1867">
          <cell r="A1867" t="str">
            <v>2628HW67</v>
          </cell>
          <cell r="D1867" t="str">
            <v>KBP55</v>
          </cell>
          <cell r="E1867"/>
        </row>
        <row r="1868">
          <cell r="A1868" t="str">
            <v>2628HN67</v>
          </cell>
          <cell r="D1868" t="str">
            <v>KBP76</v>
          </cell>
          <cell r="E1868"/>
        </row>
        <row r="1869">
          <cell r="A1869" t="str">
            <v>2629SM17</v>
          </cell>
          <cell r="D1869" t="str">
            <v>KBP76</v>
          </cell>
          <cell r="E1869"/>
        </row>
        <row r="1870">
          <cell r="A1870" t="str">
            <v>2628PB47</v>
          </cell>
          <cell r="D1870" t="str">
            <v>KBP76</v>
          </cell>
          <cell r="E1870"/>
        </row>
        <row r="1871">
          <cell r="A1871" t="str">
            <v>2628Q257</v>
          </cell>
          <cell r="D1871" t="str">
            <v>KBP86</v>
          </cell>
          <cell r="E1871"/>
        </row>
        <row r="1872">
          <cell r="A1872" t="str">
            <v>2628PF37</v>
          </cell>
          <cell r="D1872" t="str">
            <v>KBP76</v>
          </cell>
          <cell r="E1872"/>
        </row>
        <row r="1873">
          <cell r="A1873" t="str">
            <v>2628D567</v>
          </cell>
          <cell r="D1873" t="str">
            <v>KBP76</v>
          </cell>
          <cell r="E1873"/>
        </row>
        <row r="1874">
          <cell r="A1874" t="str">
            <v>2628JT57</v>
          </cell>
          <cell r="D1874" t="str">
            <v>KBP126</v>
          </cell>
          <cell r="E1874"/>
        </row>
        <row r="1875">
          <cell r="A1875" t="str">
            <v>2628GZ57</v>
          </cell>
          <cell r="D1875" t="str">
            <v>S805</v>
          </cell>
          <cell r="E1875"/>
        </row>
        <row r="1876">
          <cell r="A1876" t="str">
            <v>2628DX57</v>
          </cell>
          <cell r="D1876" t="str">
            <v>KBP76</v>
          </cell>
          <cell r="E1876"/>
        </row>
        <row r="1877">
          <cell r="A1877" t="str">
            <v>2629QC17</v>
          </cell>
          <cell r="D1877" t="str">
            <v>KBP86</v>
          </cell>
          <cell r="E1877"/>
        </row>
        <row r="1878">
          <cell r="A1878" t="str">
            <v>2629S317</v>
          </cell>
          <cell r="D1878" t="str">
            <v>S706</v>
          </cell>
          <cell r="E1878"/>
        </row>
        <row r="1879">
          <cell r="A1879" t="str">
            <v>2629S417</v>
          </cell>
          <cell r="D1879" t="str">
            <v>S706</v>
          </cell>
          <cell r="E1879"/>
        </row>
        <row r="1880">
          <cell r="A1880" t="str">
            <v>2629S817</v>
          </cell>
          <cell r="D1880" t="str">
            <v>S706</v>
          </cell>
          <cell r="E1880"/>
        </row>
        <row r="1881">
          <cell r="A1881" t="str">
            <v>2629JZ27</v>
          </cell>
          <cell r="D1881" t="str">
            <v>S706</v>
          </cell>
          <cell r="E1881"/>
        </row>
        <row r="1882">
          <cell r="A1882" t="str">
            <v>2629K227</v>
          </cell>
          <cell r="D1882" t="str">
            <v>S706</v>
          </cell>
          <cell r="E1882"/>
        </row>
        <row r="1883">
          <cell r="A1883" t="str">
            <v>2629K427</v>
          </cell>
          <cell r="D1883" t="str">
            <v>S706</v>
          </cell>
          <cell r="E1883"/>
        </row>
        <row r="1884">
          <cell r="A1884" t="str">
            <v>2629K627</v>
          </cell>
          <cell r="D1884" t="str">
            <v>S706</v>
          </cell>
          <cell r="E1884"/>
        </row>
        <row r="1885">
          <cell r="A1885" t="str">
            <v>2628DV67</v>
          </cell>
          <cell r="D1885" t="str">
            <v>TTS50</v>
          </cell>
          <cell r="E1885"/>
        </row>
        <row r="1886">
          <cell r="A1886" t="str">
            <v>2629OA17</v>
          </cell>
          <cell r="D1886" t="str">
            <v>TTS50</v>
          </cell>
          <cell r="E1886"/>
        </row>
        <row r="1887">
          <cell r="A1887" t="str">
            <v>2628FV10</v>
          </cell>
          <cell r="D1887" t="str">
            <v xml:space="preserve">TTS125    </v>
          </cell>
          <cell r="E1887"/>
        </row>
        <row r="1888">
          <cell r="A1888" t="str">
            <v>2628FU90</v>
          </cell>
          <cell r="D1888" t="str">
            <v xml:space="preserve">TTS125    </v>
          </cell>
          <cell r="E1888"/>
        </row>
        <row r="1889">
          <cell r="A1889" t="str">
            <v>2629SA17</v>
          </cell>
          <cell r="D1889" t="str">
            <v>KBP76</v>
          </cell>
          <cell r="E1889"/>
        </row>
        <row r="1890">
          <cell r="A1890" t="str">
            <v>2629O617</v>
          </cell>
          <cell r="D1890" t="str">
            <v>TTS50</v>
          </cell>
          <cell r="E1890"/>
        </row>
        <row r="1891">
          <cell r="A1891" t="str">
            <v>2629OI17</v>
          </cell>
          <cell r="D1891" t="str">
            <v>TTS50</v>
          </cell>
          <cell r="E1891"/>
        </row>
        <row r="1892">
          <cell r="A1892" t="str">
            <v>2629OQ17</v>
          </cell>
          <cell r="D1892" t="str">
            <v>TTS50</v>
          </cell>
          <cell r="E1892"/>
        </row>
        <row r="1893">
          <cell r="A1893" t="str">
            <v>2628JZ37</v>
          </cell>
          <cell r="D1893" t="str">
            <v>TTS50</v>
          </cell>
          <cell r="E1893"/>
        </row>
        <row r="1894">
          <cell r="A1894" t="str">
            <v>2628IX67</v>
          </cell>
          <cell r="D1894" t="str">
            <v>TTS80</v>
          </cell>
          <cell r="E1894"/>
        </row>
        <row r="1895">
          <cell r="A1895" t="str">
            <v>2628IY67</v>
          </cell>
          <cell r="D1895" t="str">
            <v>TTS80</v>
          </cell>
          <cell r="E1895"/>
        </row>
        <row r="1896">
          <cell r="A1896" t="str">
            <v>2628J367</v>
          </cell>
          <cell r="D1896" t="str">
            <v>TTS80</v>
          </cell>
          <cell r="E1896"/>
        </row>
        <row r="1897">
          <cell r="A1897" t="str">
            <v>2628J867</v>
          </cell>
          <cell r="D1897" t="str">
            <v>TTS80</v>
          </cell>
          <cell r="E1897"/>
        </row>
        <row r="1898">
          <cell r="A1898" t="str">
            <v>2628JI67</v>
          </cell>
          <cell r="D1898" t="str">
            <v>TTS80</v>
          </cell>
          <cell r="E1898"/>
        </row>
        <row r="1899">
          <cell r="A1899" t="str">
            <v>2628JR67</v>
          </cell>
          <cell r="D1899" t="str">
            <v>TTS80</v>
          </cell>
          <cell r="E1899"/>
        </row>
        <row r="1900">
          <cell r="A1900" t="str">
            <v>2628K567</v>
          </cell>
          <cell r="D1900" t="str">
            <v>TTS80</v>
          </cell>
          <cell r="E1900"/>
        </row>
        <row r="1901">
          <cell r="A1901" t="str">
            <v>2629UA17</v>
          </cell>
          <cell r="D1901" t="str">
            <v>TTS80</v>
          </cell>
          <cell r="E1901"/>
        </row>
        <row r="1902">
          <cell r="A1902" t="str">
            <v>2628UB57</v>
          </cell>
          <cell r="D1902" t="str">
            <v>KBP86</v>
          </cell>
          <cell r="E1902"/>
        </row>
        <row r="1903">
          <cell r="A1903" t="str">
            <v>2629KY17</v>
          </cell>
          <cell r="D1903" t="str">
            <v>KBP76</v>
          </cell>
          <cell r="E1903"/>
        </row>
        <row r="1904">
          <cell r="A1904" t="str">
            <v>2629SB17</v>
          </cell>
          <cell r="D1904" t="str">
            <v>KBP76</v>
          </cell>
          <cell r="E1904"/>
        </row>
        <row r="1905">
          <cell r="A1905" t="str">
            <v>2629S717</v>
          </cell>
          <cell r="D1905" t="str">
            <v>S706</v>
          </cell>
          <cell r="E1905"/>
        </row>
        <row r="1906">
          <cell r="A1906" t="str">
            <v>2628FT20</v>
          </cell>
          <cell r="D1906" t="str">
            <v xml:space="preserve">TTS125    </v>
          </cell>
          <cell r="E1906"/>
        </row>
        <row r="1907">
          <cell r="A1907" t="str">
            <v>2628FT30</v>
          </cell>
          <cell r="D1907" t="str">
            <v xml:space="preserve">TTS125    </v>
          </cell>
          <cell r="E1907"/>
        </row>
        <row r="1908">
          <cell r="A1908" t="str">
            <v>2628FT10</v>
          </cell>
          <cell r="D1908" t="str">
            <v xml:space="preserve">TTS125    </v>
          </cell>
          <cell r="E1908"/>
        </row>
        <row r="1909">
          <cell r="A1909" t="str">
            <v>2628PA47</v>
          </cell>
          <cell r="D1909" t="str">
            <v>KBP76</v>
          </cell>
          <cell r="E1909"/>
        </row>
        <row r="1910">
          <cell r="A1910" t="str">
            <v>2629Q517</v>
          </cell>
          <cell r="D1910" t="str">
            <v>KBP86</v>
          </cell>
          <cell r="E1910"/>
        </row>
        <row r="1911">
          <cell r="A1911" t="str">
            <v>2628P947</v>
          </cell>
          <cell r="D1911" t="str">
            <v>KBP76</v>
          </cell>
          <cell r="E1911"/>
        </row>
        <row r="1912">
          <cell r="A1912" t="str">
            <v>2629SS17</v>
          </cell>
          <cell r="D1912" t="str">
            <v>KBP74</v>
          </cell>
          <cell r="E1912"/>
        </row>
        <row r="1913">
          <cell r="A1913" t="str">
            <v>2629PE17</v>
          </cell>
          <cell r="D1913" t="str">
            <v>FTW121KR</v>
          </cell>
          <cell r="E1913"/>
        </row>
        <row r="1914">
          <cell r="A1914" t="str">
            <v>2629PI17</v>
          </cell>
          <cell r="D1914" t="str">
            <v>FTW121KR</v>
          </cell>
          <cell r="E1914"/>
        </row>
        <row r="1915">
          <cell r="A1915" t="str">
            <v>2629PU17</v>
          </cell>
          <cell r="D1915" t="str">
            <v>FTW121KR</v>
          </cell>
          <cell r="E1915"/>
        </row>
        <row r="1916">
          <cell r="A1916" t="str">
            <v>2629IS27</v>
          </cell>
          <cell r="D1916" t="str">
            <v>FTW121KR</v>
          </cell>
          <cell r="E1916"/>
        </row>
        <row r="1917">
          <cell r="A1917" t="str">
            <v>2629IU27</v>
          </cell>
          <cell r="D1917" t="str">
            <v>FTW121KR</v>
          </cell>
          <cell r="E1917"/>
        </row>
        <row r="1918">
          <cell r="A1918" t="str">
            <v>2629IW27</v>
          </cell>
          <cell r="D1918" t="str">
            <v>FTW121KR</v>
          </cell>
          <cell r="E1918"/>
        </row>
        <row r="1919">
          <cell r="A1919" t="str">
            <v>2629IZ27</v>
          </cell>
          <cell r="D1919" t="str">
            <v>FTW121KR</v>
          </cell>
          <cell r="E1919"/>
        </row>
        <row r="1920">
          <cell r="A1920" t="str">
            <v>2629J127</v>
          </cell>
          <cell r="D1920" t="str">
            <v>FTW121KR</v>
          </cell>
          <cell r="E1920"/>
        </row>
        <row r="1921">
          <cell r="A1921" t="str">
            <v>2629J527</v>
          </cell>
          <cell r="D1921" t="str">
            <v>FTW121KR</v>
          </cell>
          <cell r="E1921"/>
        </row>
        <row r="1922">
          <cell r="A1922" t="str">
            <v>2629J627</v>
          </cell>
          <cell r="D1922" t="str">
            <v>FTW121KR</v>
          </cell>
          <cell r="E1922"/>
        </row>
        <row r="1923">
          <cell r="A1923" t="str">
            <v>2629J727</v>
          </cell>
          <cell r="D1923" t="str">
            <v>FTW121KR</v>
          </cell>
          <cell r="E1923"/>
        </row>
        <row r="1924">
          <cell r="A1924" t="str">
            <v>2629J927</v>
          </cell>
          <cell r="D1924" t="str">
            <v>FTW121KR</v>
          </cell>
          <cell r="E1924"/>
        </row>
        <row r="1925">
          <cell r="A1925" t="str">
            <v>2629JA27</v>
          </cell>
          <cell r="D1925" t="str">
            <v>FTW121KR</v>
          </cell>
          <cell r="E1925"/>
        </row>
        <row r="1926">
          <cell r="A1926" t="str">
            <v>2629JB27</v>
          </cell>
          <cell r="D1926" t="str">
            <v>FTW121KR</v>
          </cell>
          <cell r="E1926"/>
        </row>
        <row r="1927">
          <cell r="A1927" t="str">
            <v>2629JC27</v>
          </cell>
          <cell r="D1927" t="str">
            <v>FTW121KR</v>
          </cell>
          <cell r="E1927"/>
        </row>
        <row r="1928">
          <cell r="A1928" t="str">
            <v>2629JD27</v>
          </cell>
          <cell r="D1928" t="str">
            <v>FTW121KR</v>
          </cell>
          <cell r="E1928"/>
        </row>
        <row r="1929">
          <cell r="A1929" t="str">
            <v>2629JE27</v>
          </cell>
          <cell r="D1929" t="str">
            <v>FTW121KR</v>
          </cell>
          <cell r="E1929"/>
        </row>
        <row r="1930">
          <cell r="A1930" t="str">
            <v>2629JI27</v>
          </cell>
          <cell r="D1930" t="str">
            <v>FTW121KR</v>
          </cell>
          <cell r="E1930"/>
        </row>
        <row r="1931">
          <cell r="A1931" t="str">
            <v>2629JL27</v>
          </cell>
          <cell r="D1931" t="str">
            <v>FTW121KR</v>
          </cell>
          <cell r="E1931"/>
        </row>
        <row r="1932">
          <cell r="A1932" t="str">
            <v>2628JE67</v>
          </cell>
          <cell r="D1932" t="str">
            <v>TTS80</v>
          </cell>
          <cell r="E1932"/>
        </row>
        <row r="1933">
          <cell r="A1933" t="str">
            <v>2629U617</v>
          </cell>
          <cell r="D1933" t="str">
            <v>TTS80</v>
          </cell>
          <cell r="E1933"/>
        </row>
        <row r="1934">
          <cell r="A1934" t="str">
            <v>2629UB17</v>
          </cell>
          <cell r="D1934" t="str">
            <v>TTS80</v>
          </cell>
          <cell r="E1934"/>
        </row>
        <row r="1935">
          <cell r="A1935" t="str">
            <v>2629BZ27</v>
          </cell>
          <cell r="D1935" t="str">
            <v>KBP76</v>
          </cell>
          <cell r="E1935"/>
        </row>
        <row r="1936">
          <cell r="A1936" t="str">
            <v>2629P117</v>
          </cell>
          <cell r="D1936" t="str">
            <v>KBP76</v>
          </cell>
          <cell r="E1936"/>
        </row>
        <row r="1937">
          <cell r="A1937" t="str">
            <v>2629P517</v>
          </cell>
          <cell r="D1937" t="str">
            <v>KBP76</v>
          </cell>
          <cell r="E1937"/>
        </row>
        <row r="1938">
          <cell r="A1938" t="str">
            <v>2629EJ27</v>
          </cell>
          <cell r="D1938" t="str">
            <v>KBP76</v>
          </cell>
          <cell r="E1938"/>
        </row>
        <row r="1939">
          <cell r="A1939" t="str">
            <v>2628U857</v>
          </cell>
          <cell r="D1939" t="str">
            <v>KBP86</v>
          </cell>
          <cell r="E1939"/>
        </row>
        <row r="1940">
          <cell r="A1940" t="str">
            <v>2629D627</v>
          </cell>
          <cell r="D1940" t="str">
            <v>KBP76</v>
          </cell>
          <cell r="E1940"/>
        </row>
        <row r="1941">
          <cell r="A1941" t="str">
            <v>2629Q417</v>
          </cell>
          <cell r="D1941" t="str">
            <v>KBP86</v>
          </cell>
          <cell r="E1941"/>
        </row>
        <row r="1942">
          <cell r="A1942" t="str">
            <v>2629Q817</v>
          </cell>
          <cell r="D1942" t="str">
            <v>KBP86</v>
          </cell>
          <cell r="E1942"/>
        </row>
        <row r="1943">
          <cell r="A1943" t="str">
            <v>2629QB17</v>
          </cell>
          <cell r="D1943" t="str">
            <v>KBP86</v>
          </cell>
          <cell r="E1943"/>
        </row>
        <row r="1944">
          <cell r="A1944" t="str">
            <v>2629QE17</v>
          </cell>
          <cell r="D1944" t="str">
            <v>KBP86</v>
          </cell>
          <cell r="E1944"/>
        </row>
        <row r="1945">
          <cell r="A1945" t="str">
            <v>2629QF17</v>
          </cell>
          <cell r="D1945" t="str">
            <v>KBP86</v>
          </cell>
          <cell r="E1945"/>
        </row>
        <row r="1946">
          <cell r="A1946" t="str">
            <v>2628GX67</v>
          </cell>
          <cell r="D1946" t="str">
            <v>KBP76</v>
          </cell>
          <cell r="E1946"/>
        </row>
        <row r="1947">
          <cell r="A1947" t="str">
            <v>2629S917</v>
          </cell>
          <cell r="D1947" t="str">
            <v>KBP76</v>
          </cell>
          <cell r="E1947"/>
        </row>
        <row r="1948">
          <cell r="A1948" t="str">
            <v>2629SC17</v>
          </cell>
          <cell r="D1948" t="str">
            <v>KBP76</v>
          </cell>
          <cell r="E1948"/>
        </row>
        <row r="1949">
          <cell r="A1949" t="str">
            <v>2629KC27</v>
          </cell>
          <cell r="D1949" t="str">
            <v>KBP76</v>
          </cell>
          <cell r="E1949"/>
        </row>
        <row r="1950">
          <cell r="A1950" t="str">
            <v>2629KF27</v>
          </cell>
          <cell r="D1950" t="str">
            <v>KBP76</v>
          </cell>
          <cell r="E1950"/>
        </row>
        <row r="1951">
          <cell r="A1951" t="str">
            <v>2628H367</v>
          </cell>
          <cell r="D1951" t="str">
            <v>KBP52</v>
          </cell>
          <cell r="E1951"/>
        </row>
        <row r="1952">
          <cell r="A1952" t="str">
            <v>2628DH67</v>
          </cell>
          <cell r="D1952" t="str">
            <v>FTP150</v>
          </cell>
          <cell r="E1952"/>
        </row>
        <row r="1953">
          <cell r="A1953" t="str">
            <v>2629L417</v>
          </cell>
          <cell r="D1953" t="str">
            <v>FTP150</v>
          </cell>
          <cell r="E1953"/>
        </row>
        <row r="1954">
          <cell r="A1954" t="str">
            <v>2629L517</v>
          </cell>
          <cell r="D1954" t="str">
            <v>FTP150</v>
          </cell>
          <cell r="E1954"/>
        </row>
        <row r="1955">
          <cell r="A1955" t="str">
            <v>2629L617</v>
          </cell>
          <cell r="D1955" t="str">
            <v>FTP150</v>
          </cell>
          <cell r="E1955"/>
        </row>
        <row r="1956">
          <cell r="A1956" t="str">
            <v>2629LA17</v>
          </cell>
          <cell r="D1956" t="str">
            <v>FTP150</v>
          </cell>
          <cell r="E1956"/>
        </row>
        <row r="1957">
          <cell r="A1957" t="str">
            <v>2629QZ17</v>
          </cell>
          <cell r="D1957" t="str">
            <v>S706</v>
          </cell>
          <cell r="E1957"/>
        </row>
        <row r="1958">
          <cell r="A1958" t="str">
            <v>2629K327</v>
          </cell>
          <cell r="D1958" t="str">
            <v>S706</v>
          </cell>
          <cell r="E1958"/>
        </row>
        <row r="1959">
          <cell r="A1959" t="str">
            <v>2629KB27</v>
          </cell>
          <cell r="D1959" t="str">
            <v>S706</v>
          </cell>
          <cell r="E1959"/>
        </row>
        <row r="1960">
          <cell r="A1960" t="str">
            <v>2628E757</v>
          </cell>
          <cell r="D1960" t="str">
            <v>TTS50</v>
          </cell>
          <cell r="E1960"/>
        </row>
        <row r="1961">
          <cell r="A1961" t="str">
            <v>2628EA57</v>
          </cell>
          <cell r="D1961" t="str">
            <v>TTS50</v>
          </cell>
          <cell r="E1961"/>
        </row>
        <row r="1962">
          <cell r="A1962" t="str">
            <v>2628EB57</v>
          </cell>
          <cell r="D1962" t="str">
            <v>TTS50</v>
          </cell>
          <cell r="E1962"/>
        </row>
        <row r="1963">
          <cell r="A1963" t="str">
            <v>2628DQ67</v>
          </cell>
          <cell r="D1963" t="str">
            <v>TTS50</v>
          </cell>
          <cell r="E1963"/>
        </row>
        <row r="1964">
          <cell r="A1964" t="str">
            <v>2628DS67</v>
          </cell>
          <cell r="D1964" t="str">
            <v>TTS50</v>
          </cell>
          <cell r="E1964"/>
        </row>
        <row r="1965">
          <cell r="A1965" t="str">
            <v>2628DT67</v>
          </cell>
          <cell r="D1965" t="str">
            <v>TTS50</v>
          </cell>
          <cell r="E1965"/>
        </row>
        <row r="1966">
          <cell r="A1966" t="str">
            <v>2628DW67</v>
          </cell>
          <cell r="D1966" t="str">
            <v>TTS50</v>
          </cell>
          <cell r="E1966"/>
        </row>
        <row r="1967">
          <cell r="A1967" t="str">
            <v>2628E567</v>
          </cell>
          <cell r="D1967" t="str">
            <v>TTS50</v>
          </cell>
          <cell r="E1967"/>
        </row>
        <row r="1968">
          <cell r="A1968" t="str">
            <v>2628E967</v>
          </cell>
          <cell r="D1968" t="str">
            <v>TTS50</v>
          </cell>
          <cell r="E1968"/>
        </row>
        <row r="1969">
          <cell r="A1969" t="str">
            <v>2628EB67</v>
          </cell>
          <cell r="D1969" t="str">
            <v>TTS50</v>
          </cell>
          <cell r="E1969"/>
        </row>
        <row r="1970">
          <cell r="A1970" t="str">
            <v>2628EG67</v>
          </cell>
          <cell r="D1970" t="str">
            <v>TTS50</v>
          </cell>
          <cell r="E1970"/>
        </row>
        <row r="1971">
          <cell r="A1971" t="str">
            <v>2629LF17</v>
          </cell>
          <cell r="D1971" t="str">
            <v>TTS50</v>
          </cell>
          <cell r="E1971"/>
        </row>
        <row r="1972">
          <cell r="A1972" t="str">
            <v>2629LJ17</v>
          </cell>
          <cell r="D1972" t="str">
            <v>TTS50</v>
          </cell>
          <cell r="E1972"/>
        </row>
        <row r="1973">
          <cell r="A1973" t="str">
            <v>2629LP17</v>
          </cell>
          <cell r="D1973" t="str">
            <v>TTS50</v>
          </cell>
          <cell r="E1973"/>
        </row>
        <row r="1974">
          <cell r="A1974" t="str">
            <v>2629LQ17</v>
          </cell>
          <cell r="D1974" t="str">
            <v>TTS50</v>
          </cell>
          <cell r="E1974"/>
        </row>
        <row r="1975">
          <cell r="A1975" t="str">
            <v>2629O217</v>
          </cell>
          <cell r="D1975" t="str">
            <v>TTS50</v>
          </cell>
          <cell r="E1975"/>
        </row>
        <row r="1976">
          <cell r="A1976" t="str">
            <v>2629O717</v>
          </cell>
          <cell r="D1976" t="str">
            <v>TTS50</v>
          </cell>
          <cell r="E1976"/>
        </row>
        <row r="1977">
          <cell r="A1977" t="str">
            <v>2629OG17</v>
          </cell>
          <cell r="D1977" t="str">
            <v>TTS50</v>
          </cell>
          <cell r="E1977"/>
        </row>
        <row r="1978">
          <cell r="A1978" t="str">
            <v>2629OJ17</v>
          </cell>
          <cell r="D1978" t="str">
            <v>TTS50</v>
          </cell>
          <cell r="E1978"/>
        </row>
        <row r="1979">
          <cell r="A1979" t="str">
            <v>2629OU17</v>
          </cell>
          <cell r="D1979" t="str">
            <v>TTS50</v>
          </cell>
          <cell r="E1979"/>
        </row>
        <row r="1980">
          <cell r="A1980" t="str">
            <v>2628F757</v>
          </cell>
          <cell r="D1980" t="str">
            <v>KBP44</v>
          </cell>
          <cell r="E1980"/>
        </row>
        <row r="1981">
          <cell r="A1981" t="str">
            <v>2628HS67</v>
          </cell>
          <cell r="D1981" t="str">
            <v>KBP55</v>
          </cell>
          <cell r="E1981"/>
        </row>
        <row r="1982">
          <cell r="A1982" t="str">
            <v>2628HT67</v>
          </cell>
          <cell r="D1982" t="str">
            <v>KBP55</v>
          </cell>
          <cell r="E1982"/>
        </row>
        <row r="1983">
          <cell r="A1983" t="str">
            <v>2628I167</v>
          </cell>
          <cell r="D1983" t="str">
            <v>KBP55</v>
          </cell>
          <cell r="E1983"/>
        </row>
        <row r="1984">
          <cell r="A1984" t="str">
            <v>2628I567</v>
          </cell>
          <cell r="D1984" t="str">
            <v>KBP55</v>
          </cell>
          <cell r="E1984"/>
        </row>
        <row r="1985">
          <cell r="A1985" t="str">
            <v>2628IJ67</v>
          </cell>
          <cell r="D1985" t="str">
            <v>KBP55</v>
          </cell>
          <cell r="E1985"/>
        </row>
        <row r="1986">
          <cell r="A1986" t="str">
            <v>2628IK67</v>
          </cell>
          <cell r="D1986" t="str">
            <v>KBP55</v>
          </cell>
          <cell r="E1986"/>
        </row>
        <row r="1987">
          <cell r="A1987" t="str">
            <v>2628LT67</v>
          </cell>
          <cell r="D1987" t="str">
            <v>KBP55</v>
          </cell>
          <cell r="E1987"/>
        </row>
        <row r="1988">
          <cell r="A1988" t="str">
            <v>2628LU67</v>
          </cell>
          <cell r="D1988" t="str">
            <v>KBP55</v>
          </cell>
          <cell r="E1988"/>
        </row>
        <row r="1989">
          <cell r="A1989" t="str">
            <v>2628LV67</v>
          </cell>
          <cell r="D1989" t="str">
            <v>KBP55</v>
          </cell>
          <cell r="E1989"/>
        </row>
        <row r="1990">
          <cell r="A1990" t="str">
            <v>2628LY67</v>
          </cell>
          <cell r="D1990" t="str">
            <v>KBP55</v>
          </cell>
          <cell r="E1990"/>
        </row>
        <row r="1991">
          <cell r="A1991" t="str">
            <v>2629SI17</v>
          </cell>
          <cell r="D1991" t="str">
            <v>KBP76</v>
          </cell>
          <cell r="E1991"/>
        </row>
        <row r="1992">
          <cell r="A1992" t="str">
            <v>2629SJ17</v>
          </cell>
          <cell r="D1992" t="str">
            <v>KBP76</v>
          </cell>
          <cell r="E1992"/>
        </row>
        <row r="1993">
          <cell r="A1993" t="str">
            <v>2629SL17</v>
          </cell>
          <cell r="D1993" t="str">
            <v>KBP76</v>
          </cell>
          <cell r="E1993"/>
        </row>
        <row r="1994">
          <cell r="A1994" t="str">
            <v>2629DC27</v>
          </cell>
          <cell r="D1994" t="str">
            <v>KBP76</v>
          </cell>
          <cell r="E1994"/>
        </row>
        <row r="1995">
          <cell r="A1995" t="str">
            <v>2629KV17</v>
          </cell>
          <cell r="D1995" t="str">
            <v>KBP52</v>
          </cell>
          <cell r="E1995"/>
        </row>
        <row r="1996">
          <cell r="A1996" t="str">
            <v>2629KW17</v>
          </cell>
          <cell r="D1996" t="str">
            <v>KBP52</v>
          </cell>
          <cell r="E1996"/>
        </row>
        <row r="1997">
          <cell r="A1997" t="str">
            <v>2628FT40</v>
          </cell>
          <cell r="D1997" t="str">
            <v xml:space="preserve">TTS125    </v>
          </cell>
          <cell r="E1997"/>
        </row>
        <row r="1998">
          <cell r="A1998" t="str">
            <v>2628FS90</v>
          </cell>
          <cell r="D1998" t="str">
            <v xml:space="preserve">TTS125    </v>
          </cell>
          <cell r="E1998"/>
        </row>
        <row r="1999">
          <cell r="A1999" t="str">
            <v>2628FT50</v>
          </cell>
          <cell r="D1999" t="str">
            <v xml:space="preserve">TTS125    </v>
          </cell>
          <cell r="E1999"/>
        </row>
        <row r="2000">
          <cell r="A2000" t="str">
            <v>2628FT90</v>
          </cell>
          <cell r="D2000" t="str">
            <v xml:space="preserve">TTS125    </v>
          </cell>
          <cell r="E2000"/>
        </row>
        <row r="2001">
          <cell r="A2001" t="str">
            <v>2628FU20</v>
          </cell>
          <cell r="D2001" t="str">
            <v xml:space="preserve">TTS125    </v>
          </cell>
          <cell r="E2001"/>
        </row>
        <row r="2002">
          <cell r="A2002" t="str">
            <v>2628FU10</v>
          </cell>
          <cell r="D2002" t="str">
            <v xml:space="preserve">TTS125    </v>
          </cell>
          <cell r="E2002"/>
        </row>
        <row r="2003">
          <cell r="A2003" t="str">
            <v>2628OT17</v>
          </cell>
          <cell r="D2003" t="str">
            <v>KBP86</v>
          </cell>
          <cell r="E2003"/>
        </row>
        <row r="2004">
          <cell r="A2004" t="str">
            <v>2629DH27</v>
          </cell>
          <cell r="D2004" t="str">
            <v>FTP150</v>
          </cell>
          <cell r="E2004"/>
        </row>
        <row r="2005">
          <cell r="A2005" t="str">
            <v>2629PP17</v>
          </cell>
          <cell r="D2005" t="str">
            <v>FTW121KR</v>
          </cell>
          <cell r="E2005"/>
        </row>
        <row r="2006">
          <cell r="A2006" t="str">
            <v>2628F557</v>
          </cell>
          <cell r="D2006" t="str">
            <v>KBP44</v>
          </cell>
          <cell r="E2006"/>
        </row>
        <row r="2007">
          <cell r="A2007" t="str">
            <v>2628HG57</v>
          </cell>
          <cell r="D2007" t="str">
            <v>KBP76</v>
          </cell>
          <cell r="E2007"/>
        </row>
        <row r="2008">
          <cell r="A2008" t="str">
            <v>2628HH57</v>
          </cell>
          <cell r="D2008" t="str">
            <v>KBP76</v>
          </cell>
          <cell r="E2008"/>
        </row>
        <row r="2009">
          <cell r="A2009" t="str">
            <v>2628LD67</v>
          </cell>
          <cell r="D2009" t="str">
            <v>STA156KA</v>
          </cell>
          <cell r="E2009"/>
        </row>
        <row r="2010">
          <cell r="A2010" t="str">
            <v>2628KN57</v>
          </cell>
          <cell r="D2010" t="str">
            <v>S15MB</v>
          </cell>
          <cell r="E2010"/>
        </row>
        <row r="2011">
          <cell r="A2011" t="str">
            <v>2629C917</v>
          </cell>
          <cell r="D2011" t="str">
            <v>KBP126</v>
          </cell>
          <cell r="E2011"/>
        </row>
        <row r="2012">
          <cell r="A2012" t="str">
            <v>2628JU57</v>
          </cell>
          <cell r="D2012" t="str">
            <v>KBP126</v>
          </cell>
          <cell r="E2012"/>
        </row>
        <row r="2013">
          <cell r="A2013" t="str">
            <v>2629KR27</v>
          </cell>
          <cell r="D2013" t="str">
            <v>KBP74</v>
          </cell>
          <cell r="E2013"/>
        </row>
        <row r="2014">
          <cell r="A2014" t="str">
            <v>2629KS27</v>
          </cell>
          <cell r="D2014" t="str">
            <v>KBP74</v>
          </cell>
          <cell r="E2014"/>
        </row>
        <row r="2015">
          <cell r="A2015" t="str">
            <v>2629CU17</v>
          </cell>
          <cell r="D2015" t="str">
            <v>STA156KA</v>
          </cell>
          <cell r="E2015"/>
        </row>
        <row r="2016">
          <cell r="A2016" t="str">
            <v>2629PZ17</v>
          </cell>
          <cell r="D2016" t="str">
            <v>FTW121KR</v>
          </cell>
          <cell r="E2016"/>
        </row>
        <row r="2017">
          <cell r="A2017" t="str">
            <v>2629IV27</v>
          </cell>
          <cell r="D2017" t="str">
            <v>FTW121KR</v>
          </cell>
          <cell r="E2017"/>
        </row>
        <row r="2018">
          <cell r="A2018" t="str">
            <v>2629IX27</v>
          </cell>
          <cell r="D2018" t="str">
            <v>FTW121KR</v>
          </cell>
          <cell r="E2018"/>
        </row>
        <row r="2019">
          <cell r="A2019" t="str">
            <v>2629J227</v>
          </cell>
          <cell r="D2019" t="str">
            <v>FTW121KR</v>
          </cell>
          <cell r="E2019"/>
        </row>
        <row r="2020">
          <cell r="A2020" t="str">
            <v>2629J327</v>
          </cell>
          <cell r="D2020" t="str">
            <v>FTW121KR</v>
          </cell>
          <cell r="E2020"/>
        </row>
        <row r="2021">
          <cell r="A2021" t="str">
            <v>2629JG27</v>
          </cell>
          <cell r="D2021" t="str">
            <v>FTW121KR</v>
          </cell>
          <cell r="E2021"/>
        </row>
        <row r="2022">
          <cell r="A2022" t="str">
            <v>2629JH27</v>
          </cell>
          <cell r="D2022" t="str">
            <v>FTW121KR</v>
          </cell>
          <cell r="E2022"/>
        </row>
        <row r="2023">
          <cell r="A2023" t="str">
            <v>2629JK27</v>
          </cell>
          <cell r="D2023" t="str">
            <v>FTW121KR</v>
          </cell>
          <cell r="E2023"/>
        </row>
        <row r="2024">
          <cell r="A2024" t="str">
            <v>2629Q537</v>
          </cell>
          <cell r="D2024" t="str">
            <v>FTW121KR</v>
          </cell>
          <cell r="E2024"/>
        </row>
        <row r="2025">
          <cell r="A2025" t="str">
            <v>2629U517</v>
          </cell>
          <cell r="D2025" t="str">
            <v>TTS80</v>
          </cell>
          <cell r="E2025"/>
        </row>
        <row r="2026">
          <cell r="A2026" t="str">
            <v>2629U717</v>
          </cell>
          <cell r="D2026" t="str">
            <v>TTS80</v>
          </cell>
          <cell r="E2026"/>
        </row>
        <row r="2027">
          <cell r="A2027" t="str">
            <v>2629L527</v>
          </cell>
          <cell r="D2027" t="str">
            <v>TTS80</v>
          </cell>
          <cell r="E2027"/>
        </row>
        <row r="2028">
          <cell r="A2028" t="str">
            <v>2629L627</v>
          </cell>
          <cell r="D2028" t="str">
            <v>TTS80</v>
          </cell>
          <cell r="E2028"/>
        </row>
        <row r="2029">
          <cell r="A2029" t="str">
            <v>2629L727</v>
          </cell>
          <cell r="D2029" t="str">
            <v>TTS80</v>
          </cell>
          <cell r="E2029"/>
        </row>
        <row r="2030">
          <cell r="A2030" t="str">
            <v>2629L927</v>
          </cell>
          <cell r="D2030" t="str">
            <v>TTS80</v>
          </cell>
          <cell r="E2030"/>
        </row>
        <row r="2031">
          <cell r="A2031" t="str">
            <v>2629LB27</v>
          </cell>
          <cell r="D2031" t="str">
            <v>TTS80</v>
          </cell>
          <cell r="E2031"/>
        </row>
        <row r="2032">
          <cell r="A2032" t="str">
            <v>2629BY27</v>
          </cell>
          <cell r="D2032" t="str">
            <v>KBP76</v>
          </cell>
          <cell r="E2032"/>
        </row>
        <row r="2033">
          <cell r="A2033" t="str">
            <v>2629QJ17</v>
          </cell>
          <cell r="D2033" t="str">
            <v>KBP52</v>
          </cell>
          <cell r="E2033"/>
        </row>
        <row r="2034">
          <cell r="A2034" t="str">
            <v>2628SZ57</v>
          </cell>
          <cell r="D2034" t="str">
            <v>KBP86</v>
          </cell>
          <cell r="E2034"/>
        </row>
        <row r="2035">
          <cell r="A2035" t="str">
            <v>2629Q617</v>
          </cell>
          <cell r="D2035" t="str">
            <v>KBP86</v>
          </cell>
          <cell r="E2035"/>
        </row>
        <row r="2036">
          <cell r="A2036" t="str">
            <v>2629QA17</v>
          </cell>
          <cell r="D2036" t="str">
            <v>KBP86</v>
          </cell>
          <cell r="E2036"/>
        </row>
        <row r="2037">
          <cell r="A2037" t="str">
            <v>2629JO27</v>
          </cell>
          <cell r="D2037" t="str">
            <v>KBP86</v>
          </cell>
          <cell r="E2037"/>
        </row>
        <row r="2038">
          <cell r="A2038" t="str">
            <v>2629KG27</v>
          </cell>
          <cell r="D2038" t="str">
            <v>KBP76</v>
          </cell>
          <cell r="E2038"/>
        </row>
        <row r="2039">
          <cell r="A2039" t="str">
            <v>2629SU17</v>
          </cell>
          <cell r="D2039" t="str">
            <v>TTS50</v>
          </cell>
          <cell r="E2039"/>
        </row>
        <row r="2040">
          <cell r="A2040" t="str">
            <v>2628DU57</v>
          </cell>
          <cell r="D2040" t="str">
            <v>FTP150</v>
          </cell>
          <cell r="E2040"/>
        </row>
        <row r="2041">
          <cell r="A2041" t="str">
            <v>2628DW57</v>
          </cell>
          <cell r="D2041" t="str">
            <v>FTP150</v>
          </cell>
          <cell r="E2041"/>
        </row>
        <row r="2042">
          <cell r="A2042" t="str">
            <v>2629L717</v>
          </cell>
          <cell r="D2042" t="str">
            <v>FTP150</v>
          </cell>
          <cell r="E2042"/>
        </row>
        <row r="2043">
          <cell r="A2043" t="str">
            <v>2629L817</v>
          </cell>
          <cell r="D2043" t="str">
            <v>FTP150</v>
          </cell>
          <cell r="E2043"/>
        </row>
        <row r="2044">
          <cell r="A2044" t="str">
            <v>2629L917</v>
          </cell>
          <cell r="D2044" t="str">
            <v>FTP150</v>
          </cell>
          <cell r="E2044"/>
        </row>
        <row r="2045">
          <cell r="A2045" t="str">
            <v>2629LB17</v>
          </cell>
          <cell r="D2045" t="str">
            <v>FTP150</v>
          </cell>
          <cell r="E2045"/>
        </row>
        <row r="2046">
          <cell r="A2046" t="str">
            <v>2629LC17</v>
          </cell>
          <cell r="D2046" t="str">
            <v>FTP150</v>
          </cell>
          <cell r="E2046"/>
        </row>
        <row r="2047">
          <cell r="A2047" t="str">
            <v>2629LD17</v>
          </cell>
          <cell r="D2047" t="str">
            <v>FTP150</v>
          </cell>
          <cell r="E2047"/>
        </row>
        <row r="2048">
          <cell r="A2048" t="str">
            <v>2629LE17</v>
          </cell>
          <cell r="D2048" t="str">
            <v>FTP150</v>
          </cell>
          <cell r="E2048"/>
        </row>
        <row r="2049">
          <cell r="A2049" t="str">
            <v>2629DJ27</v>
          </cell>
          <cell r="D2049" t="str">
            <v>FTP150</v>
          </cell>
          <cell r="E2049"/>
        </row>
        <row r="2050">
          <cell r="A2050" t="str">
            <v>2629DN27</v>
          </cell>
          <cell r="D2050" t="str">
            <v>FTP150</v>
          </cell>
          <cell r="E2050"/>
        </row>
        <row r="2051">
          <cell r="A2051" t="str">
            <v>2629K527</v>
          </cell>
          <cell r="D2051" t="str">
            <v>S706</v>
          </cell>
          <cell r="E2051"/>
        </row>
        <row r="2052">
          <cell r="A2052" t="str">
            <v>2629K927</v>
          </cell>
          <cell r="D2052" t="str">
            <v>S706</v>
          </cell>
          <cell r="E2052"/>
        </row>
        <row r="2053">
          <cell r="A2053" t="str">
            <v>2629KA27</v>
          </cell>
          <cell r="D2053" t="str">
            <v>S706</v>
          </cell>
          <cell r="E2053"/>
        </row>
        <row r="2054">
          <cell r="A2054" t="str">
            <v>2629UI37</v>
          </cell>
          <cell r="D2054" t="str">
            <v>S706</v>
          </cell>
          <cell r="E2054"/>
        </row>
        <row r="2055">
          <cell r="A2055" t="str">
            <v>2629UM37</v>
          </cell>
          <cell r="D2055" t="str">
            <v>S706</v>
          </cell>
          <cell r="E2055"/>
        </row>
        <row r="2056">
          <cell r="A2056" t="str">
            <v>2629PB17</v>
          </cell>
          <cell r="D2056" t="str">
            <v>TTS50</v>
          </cell>
          <cell r="E2056"/>
        </row>
        <row r="2057">
          <cell r="A2057" t="str">
            <v>2629EO27</v>
          </cell>
          <cell r="D2057" t="str">
            <v>TTS50</v>
          </cell>
          <cell r="E2057"/>
        </row>
        <row r="2058">
          <cell r="A2058" t="str">
            <v>2628E457</v>
          </cell>
          <cell r="D2058" t="str">
            <v>TTS50</v>
          </cell>
          <cell r="E2058"/>
        </row>
        <row r="2059">
          <cell r="A2059" t="str">
            <v>2628DU67</v>
          </cell>
          <cell r="D2059" t="str">
            <v>TTS50</v>
          </cell>
          <cell r="E2059"/>
        </row>
        <row r="2060">
          <cell r="A2060" t="str">
            <v>2628E867</v>
          </cell>
          <cell r="D2060" t="str">
            <v>TTS50</v>
          </cell>
          <cell r="E2060"/>
        </row>
        <row r="2061">
          <cell r="A2061" t="str">
            <v>2629LU17</v>
          </cell>
          <cell r="D2061" t="str">
            <v>TTS50</v>
          </cell>
          <cell r="E2061"/>
        </row>
        <row r="2062">
          <cell r="A2062" t="str">
            <v>2629LW17</v>
          </cell>
          <cell r="D2062" t="str">
            <v>TTS50</v>
          </cell>
          <cell r="E2062"/>
        </row>
        <row r="2063">
          <cell r="A2063" t="str">
            <v>2629O917</v>
          </cell>
          <cell r="D2063" t="str">
            <v>TTS50</v>
          </cell>
          <cell r="E2063"/>
        </row>
        <row r="2064">
          <cell r="A2064" t="str">
            <v>2629OE17</v>
          </cell>
          <cell r="D2064" t="str">
            <v>TTS50</v>
          </cell>
          <cell r="E2064"/>
        </row>
        <row r="2065">
          <cell r="A2065" t="str">
            <v>2629OS17</v>
          </cell>
          <cell r="D2065" t="str">
            <v>TTS50</v>
          </cell>
          <cell r="E2065"/>
        </row>
        <row r="2066">
          <cell r="A2066" t="str">
            <v>2629EB27</v>
          </cell>
          <cell r="D2066" t="str">
            <v>TTS50</v>
          </cell>
          <cell r="E2066"/>
        </row>
        <row r="2067">
          <cell r="A2067" t="str">
            <v>2629EC27</v>
          </cell>
          <cell r="D2067" t="str">
            <v>TTS50</v>
          </cell>
          <cell r="E2067"/>
        </row>
        <row r="2068">
          <cell r="A2068" t="str">
            <v>2629SE17</v>
          </cell>
          <cell r="D2068" t="str">
            <v>KBP76</v>
          </cell>
          <cell r="E2068"/>
        </row>
        <row r="2069">
          <cell r="A2069" t="str">
            <v>2628HU67</v>
          </cell>
          <cell r="D2069" t="str">
            <v>KBP55</v>
          </cell>
          <cell r="E2069"/>
        </row>
        <row r="2070">
          <cell r="A2070" t="str">
            <v>2628HZ67</v>
          </cell>
          <cell r="D2070" t="str">
            <v>KBP55</v>
          </cell>
          <cell r="E2070"/>
        </row>
        <row r="2071">
          <cell r="A2071" t="str">
            <v>2628I367</v>
          </cell>
          <cell r="D2071" t="str">
            <v>KBP55</v>
          </cell>
          <cell r="E2071"/>
        </row>
        <row r="2072">
          <cell r="A2072" t="str">
            <v>2628I667</v>
          </cell>
          <cell r="D2072" t="str">
            <v>KBP55</v>
          </cell>
          <cell r="E2072"/>
        </row>
        <row r="2073">
          <cell r="A2073" t="str">
            <v>2628I967</v>
          </cell>
          <cell r="D2073" t="str">
            <v>KBP55</v>
          </cell>
          <cell r="E2073"/>
        </row>
        <row r="2074">
          <cell r="A2074" t="str">
            <v>2628II67</v>
          </cell>
          <cell r="D2074" t="str">
            <v>KBP55</v>
          </cell>
          <cell r="E2074"/>
        </row>
        <row r="2075">
          <cell r="A2075" t="str">
            <v>2628IL67</v>
          </cell>
          <cell r="D2075" t="str">
            <v>KBP55</v>
          </cell>
          <cell r="E2075"/>
        </row>
        <row r="2076">
          <cell r="A2076" t="str">
            <v>2629SK17</v>
          </cell>
          <cell r="D2076" t="str">
            <v>KBP76</v>
          </cell>
          <cell r="E2076"/>
        </row>
        <row r="2077">
          <cell r="A2077" t="str">
            <v>2629KK27</v>
          </cell>
          <cell r="D2077" t="str">
            <v>KBP76</v>
          </cell>
          <cell r="E2077"/>
        </row>
        <row r="2078">
          <cell r="A2078" t="str">
            <v>2629PX37</v>
          </cell>
          <cell r="D2078" t="str">
            <v>FTW121KR</v>
          </cell>
          <cell r="E2078"/>
        </row>
        <row r="2079">
          <cell r="A2079" t="str">
            <v>2629PY37</v>
          </cell>
          <cell r="D2079" t="str">
            <v>FTW121KR</v>
          </cell>
          <cell r="E2079"/>
        </row>
        <row r="2080">
          <cell r="A2080" t="str">
            <v>2629Q137</v>
          </cell>
          <cell r="D2080" t="str">
            <v>FTW121KR</v>
          </cell>
          <cell r="E2080"/>
        </row>
        <row r="2081">
          <cell r="A2081" t="str">
            <v>2629QD37</v>
          </cell>
          <cell r="D2081" t="str">
            <v>FTW121KR</v>
          </cell>
          <cell r="E2081"/>
        </row>
        <row r="2082">
          <cell r="A2082" t="str">
            <v>2628FY67</v>
          </cell>
          <cell r="D2082" t="str">
            <v>S805</v>
          </cell>
          <cell r="E2082"/>
        </row>
        <row r="2083">
          <cell r="A2083" t="str">
            <v>2629DM27</v>
          </cell>
          <cell r="D2083" t="str">
            <v>FTP150</v>
          </cell>
          <cell r="E2083"/>
        </row>
        <row r="2084">
          <cell r="A2084" t="str">
            <v>2629LT37</v>
          </cell>
          <cell r="D2084" t="str">
            <v>FTP150</v>
          </cell>
          <cell r="E2084"/>
        </row>
        <row r="2085">
          <cell r="A2085" t="str">
            <v>2628DX67</v>
          </cell>
          <cell r="D2085" t="str">
            <v>TTS50</v>
          </cell>
          <cell r="E2085"/>
        </row>
        <row r="2086">
          <cell r="A2086" t="str">
            <v>2629LO17</v>
          </cell>
          <cell r="D2086" t="str">
            <v>TTS50</v>
          </cell>
          <cell r="E2086"/>
        </row>
        <row r="2087">
          <cell r="A2087" t="str">
            <v>2629LV17</v>
          </cell>
          <cell r="D2087" t="str">
            <v>TTS50</v>
          </cell>
          <cell r="E2087"/>
        </row>
        <row r="2088">
          <cell r="A2088" t="str">
            <v>2629LZ17</v>
          </cell>
          <cell r="D2088" t="str">
            <v>TTS50</v>
          </cell>
          <cell r="E2088"/>
        </row>
        <row r="2089">
          <cell r="A2089" t="str">
            <v>2629O317</v>
          </cell>
          <cell r="D2089" t="str">
            <v>TTS50</v>
          </cell>
          <cell r="E2089"/>
        </row>
        <row r="2090">
          <cell r="A2090" t="str">
            <v>2629O417</v>
          </cell>
          <cell r="D2090" t="str">
            <v>TTS50</v>
          </cell>
          <cell r="E2090"/>
        </row>
        <row r="2091">
          <cell r="A2091" t="str">
            <v>2629OC17</v>
          </cell>
          <cell r="D2091" t="str">
            <v>TTS50</v>
          </cell>
          <cell r="E2091"/>
        </row>
        <row r="2092">
          <cell r="A2092" t="str">
            <v>2629OF17</v>
          </cell>
          <cell r="D2092" t="str">
            <v>TTS50</v>
          </cell>
          <cell r="E2092"/>
        </row>
        <row r="2093">
          <cell r="A2093" t="str">
            <v>2629OM17</v>
          </cell>
          <cell r="D2093" t="str">
            <v>TTS50</v>
          </cell>
          <cell r="E2093"/>
        </row>
        <row r="2094">
          <cell r="A2094" t="str">
            <v>2629OO17</v>
          </cell>
          <cell r="D2094" t="str">
            <v>TTS50</v>
          </cell>
          <cell r="E2094"/>
        </row>
        <row r="2095">
          <cell r="A2095" t="str">
            <v>2629DQ27</v>
          </cell>
          <cell r="D2095" t="str">
            <v>TTS50</v>
          </cell>
          <cell r="E2095"/>
        </row>
        <row r="2096">
          <cell r="A2096" t="str">
            <v>2629DB27</v>
          </cell>
          <cell r="D2096" t="str">
            <v>KBP76</v>
          </cell>
          <cell r="E2096"/>
        </row>
        <row r="2097">
          <cell r="A2097" t="str">
            <v>2628AB57</v>
          </cell>
          <cell r="D2097" t="str">
            <v>STA156KA</v>
          </cell>
          <cell r="E2097"/>
        </row>
        <row r="2098">
          <cell r="A2098" t="str">
            <v>2629KE27</v>
          </cell>
          <cell r="D2098" t="str">
            <v>KBP76</v>
          </cell>
          <cell r="E2098"/>
        </row>
        <row r="2099">
          <cell r="A2099" t="str">
            <v>2629DK27</v>
          </cell>
          <cell r="D2099" t="str">
            <v>FTP150</v>
          </cell>
          <cell r="E2099"/>
        </row>
        <row r="2100">
          <cell r="A2100" t="str">
            <v>2629IQ27</v>
          </cell>
          <cell r="D2100" t="str">
            <v>KBP76</v>
          </cell>
          <cell r="E2100"/>
        </row>
        <row r="2101">
          <cell r="A2101" t="str">
            <v>2629LH27</v>
          </cell>
          <cell r="D2101" t="str">
            <v>TTS80</v>
          </cell>
          <cell r="E2101"/>
        </row>
        <row r="2102">
          <cell r="A2102" t="str">
            <v>2629LI27</v>
          </cell>
          <cell r="D2102" t="str">
            <v>TTS80</v>
          </cell>
          <cell r="E2102"/>
        </row>
        <row r="2103">
          <cell r="A2103" t="str">
            <v>2629LJ27</v>
          </cell>
          <cell r="D2103" t="str">
            <v>TTS80</v>
          </cell>
          <cell r="E2103"/>
        </row>
        <row r="2104">
          <cell r="A2104" t="str">
            <v>2628U757</v>
          </cell>
          <cell r="D2104" t="str">
            <v>KBP86</v>
          </cell>
          <cell r="E2104"/>
        </row>
        <row r="2105">
          <cell r="A2105" t="str">
            <v>2628UE57</v>
          </cell>
          <cell r="D2105" t="str">
            <v>KBP86</v>
          </cell>
          <cell r="E2105"/>
        </row>
        <row r="2106">
          <cell r="A2106" t="str">
            <v>2629CY27</v>
          </cell>
          <cell r="D2106" t="str">
            <v>KBP86</v>
          </cell>
          <cell r="E2106"/>
        </row>
        <row r="2107">
          <cell r="A2107" t="str">
            <v>2629KZ17</v>
          </cell>
          <cell r="D2107" t="str">
            <v>KBP76</v>
          </cell>
          <cell r="E2107"/>
        </row>
        <row r="2108">
          <cell r="A2108" t="str">
            <v>2629SL37</v>
          </cell>
          <cell r="D2108" t="str">
            <v>KBP86</v>
          </cell>
          <cell r="E2108"/>
        </row>
        <row r="2109">
          <cell r="A2109" t="str">
            <v>2629OW17</v>
          </cell>
          <cell r="D2109" t="str">
            <v>TTS50</v>
          </cell>
          <cell r="E2109"/>
        </row>
        <row r="2110">
          <cell r="A2110" t="str">
            <v>2628LX67</v>
          </cell>
          <cell r="D2110" t="str">
            <v>KBP55</v>
          </cell>
          <cell r="E2110"/>
        </row>
        <row r="2111">
          <cell r="A2111" t="str">
            <v>2628HK67</v>
          </cell>
          <cell r="D2111" t="str">
            <v>KBP76</v>
          </cell>
          <cell r="E2111"/>
        </row>
        <row r="2112">
          <cell r="A2112" t="str">
            <v>2628LH67</v>
          </cell>
          <cell r="D2112" t="str">
            <v>STA156KA</v>
          </cell>
          <cell r="E2112"/>
        </row>
        <row r="2113">
          <cell r="A2113" t="str">
            <v>2629SP17</v>
          </cell>
          <cell r="D2113" t="str">
            <v>STA156KA</v>
          </cell>
          <cell r="E2113"/>
        </row>
        <row r="2114">
          <cell r="A2114" t="str">
            <v>2629KP27</v>
          </cell>
          <cell r="D2114" t="str">
            <v>STA156KA</v>
          </cell>
          <cell r="E2114"/>
        </row>
        <row r="2115">
          <cell r="A2115" t="str">
            <v>2629KQ27</v>
          </cell>
          <cell r="D2115" t="str">
            <v>STA156KA</v>
          </cell>
          <cell r="E2115"/>
        </row>
        <row r="2116">
          <cell r="A2116" t="str">
            <v>2628KO57</v>
          </cell>
          <cell r="D2116" t="str">
            <v>S15MB</v>
          </cell>
          <cell r="E2116"/>
        </row>
        <row r="2117">
          <cell r="A2117" t="str">
            <v>2629AA27</v>
          </cell>
          <cell r="D2117" t="str">
            <v>KBP126</v>
          </cell>
          <cell r="E2117"/>
        </row>
        <row r="2118">
          <cell r="A2118" t="str">
            <v>2629L317</v>
          </cell>
          <cell r="D2118" t="str">
            <v>KBP76</v>
          </cell>
          <cell r="E2118"/>
        </row>
        <row r="2119">
          <cell r="A2119" t="str">
            <v>2629DF17</v>
          </cell>
          <cell r="D2119" t="str">
            <v>STA156KA</v>
          </cell>
          <cell r="E2119"/>
        </row>
        <row r="2120">
          <cell r="A2120" t="str">
            <v>2629KO27</v>
          </cell>
          <cell r="D2120" t="str">
            <v>KBP74</v>
          </cell>
          <cell r="E2120"/>
        </row>
        <row r="2121">
          <cell r="A2121" t="str">
            <v>2629IY27</v>
          </cell>
          <cell r="D2121" t="str">
            <v>FTW121KR</v>
          </cell>
          <cell r="E2121"/>
        </row>
        <row r="2122">
          <cell r="A2122" t="str">
            <v>2629JF27</v>
          </cell>
          <cell r="D2122" t="str">
            <v>FTW121KR</v>
          </cell>
          <cell r="E2122"/>
        </row>
        <row r="2123">
          <cell r="A2123" t="str">
            <v>2629PQ37</v>
          </cell>
          <cell r="D2123" t="str">
            <v>FTW121KR</v>
          </cell>
          <cell r="E2123"/>
        </row>
        <row r="2124">
          <cell r="A2124" t="str">
            <v>2629PU37</v>
          </cell>
          <cell r="D2124" t="str">
            <v>FTW121KR</v>
          </cell>
          <cell r="E2124"/>
        </row>
        <row r="2125">
          <cell r="A2125" t="str">
            <v>2629Q437</v>
          </cell>
          <cell r="D2125" t="str">
            <v>FTW121KR</v>
          </cell>
          <cell r="E2125"/>
        </row>
        <row r="2126">
          <cell r="A2126" t="str">
            <v>2629Q837</v>
          </cell>
          <cell r="D2126" t="str">
            <v>FTW121KR</v>
          </cell>
          <cell r="E2126"/>
        </row>
        <row r="2127">
          <cell r="A2127" t="str">
            <v>2629QJ37</v>
          </cell>
          <cell r="D2127" t="str">
            <v>FTW121KR</v>
          </cell>
          <cell r="E2127"/>
        </row>
        <row r="2128">
          <cell r="A2128" t="str">
            <v>2629L327</v>
          </cell>
          <cell r="D2128" t="str">
            <v>TTS80</v>
          </cell>
          <cell r="E2128"/>
        </row>
        <row r="2129">
          <cell r="A2129" t="str">
            <v>2629LC27</v>
          </cell>
          <cell r="D2129" t="str">
            <v>TTS80</v>
          </cell>
          <cell r="E2129"/>
        </row>
        <row r="2130">
          <cell r="A2130" t="str">
            <v>2629LD27</v>
          </cell>
          <cell r="D2130" t="str">
            <v>TTS80</v>
          </cell>
          <cell r="E2130"/>
        </row>
        <row r="2131">
          <cell r="A2131" t="str">
            <v>2629LE27</v>
          </cell>
          <cell r="D2131" t="str">
            <v>TTS80</v>
          </cell>
          <cell r="E2131"/>
        </row>
        <row r="2132">
          <cell r="A2132" t="str">
            <v>2629LF27</v>
          </cell>
          <cell r="D2132" t="str">
            <v>TTS80</v>
          </cell>
          <cell r="E2132"/>
        </row>
        <row r="2133">
          <cell r="A2133" t="str">
            <v>2629LK27</v>
          </cell>
          <cell r="D2133" t="str">
            <v>TTS80</v>
          </cell>
          <cell r="E2133"/>
        </row>
        <row r="2134">
          <cell r="A2134" t="str">
            <v>2629OX17</v>
          </cell>
          <cell r="D2134" t="str">
            <v>KBP76</v>
          </cell>
          <cell r="E2134"/>
        </row>
        <row r="2135">
          <cell r="A2135" t="str">
            <v>2629P217</v>
          </cell>
          <cell r="D2135" t="str">
            <v>KBP76</v>
          </cell>
          <cell r="E2135"/>
        </row>
        <row r="2136">
          <cell r="A2136" t="str">
            <v>2629P617</v>
          </cell>
          <cell r="D2136" t="str">
            <v>KBP76</v>
          </cell>
          <cell r="E2136"/>
        </row>
        <row r="2137">
          <cell r="A2137" t="str">
            <v>2629EK27</v>
          </cell>
          <cell r="D2137" t="str">
            <v>KBP76</v>
          </cell>
          <cell r="E2137"/>
        </row>
        <row r="2138">
          <cell r="A2138" t="str">
            <v>2629EL27</v>
          </cell>
          <cell r="D2138" t="str">
            <v>KBP76</v>
          </cell>
          <cell r="E2138"/>
        </row>
        <row r="2139">
          <cell r="A2139" t="str">
            <v>2629EM27</v>
          </cell>
          <cell r="D2139" t="str">
            <v>KBP76</v>
          </cell>
          <cell r="E2139"/>
        </row>
        <row r="2140">
          <cell r="A2140" t="str">
            <v>2629KX17</v>
          </cell>
          <cell r="D2140" t="str">
            <v>KBP86</v>
          </cell>
          <cell r="E2140"/>
        </row>
        <row r="2141">
          <cell r="A2141" t="str">
            <v>2629CW27</v>
          </cell>
          <cell r="D2141" t="str">
            <v>KBP86</v>
          </cell>
          <cell r="E2141"/>
        </row>
        <row r="2142">
          <cell r="A2142" t="str">
            <v>2629Q717</v>
          </cell>
          <cell r="D2142" t="str">
            <v>KBP86</v>
          </cell>
          <cell r="E2142"/>
        </row>
        <row r="2143">
          <cell r="A2143" t="str">
            <v>2629JN27</v>
          </cell>
          <cell r="D2143" t="str">
            <v>KBP86</v>
          </cell>
          <cell r="E2143"/>
        </row>
        <row r="2144">
          <cell r="A2144" t="str">
            <v>2629U737</v>
          </cell>
          <cell r="D2144" t="str">
            <v>S706</v>
          </cell>
          <cell r="E2144"/>
        </row>
        <row r="2145">
          <cell r="A2145" t="str">
            <v>2629U937</v>
          </cell>
          <cell r="D2145" t="str">
            <v>S706</v>
          </cell>
          <cell r="E2145"/>
        </row>
        <row r="2146">
          <cell r="A2146" t="str">
            <v>2629UE37</v>
          </cell>
          <cell r="D2146" t="str">
            <v>S706</v>
          </cell>
          <cell r="E2146"/>
        </row>
        <row r="2147">
          <cell r="A2147" t="str">
            <v>2629UJ37</v>
          </cell>
          <cell r="D2147" t="str">
            <v>S706</v>
          </cell>
          <cell r="E2147"/>
        </row>
        <row r="2148">
          <cell r="A2148" t="str">
            <v>2629UQ37</v>
          </cell>
          <cell r="D2148" t="str">
            <v>S706</v>
          </cell>
          <cell r="E2148"/>
        </row>
        <row r="2149">
          <cell r="A2149" t="str">
            <v>2629UR37</v>
          </cell>
          <cell r="D2149" t="str">
            <v>S706</v>
          </cell>
          <cell r="E2149"/>
        </row>
        <row r="2150">
          <cell r="A2150" t="str">
            <v>2629EN27</v>
          </cell>
          <cell r="D2150" t="str">
            <v>TTS50</v>
          </cell>
          <cell r="E2150"/>
        </row>
        <row r="2151">
          <cell r="A2151" t="str">
            <v>2628E657</v>
          </cell>
          <cell r="D2151" t="str">
            <v>TTS50</v>
          </cell>
          <cell r="E2151"/>
        </row>
        <row r="2152">
          <cell r="A2152" t="str">
            <v>2628DY67</v>
          </cell>
          <cell r="D2152" t="str">
            <v>TTS50</v>
          </cell>
          <cell r="E2152"/>
        </row>
        <row r="2153">
          <cell r="A2153" t="str">
            <v>2628DZ67</v>
          </cell>
          <cell r="D2153" t="str">
            <v>TTS50</v>
          </cell>
          <cell r="E2153"/>
        </row>
        <row r="2154">
          <cell r="A2154" t="str">
            <v>2629LG17</v>
          </cell>
          <cell r="D2154" t="str">
            <v>TTS50</v>
          </cell>
          <cell r="E2154"/>
        </row>
        <row r="2155">
          <cell r="A2155" t="str">
            <v>2629LI17</v>
          </cell>
          <cell r="D2155" t="str">
            <v>TTS50</v>
          </cell>
          <cell r="E2155"/>
        </row>
        <row r="2156">
          <cell r="A2156" t="str">
            <v>2629LK17</v>
          </cell>
          <cell r="D2156" t="str">
            <v>TTS50</v>
          </cell>
          <cell r="E2156"/>
        </row>
        <row r="2157">
          <cell r="A2157" t="str">
            <v>2629LN17</v>
          </cell>
          <cell r="D2157" t="str">
            <v>TTS50</v>
          </cell>
          <cell r="E2157"/>
        </row>
        <row r="2158">
          <cell r="A2158" t="str">
            <v>2629LT17</v>
          </cell>
          <cell r="D2158" t="str">
            <v>TTS50</v>
          </cell>
          <cell r="E2158"/>
        </row>
        <row r="2159">
          <cell r="A2159" t="str">
            <v>2629O517</v>
          </cell>
          <cell r="D2159" t="str">
            <v>TTS50</v>
          </cell>
          <cell r="E2159"/>
        </row>
        <row r="2160">
          <cell r="A2160" t="str">
            <v>2629O817</v>
          </cell>
          <cell r="D2160" t="str">
            <v>TTS50</v>
          </cell>
          <cell r="E2160"/>
        </row>
        <row r="2161">
          <cell r="A2161" t="str">
            <v>2629OD17</v>
          </cell>
          <cell r="D2161" t="str">
            <v>TTS50</v>
          </cell>
          <cell r="E2161"/>
        </row>
        <row r="2162">
          <cell r="A2162" t="str">
            <v>2629OH17</v>
          </cell>
          <cell r="D2162" t="str">
            <v>TTS50</v>
          </cell>
          <cell r="E2162"/>
        </row>
        <row r="2163">
          <cell r="A2163" t="str">
            <v>2629OK17</v>
          </cell>
          <cell r="D2163" t="str">
            <v>TTS50</v>
          </cell>
          <cell r="E2163"/>
        </row>
        <row r="2164">
          <cell r="A2164" t="str">
            <v>2629OT17</v>
          </cell>
          <cell r="D2164" t="str">
            <v>TTS50</v>
          </cell>
          <cell r="E2164"/>
        </row>
        <row r="2165">
          <cell r="A2165" t="str">
            <v>2629DY27</v>
          </cell>
          <cell r="D2165" t="str">
            <v>TTS50</v>
          </cell>
          <cell r="E2165"/>
        </row>
        <row r="2166">
          <cell r="A2166" t="str">
            <v>2629E827</v>
          </cell>
          <cell r="D2166" t="str">
            <v>TTS50</v>
          </cell>
          <cell r="E2166"/>
        </row>
        <row r="2167">
          <cell r="A2167" t="str">
            <v>2628F857</v>
          </cell>
          <cell r="D2167" t="str">
            <v>KBP44</v>
          </cell>
          <cell r="E2167"/>
        </row>
        <row r="2168">
          <cell r="A2168" t="str">
            <v>2629SD17</v>
          </cell>
          <cell r="D2168" t="str">
            <v>KBP76</v>
          </cell>
          <cell r="E2168"/>
        </row>
        <row r="2169">
          <cell r="A2169" t="str">
            <v>2628UP57</v>
          </cell>
          <cell r="D2169" t="str">
            <v>STA156KA</v>
          </cell>
          <cell r="E2169"/>
        </row>
        <row r="2170">
          <cell r="A2170" t="str">
            <v>2629DA27</v>
          </cell>
          <cell r="D2170" t="str">
            <v>STA156KA</v>
          </cell>
          <cell r="E2170"/>
        </row>
        <row r="2171">
          <cell r="A2171" t="str">
            <v>2629SN17</v>
          </cell>
          <cell r="D2171" t="str">
            <v>KBP76</v>
          </cell>
          <cell r="E2171"/>
        </row>
        <row r="2172">
          <cell r="A2172" t="str">
            <v>2629V637</v>
          </cell>
          <cell r="D2172" t="str">
            <v>KBP76</v>
          </cell>
          <cell r="E2172"/>
        </row>
        <row r="2173">
          <cell r="A2173" t="str">
            <v>2628HV67</v>
          </cell>
          <cell r="D2173" t="str">
            <v>KBP55</v>
          </cell>
          <cell r="E2173"/>
        </row>
        <row r="2174">
          <cell r="A2174" t="str">
            <v>2628I267</v>
          </cell>
          <cell r="D2174" t="str">
            <v>KBP55</v>
          </cell>
          <cell r="E2174"/>
        </row>
        <row r="2175">
          <cell r="A2175" t="str">
            <v>2628I867</v>
          </cell>
          <cell r="D2175" t="str">
            <v>KBP55</v>
          </cell>
          <cell r="E2175"/>
        </row>
        <row r="2176">
          <cell r="A2176" t="str">
            <v>2628LO67</v>
          </cell>
          <cell r="D2176" t="str">
            <v>KBP55</v>
          </cell>
          <cell r="E2176"/>
        </row>
        <row r="2177">
          <cell r="A2177" t="str">
            <v>2629SH17</v>
          </cell>
          <cell r="D2177" t="str">
            <v>KBP76</v>
          </cell>
          <cell r="E2177"/>
        </row>
        <row r="2178">
          <cell r="A2178" t="str">
            <v>2628SV57</v>
          </cell>
          <cell r="D2178" t="str">
            <v>KBP86</v>
          </cell>
          <cell r="E2178"/>
        </row>
        <row r="2179">
          <cell r="A2179" t="str">
            <v>2628SX57</v>
          </cell>
          <cell r="D2179" t="str">
            <v>KBP86</v>
          </cell>
          <cell r="E2179"/>
        </row>
        <row r="2180">
          <cell r="A2180" t="str">
            <v>2628LA67</v>
          </cell>
          <cell r="D2180" t="str">
            <v>STA156KA</v>
          </cell>
          <cell r="E2180"/>
        </row>
        <row r="2181">
          <cell r="A2181" t="str">
            <v>2628LB67</v>
          </cell>
          <cell r="D2181" t="str">
            <v>STA156KA</v>
          </cell>
          <cell r="E2181"/>
        </row>
        <row r="2182">
          <cell r="A2182" t="str">
            <v>2628LE67</v>
          </cell>
          <cell r="D2182" t="str">
            <v>STA156KA</v>
          </cell>
          <cell r="E2182"/>
        </row>
        <row r="2183">
          <cell r="A2183" t="str">
            <v>2628LF67</v>
          </cell>
          <cell r="D2183" t="str">
            <v>STA156KA</v>
          </cell>
          <cell r="E2183"/>
        </row>
        <row r="2184">
          <cell r="A2184" t="str">
            <v>2628L647</v>
          </cell>
          <cell r="D2184" t="str">
            <v>STA156KR</v>
          </cell>
          <cell r="E2184"/>
        </row>
        <row r="2185">
          <cell r="A2185" t="str">
            <v>2628FU80</v>
          </cell>
          <cell r="D2185" t="str">
            <v xml:space="preserve">STA200KA  </v>
          </cell>
          <cell r="E2185"/>
        </row>
        <row r="2186">
          <cell r="A2186" t="str">
            <v>2629JR27</v>
          </cell>
          <cell r="D2186" t="str">
            <v>FTP200</v>
          </cell>
          <cell r="E2186"/>
        </row>
        <row r="2187">
          <cell r="A2187" t="str">
            <v>2629VI37</v>
          </cell>
          <cell r="D2187" t="str">
            <v>KBP74</v>
          </cell>
          <cell r="E2187"/>
        </row>
        <row r="2188">
          <cell r="A2188" t="str">
            <v>2629J427</v>
          </cell>
          <cell r="D2188" t="str">
            <v>FTW121KR</v>
          </cell>
          <cell r="E2188"/>
        </row>
        <row r="2189">
          <cell r="A2189" t="str">
            <v>2629PP37</v>
          </cell>
          <cell r="D2189" t="str">
            <v>FTW121KR</v>
          </cell>
          <cell r="E2189"/>
        </row>
        <row r="2190">
          <cell r="A2190" t="str">
            <v>2629PW37</v>
          </cell>
          <cell r="D2190" t="str">
            <v>FTW121KR</v>
          </cell>
          <cell r="E2190"/>
        </row>
        <row r="2191">
          <cell r="A2191" t="str">
            <v>2629Q737</v>
          </cell>
          <cell r="D2191" t="str">
            <v>FTW121KR</v>
          </cell>
          <cell r="E2191"/>
        </row>
        <row r="2192">
          <cell r="A2192" t="str">
            <v>2629QB37</v>
          </cell>
          <cell r="D2192" t="str">
            <v>FTW121KR</v>
          </cell>
          <cell r="E2192"/>
        </row>
        <row r="2193">
          <cell r="A2193" t="str">
            <v>2629QC37</v>
          </cell>
          <cell r="D2193" t="str">
            <v>FTW121KR</v>
          </cell>
          <cell r="E2193"/>
        </row>
        <row r="2194">
          <cell r="A2194" t="str">
            <v>2629QI37</v>
          </cell>
          <cell r="D2194" t="str">
            <v>FTW121KR</v>
          </cell>
          <cell r="E2194"/>
        </row>
        <row r="2195">
          <cell r="A2195" t="str">
            <v>2629QL37</v>
          </cell>
          <cell r="D2195" t="str">
            <v>FTW121KR</v>
          </cell>
          <cell r="E2195"/>
        </row>
        <row r="2196">
          <cell r="A2196" t="str">
            <v>2629O947</v>
          </cell>
          <cell r="D2196" t="str">
            <v>FTW121KR</v>
          </cell>
          <cell r="E2196"/>
        </row>
        <row r="2197">
          <cell r="A2197" t="str">
            <v>2629C127</v>
          </cell>
          <cell r="D2197" t="str">
            <v>KBP76</v>
          </cell>
          <cell r="E2197"/>
        </row>
        <row r="2198">
          <cell r="A2198" t="str">
            <v>2629O117</v>
          </cell>
          <cell r="D2198" t="str">
            <v>TTS50</v>
          </cell>
          <cell r="E2198"/>
        </row>
        <row r="2199">
          <cell r="A2199" t="str">
            <v>2629OP17</v>
          </cell>
          <cell r="D2199" t="str">
            <v>TTS50</v>
          </cell>
          <cell r="E2199"/>
        </row>
        <row r="2200">
          <cell r="A2200" t="str">
            <v>2629DW27</v>
          </cell>
          <cell r="D2200" t="str">
            <v>TTS50</v>
          </cell>
          <cell r="E2200"/>
        </row>
        <row r="2201">
          <cell r="A2201" t="str">
            <v>2629DZ27</v>
          </cell>
          <cell r="D2201" t="str">
            <v>TTS50</v>
          </cell>
          <cell r="E2201"/>
        </row>
        <row r="2202">
          <cell r="A2202" t="str">
            <v>2629E627</v>
          </cell>
          <cell r="D2202" t="str">
            <v>TTS50</v>
          </cell>
          <cell r="E2202"/>
        </row>
        <row r="2203">
          <cell r="A2203" t="str">
            <v>2629OU37</v>
          </cell>
          <cell r="D2203" t="str">
            <v>TTS50</v>
          </cell>
          <cell r="E2203"/>
        </row>
        <row r="2204">
          <cell r="A2204" t="str">
            <v>2628D867</v>
          </cell>
          <cell r="D2204" t="str">
            <v>KBP76</v>
          </cell>
          <cell r="E2204"/>
        </row>
        <row r="2205">
          <cell r="A2205" t="str">
            <v>2629SQ17</v>
          </cell>
          <cell r="D2205" t="str">
            <v>STA156KA</v>
          </cell>
          <cell r="E2205"/>
        </row>
        <row r="2206">
          <cell r="A2206" t="str">
            <v>2628LI67</v>
          </cell>
          <cell r="D2206" t="str">
            <v>TTS175</v>
          </cell>
          <cell r="E2206"/>
        </row>
        <row r="2207">
          <cell r="A2207" t="str">
            <v>2628LJ67</v>
          </cell>
          <cell r="D2207" t="str">
            <v>TTS175</v>
          </cell>
          <cell r="E2207"/>
        </row>
        <row r="2208">
          <cell r="A2208" t="str">
            <v>2629LS37</v>
          </cell>
          <cell r="D2208" t="str">
            <v>KBP76</v>
          </cell>
          <cell r="E2208"/>
        </row>
        <row r="2209">
          <cell r="A2209" t="str">
            <v>2629LA37</v>
          </cell>
          <cell r="D2209" t="str">
            <v>KBP126</v>
          </cell>
          <cell r="E2209"/>
        </row>
        <row r="2210">
          <cell r="A2210" t="str">
            <v>2629JP27</v>
          </cell>
          <cell r="D2210" t="str">
            <v>FTP200</v>
          </cell>
          <cell r="E2210"/>
        </row>
        <row r="2211">
          <cell r="A2211" t="str">
            <v>2629JU27</v>
          </cell>
          <cell r="D2211" t="str">
            <v>TTS80</v>
          </cell>
          <cell r="E2211"/>
        </row>
        <row r="2212">
          <cell r="A2212" t="str">
            <v>2629JV27</v>
          </cell>
          <cell r="D2212" t="str">
            <v>TTS80</v>
          </cell>
          <cell r="E2212"/>
        </row>
        <row r="2213">
          <cell r="A2213" t="str">
            <v>2629JW27</v>
          </cell>
          <cell r="D2213" t="str">
            <v>TTS80</v>
          </cell>
          <cell r="E2213"/>
        </row>
        <row r="2214">
          <cell r="A2214" t="str">
            <v>2629JX27</v>
          </cell>
          <cell r="D2214" t="str">
            <v>TTS80</v>
          </cell>
          <cell r="E2214"/>
        </row>
        <row r="2215">
          <cell r="A2215" t="str">
            <v>2629JY27</v>
          </cell>
          <cell r="D2215" t="str">
            <v>TTS80</v>
          </cell>
          <cell r="E2215"/>
        </row>
        <row r="2216">
          <cell r="A2216" t="str">
            <v>2629SX37</v>
          </cell>
          <cell r="D2216" t="str">
            <v>TTS80</v>
          </cell>
          <cell r="E2216"/>
        </row>
        <row r="2217">
          <cell r="A2217" t="str">
            <v>2629SY37</v>
          </cell>
          <cell r="D2217" t="str">
            <v>TTS80</v>
          </cell>
          <cell r="E2217"/>
        </row>
        <row r="2218">
          <cell r="A2218" t="str">
            <v>2628FV67</v>
          </cell>
          <cell r="D2218" t="str">
            <v>KBP34</v>
          </cell>
          <cell r="E2218"/>
        </row>
        <row r="2219">
          <cell r="A2219" t="str">
            <v>2629SF17</v>
          </cell>
          <cell r="D2219" t="str">
            <v>KBP76</v>
          </cell>
          <cell r="E2219"/>
        </row>
        <row r="2220">
          <cell r="A2220" t="str">
            <v>2629KM27</v>
          </cell>
          <cell r="D2220" t="str">
            <v>KBP76</v>
          </cell>
          <cell r="E2220"/>
        </row>
        <row r="2221">
          <cell r="A2221" t="str">
            <v>2629A927</v>
          </cell>
          <cell r="D2221" t="str">
            <v>KBP126</v>
          </cell>
          <cell r="E2221"/>
        </row>
        <row r="2222">
          <cell r="A2222" t="str">
            <v>2629PR37</v>
          </cell>
          <cell r="D2222" t="str">
            <v>FTW121KR</v>
          </cell>
          <cell r="E2222"/>
        </row>
        <row r="2223">
          <cell r="A2223" t="str">
            <v>2629PS37</v>
          </cell>
          <cell r="D2223" t="str">
            <v>FTW121KR</v>
          </cell>
          <cell r="E2223"/>
        </row>
        <row r="2224">
          <cell r="A2224" t="str">
            <v>2629PZ37</v>
          </cell>
          <cell r="D2224" t="str">
            <v>FTW121KR</v>
          </cell>
          <cell r="E2224"/>
        </row>
        <row r="2225">
          <cell r="A2225" t="str">
            <v>2629Q237</v>
          </cell>
          <cell r="D2225" t="str">
            <v>FTW121KR</v>
          </cell>
          <cell r="E2225"/>
        </row>
        <row r="2226">
          <cell r="A2226" t="str">
            <v>2629Q337</v>
          </cell>
          <cell r="D2226" t="str">
            <v>FTW121KR</v>
          </cell>
          <cell r="E2226"/>
        </row>
        <row r="2227">
          <cell r="A2227" t="str">
            <v>2629Q637</v>
          </cell>
          <cell r="D2227" t="str">
            <v>FTW121KR</v>
          </cell>
          <cell r="E2227"/>
        </row>
        <row r="2228">
          <cell r="A2228" t="str">
            <v>2629QA37</v>
          </cell>
          <cell r="D2228" t="str">
            <v>FTW121KR</v>
          </cell>
          <cell r="E2228"/>
        </row>
        <row r="2229">
          <cell r="A2229" t="str">
            <v>2629JM27</v>
          </cell>
          <cell r="D2229" t="str">
            <v>KBP86</v>
          </cell>
          <cell r="E2229"/>
        </row>
        <row r="2230">
          <cell r="A2230" t="str">
            <v>2628FS67</v>
          </cell>
          <cell r="D2230" t="str">
            <v>FTP200</v>
          </cell>
          <cell r="E2230"/>
        </row>
        <row r="2231">
          <cell r="A2231" t="str">
            <v>2629QG17</v>
          </cell>
          <cell r="D2231" t="str">
            <v>FTP200</v>
          </cell>
          <cell r="E2231"/>
        </row>
        <row r="2232">
          <cell r="A2232" t="str">
            <v>2629QH17</v>
          </cell>
          <cell r="D2232" t="str">
            <v>FTP200</v>
          </cell>
          <cell r="E2232"/>
        </row>
        <row r="2233">
          <cell r="A2233" t="str">
            <v>2629QI17</v>
          </cell>
          <cell r="D2233" t="str">
            <v>FTP200</v>
          </cell>
          <cell r="E2233"/>
        </row>
        <row r="2234">
          <cell r="A2234" t="str">
            <v>2628DB67</v>
          </cell>
          <cell r="D2234" t="str">
            <v>KBP76</v>
          </cell>
          <cell r="E2234"/>
        </row>
        <row r="2235">
          <cell r="A2235" t="str">
            <v>2629IM27</v>
          </cell>
          <cell r="D2235" t="str">
            <v>KBP76</v>
          </cell>
          <cell r="E2235"/>
        </row>
        <row r="2236">
          <cell r="A2236" t="str">
            <v>2629ST17</v>
          </cell>
          <cell r="D2236" t="str">
            <v>KBP74</v>
          </cell>
          <cell r="E2236"/>
        </row>
        <row r="2237">
          <cell r="A2237" t="str">
            <v>2629VH37</v>
          </cell>
          <cell r="D2237" t="str">
            <v>KBP74</v>
          </cell>
          <cell r="E2237"/>
        </row>
        <row r="2238">
          <cell r="A2238" t="str">
            <v>2629QE37</v>
          </cell>
          <cell r="D2238" t="str">
            <v>FTW121KR</v>
          </cell>
          <cell r="E2238"/>
        </row>
        <row r="2239">
          <cell r="A2239" t="str">
            <v>2629QG37</v>
          </cell>
          <cell r="D2239" t="str">
            <v>FTW121KR</v>
          </cell>
          <cell r="E2239"/>
        </row>
        <row r="2240">
          <cell r="A2240" t="str">
            <v>2629QH37</v>
          </cell>
          <cell r="D2240" t="str">
            <v>FTW121KR</v>
          </cell>
          <cell r="E2240"/>
        </row>
        <row r="2241">
          <cell r="A2241" t="str">
            <v>2629QK37</v>
          </cell>
          <cell r="D2241" t="str">
            <v>FTW121KR</v>
          </cell>
          <cell r="E2241"/>
        </row>
        <row r="2242">
          <cell r="A2242" t="str">
            <v>2629DC17</v>
          </cell>
          <cell r="D2242" t="str">
            <v>STA156KA</v>
          </cell>
          <cell r="E2242"/>
        </row>
        <row r="2243">
          <cell r="A2243" t="str">
            <v>2629QQ17</v>
          </cell>
          <cell r="D2243" t="str">
            <v>TTS80</v>
          </cell>
          <cell r="E2243"/>
        </row>
        <row r="2244">
          <cell r="A2244" t="str">
            <v>2629QR17</v>
          </cell>
          <cell r="D2244" t="str">
            <v>TTS80</v>
          </cell>
          <cell r="E2244"/>
        </row>
        <row r="2245">
          <cell r="A2245" t="str">
            <v>2629QS17</v>
          </cell>
          <cell r="D2245" t="str">
            <v>TTS80</v>
          </cell>
          <cell r="E2245"/>
        </row>
        <row r="2246">
          <cell r="A2246" t="str">
            <v>2629JS27</v>
          </cell>
          <cell r="D2246" t="str">
            <v>TTS80</v>
          </cell>
          <cell r="E2246"/>
        </row>
        <row r="2247">
          <cell r="A2247" t="str">
            <v>2629JT27</v>
          </cell>
          <cell r="D2247" t="str">
            <v>TTS80</v>
          </cell>
          <cell r="E2247"/>
        </row>
        <row r="2248">
          <cell r="A2248" t="str">
            <v>2628LE57</v>
          </cell>
          <cell r="D2248" t="str">
            <v>STA156KA</v>
          </cell>
          <cell r="E2248"/>
        </row>
        <row r="2249">
          <cell r="A2249" t="str">
            <v>2629KA47</v>
          </cell>
          <cell r="D2249" t="str">
            <v>KBP76</v>
          </cell>
          <cell r="E2249"/>
        </row>
        <row r="2250">
          <cell r="A2250" t="str">
            <v>2629PT37</v>
          </cell>
          <cell r="D2250" t="str">
            <v>FTW121KR</v>
          </cell>
          <cell r="E2250"/>
        </row>
        <row r="2251">
          <cell r="A2251" t="str">
            <v>2629Q937</v>
          </cell>
          <cell r="D2251" t="str">
            <v>FTW121KR</v>
          </cell>
          <cell r="E2251"/>
        </row>
        <row r="2252">
          <cell r="A2252" t="str">
            <v>2629QM37</v>
          </cell>
          <cell r="D2252" t="str">
            <v>FTW121KR</v>
          </cell>
          <cell r="E2252"/>
        </row>
        <row r="2253">
          <cell r="A2253" t="str">
            <v>2629O747</v>
          </cell>
          <cell r="D2253" t="str">
            <v>FTW121KR</v>
          </cell>
          <cell r="E2253"/>
        </row>
        <row r="2254">
          <cell r="A2254" t="str">
            <v>2629OA47</v>
          </cell>
          <cell r="D2254" t="str">
            <v>FTW121KR</v>
          </cell>
          <cell r="E2254"/>
        </row>
        <row r="2255">
          <cell r="A2255" t="str">
            <v>2629OD47</v>
          </cell>
          <cell r="D2255" t="str">
            <v>FTW121KR</v>
          </cell>
          <cell r="E2255"/>
        </row>
        <row r="2256">
          <cell r="A2256" t="str">
            <v>2629OF47</v>
          </cell>
          <cell r="D2256" t="str">
            <v>FTW121KR</v>
          </cell>
          <cell r="E2256"/>
        </row>
        <row r="2257">
          <cell r="A2257" t="str">
            <v>2629OH47</v>
          </cell>
          <cell r="D2257" t="str">
            <v>FTW121KR</v>
          </cell>
          <cell r="E2257"/>
        </row>
        <row r="2258">
          <cell r="A2258" t="str">
            <v>2629OT47</v>
          </cell>
          <cell r="D2258" t="str">
            <v>FTW121KR</v>
          </cell>
          <cell r="E2258"/>
        </row>
        <row r="2259">
          <cell r="A2259" t="str">
            <v>2629OU47</v>
          </cell>
          <cell r="D2259" t="str">
            <v>FTW121KR</v>
          </cell>
          <cell r="E2259"/>
        </row>
        <row r="2260">
          <cell r="A2260" t="str">
            <v>2629OY47</v>
          </cell>
          <cell r="D2260" t="str">
            <v>FTW121KR</v>
          </cell>
          <cell r="E2260"/>
        </row>
        <row r="2261">
          <cell r="A2261" t="str">
            <v>2629P147</v>
          </cell>
          <cell r="D2261" t="str">
            <v>FTW121KR</v>
          </cell>
          <cell r="E2261"/>
        </row>
        <row r="2262">
          <cell r="A2262" t="str">
            <v>2629P447</v>
          </cell>
          <cell r="D2262" t="str">
            <v>FTW121KR</v>
          </cell>
          <cell r="E2262"/>
        </row>
        <row r="2263">
          <cell r="A2263" t="str">
            <v>2629L127</v>
          </cell>
          <cell r="D2263" t="str">
            <v>TTS80</v>
          </cell>
          <cell r="E2263"/>
        </row>
        <row r="2264">
          <cell r="A2264" t="str">
            <v>2629L227</v>
          </cell>
          <cell r="D2264" t="str">
            <v>TTS80</v>
          </cell>
          <cell r="E2264"/>
        </row>
        <row r="2265">
          <cell r="A2265" t="str">
            <v>2629L827</v>
          </cell>
          <cell r="D2265" t="str">
            <v>TTS80</v>
          </cell>
          <cell r="E2265"/>
        </row>
        <row r="2266">
          <cell r="A2266" t="str">
            <v>2629LA27</v>
          </cell>
          <cell r="D2266" t="str">
            <v>TTS80</v>
          </cell>
          <cell r="E2266"/>
        </row>
        <row r="2267">
          <cell r="A2267" t="str">
            <v>2629LG27</v>
          </cell>
          <cell r="D2267" t="str">
            <v>TTS80</v>
          </cell>
          <cell r="E2267"/>
        </row>
        <row r="2268">
          <cell r="A2268" t="str">
            <v>2629VS37</v>
          </cell>
          <cell r="D2268" t="str">
            <v>TTS80</v>
          </cell>
          <cell r="E2268"/>
        </row>
        <row r="2269">
          <cell r="A2269" t="str">
            <v>2629VU37</v>
          </cell>
          <cell r="D2269" t="str">
            <v>TTS80</v>
          </cell>
          <cell r="E2269"/>
        </row>
        <row r="2270">
          <cell r="A2270" t="str">
            <v>2629VW37</v>
          </cell>
          <cell r="D2270" t="str">
            <v>TTS80</v>
          </cell>
          <cell r="E2270"/>
        </row>
        <row r="2271">
          <cell r="A2271" t="str">
            <v>2629SJ47</v>
          </cell>
          <cell r="D2271" t="str">
            <v>TTS80</v>
          </cell>
          <cell r="E2271"/>
        </row>
        <row r="2272">
          <cell r="A2272" t="str">
            <v>2629SL47</v>
          </cell>
          <cell r="D2272" t="str">
            <v>TTS80</v>
          </cell>
          <cell r="E2272"/>
        </row>
        <row r="2273">
          <cell r="A2273" t="str">
            <v>2629SP47</v>
          </cell>
          <cell r="D2273" t="str">
            <v>TTS80</v>
          </cell>
          <cell r="E2273"/>
        </row>
        <row r="2274">
          <cell r="A2274" t="str">
            <v>2629SV47</v>
          </cell>
          <cell r="D2274" t="str">
            <v>TTS80</v>
          </cell>
          <cell r="E2274"/>
        </row>
        <row r="2275">
          <cell r="A2275" t="str">
            <v>2629SX47</v>
          </cell>
          <cell r="D2275" t="str">
            <v>TTS80</v>
          </cell>
          <cell r="E2275"/>
        </row>
        <row r="2276">
          <cell r="A2276" t="str">
            <v>2629SZ47</v>
          </cell>
          <cell r="D2276" t="str">
            <v>TTS80</v>
          </cell>
          <cell r="E2276"/>
        </row>
        <row r="2277">
          <cell r="A2277" t="str">
            <v>2629U647</v>
          </cell>
          <cell r="D2277" t="str">
            <v>TTS80</v>
          </cell>
          <cell r="E2277"/>
        </row>
        <row r="2278">
          <cell r="A2278" t="str">
            <v>2629U747</v>
          </cell>
          <cell r="D2278" t="str">
            <v>TTS80</v>
          </cell>
          <cell r="E2278"/>
        </row>
        <row r="2279">
          <cell r="A2279" t="str">
            <v>2629I547</v>
          </cell>
          <cell r="D2279" t="str">
            <v>KBP76</v>
          </cell>
          <cell r="E2279"/>
        </row>
        <row r="2280">
          <cell r="A2280" t="str">
            <v>2629PH37</v>
          </cell>
          <cell r="D2280" t="str">
            <v>KBP76</v>
          </cell>
          <cell r="E2280"/>
        </row>
        <row r="2281">
          <cell r="A2281" t="str">
            <v>2629B647</v>
          </cell>
          <cell r="D2281" t="str">
            <v>KBP76</v>
          </cell>
          <cell r="E2281"/>
        </row>
        <row r="2282">
          <cell r="A2282" t="str">
            <v>2629BB47</v>
          </cell>
          <cell r="D2282" t="str">
            <v>KBP76</v>
          </cell>
          <cell r="E2282"/>
        </row>
        <row r="2283">
          <cell r="A2283" t="str">
            <v>2629BC47</v>
          </cell>
          <cell r="D2283" t="str">
            <v>KBP76</v>
          </cell>
          <cell r="E2283"/>
        </row>
        <row r="2284">
          <cell r="A2284" t="str">
            <v>2629CV27</v>
          </cell>
          <cell r="D2284" t="str">
            <v>KBP86</v>
          </cell>
          <cell r="E2284"/>
        </row>
        <row r="2285">
          <cell r="A2285" t="str">
            <v>2629CZ27</v>
          </cell>
          <cell r="D2285" t="str">
            <v>KBP86</v>
          </cell>
          <cell r="E2285"/>
        </row>
        <row r="2286">
          <cell r="A2286" t="str">
            <v>2629IK27</v>
          </cell>
          <cell r="D2286" t="str">
            <v>KBP86</v>
          </cell>
          <cell r="E2286"/>
        </row>
        <row r="2287">
          <cell r="A2287" t="str">
            <v>2629IL27</v>
          </cell>
          <cell r="D2287" t="str">
            <v>KBP86</v>
          </cell>
          <cell r="E2287"/>
        </row>
        <row r="2288">
          <cell r="A2288" t="str">
            <v>2629KD27</v>
          </cell>
          <cell r="D2288" t="str">
            <v>KBP76</v>
          </cell>
          <cell r="E2288"/>
        </row>
        <row r="2289">
          <cell r="A2289" t="str">
            <v>2629SY17</v>
          </cell>
          <cell r="D2289" t="str">
            <v>TTS50</v>
          </cell>
          <cell r="E2289"/>
        </row>
        <row r="2290">
          <cell r="A2290" t="str">
            <v>2628IM67</v>
          </cell>
          <cell r="D2290" t="str">
            <v>FTP200</v>
          </cell>
          <cell r="E2290"/>
        </row>
        <row r="2291">
          <cell r="A2291" t="str">
            <v>2628IN67</v>
          </cell>
          <cell r="D2291" t="str">
            <v>FTP200</v>
          </cell>
          <cell r="E2291"/>
        </row>
        <row r="2292">
          <cell r="A2292" t="str">
            <v>2628E467</v>
          </cell>
          <cell r="D2292" t="str">
            <v>TTS50</v>
          </cell>
          <cell r="E2292"/>
        </row>
        <row r="2293">
          <cell r="A2293" t="str">
            <v>2629LH17</v>
          </cell>
          <cell r="D2293" t="str">
            <v>TTS50</v>
          </cell>
          <cell r="E2293"/>
        </row>
        <row r="2294">
          <cell r="A2294" t="str">
            <v>2629LR17</v>
          </cell>
          <cell r="D2294" t="str">
            <v>TTS50</v>
          </cell>
          <cell r="E2294"/>
        </row>
        <row r="2295">
          <cell r="A2295" t="str">
            <v>2629LS17</v>
          </cell>
          <cell r="D2295" t="str">
            <v>TTS50</v>
          </cell>
          <cell r="E2295"/>
        </row>
        <row r="2296">
          <cell r="A2296" t="str">
            <v>2629OL17</v>
          </cell>
          <cell r="D2296" t="str">
            <v>TTS50</v>
          </cell>
          <cell r="E2296"/>
        </row>
        <row r="2297">
          <cell r="A2297" t="str">
            <v>2629DO27</v>
          </cell>
          <cell r="D2297" t="str">
            <v>TTS50</v>
          </cell>
          <cell r="E2297"/>
        </row>
        <row r="2298">
          <cell r="A2298" t="str">
            <v>2629DR27</v>
          </cell>
          <cell r="D2298" t="str">
            <v>TTS50</v>
          </cell>
          <cell r="E2298"/>
        </row>
        <row r="2299">
          <cell r="A2299" t="str">
            <v>2629DT27</v>
          </cell>
          <cell r="D2299" t="str">
            <v>TTS50</v>
          </cell>
          <cell r="E2299"/>
        </row>
        <row r="2300">
          <cell r="A2300" t="str">
            <v>2629DV27</v>
          </cell>
          <cell r="D2300" t="str">
            <v>TTS50</v>
          </cell>
          <cell r="E2300"/>
        </row>
        <row r="2301">
          <cell r="A2301" t="str">
            <v>2629DX27</v>
          </cell>
          <cell r="D2301" t="str">
            <v>TTS50</v>
          </cell>
          <cell r="E2301"/>
        </row>
        <row r="2302">
          <cell r="A2302" t="str">
            <v>2629E427</v>
          </cell>
          <cell r="D2302" t="str">
            <v>TTS50</v>
          </cell>
          <cell r="E2302"/>
        </row>
        <row r="2303">
          <cell r="A2303" t="str">
            <v>2629E727</v>
          </cell>
          <cell r="D2303" t="str">
            <v>TTS50</v>
          </cell>
          <cell r="E2303"/>
        </row>
        <row r="2304">
          <cell r="A2304" t="str">
            <v>2629EA27</v>
          </cell>
          <cell r="D2304" t="str">
            <v>TTS50</v>
          </cell>
          <cell r="E2304"/>
        </row>
        <row r="2305">
          <cell r="A2305" t="str">
            <v>2629ED27</v>
          </cell>
          <cell r="D2305" t="str">
            <v>TTS50</v>
          </cell>
          <cell r="E2305"/>
        </row>
        <row r="2306">
          <cell r="A2306" t="str">
            <v>2629LW37</v>
          </cell>
          <cell r="D2306" t="str">
            <v>TTS50</v>
          </cell>
          <cell r="E2306"/>
        </row>
        <row r="2307">
          <cell r="A2307" t="str">
            <v>2629LZ37</v>
          </cell>
          <cell r="D2307" t="str">
            <v>TTS50</v>
          </cell>
          <cell r="E2307"/>
        </row>
        <row r="2308">
          <cell r="A2308" t="str">
            <v>2629O437</v>
          </cell>
          <cell r="D2308" t="str">
            <v>TTS50</v>
          </cell>
          <cell r="E2308"/>
        </row>
        <row r="2309">
          <cell r="A2309" t="str">
            <v>2629O637</v>
          </cell>
          <cell r="D2309" t="str">
            <v>TTS50</v>
          </cell>
          <cell r="E2309"/>
        </row>
        <row r="2310">
          <cell r="A2310" t="str">
            <v>2629OJ37</v>
          </cell>
          <cell r="D2310" t="str">
            <v>TTS50</v>
          </cell>
          <cell r="E2310"/>
        </row>
        <row r="2311">
          <cell r="A2311" t="str">
            <v>2629OM37</v>
          </cell>
          <cell r="D2311" t="str">
            <v>TTS50</v>
          </cell>
          <cell r="E2311"/>
        </row>
        <row r="2312">
          <cell r="A2312" t="str">
            <v>2629OV37</v>
          </cell>
          <cell r="D2312" t="str">
            <v>TTS50</v>
          </cell>
          <cell r="E2312"/>
        </row>
        <row r="2313">
          <cell r="A2313" t="str">
            <v>2629OY37</v>
          </cell>
          <cell r="D2313" t="str">
            <v>TTS50</v>
          </cell>
          <cell r="E2313"/>
        </row>
        <row r="2314">
          <cell r="A2314" t="str">
            <v>2629P337</v>
          </cell>
          <cell r="D2314" t="str">
            <v>TTS50</v>
          </cell>
          <cell r="E2314"/>
        </row>
        <row r="2315">
          <cell r="A2315" t="str">
            <v>2629P637</v>
          </cell>
          <cell r="D2315" t="str">
            <v>TTS50</v>
          </cell>
          <cell r="E2315"/>
        </row>
        <row r="2316">
          <cell r="A2316" t="str">
            <v>2629P837</v>
          </cell>
          <cell r="D2316" t="str">
            <v>TTS50</v>
          </cell>
          <cell r="E2316"/>
        </row>
        <row r="2317">
          <cell r="A2317" t="str">
            <v>2628UO57</v>
          </cell>
          <cell r="D2317" t="str">
            <v>STA156KA</v>
          </cell>
          <cell r="E2317"/>
        </row>
        <row r="2318">
          <cell r="A2318" t="str">
            <v>2628LP67</v>
          </cell>
          <cell r="D2318" t="str">
            <v>KBP55</v>
          </cell>
          <cell r="E2318"/>
        </row>
        <row r="2319">
          <cell r="A2319" t="str">
            <v>2628LW67</v>
          </cell>
          <cell r="D2319" t="str">
            <v>KBP55</v>
          </cell>
          <cell r="E2319"/>
        </row>
        <row r="2320">
          <cell r="A2320" t="str">
            <v>2629U217</v>
          </cell>
          <cell r="D2320" t="str">
            <v>KBP55</v>
          </cell>
          <cell r="E2320"/>
        </row>
        <row r="2321">
          <cell r="A2321" t="str">
            <v>2629U317</v>
          </cell>
          <cell r="D2321" t="str">
            <v>KBP55</v>
          </cell>
          <cell r="E2321"/>
        </row>
        <row r="2322">
          <cell r="A2322" t="str">
            <v>2629KI27</v>
          </cell>
          <cell r="D2322" t="str">
            <v>KBP76</v>
          </cell>
          <cell r="E2322"/>
        </row>
        <row r="2323">
          <cell r="A2323" t="str">
            <v>2629V737</v>
          </cell>
          <cell r="D2323" t="str">
            <v>KBP76</v>
          </cell>
          <cell r="E2323"/>
        </row>
        <row r="2324">
          <cell r="A2324" t="str">
            <v>2629K727</v>
          </cell>
          <cell r="D2324" t="str">
            <v>S706</v>
          </cell>
          <cell r="E2324"/>
        </row>
        <row r="2325">
          <cell r="A2325" t="str">
            <v>2629PV37</v>
          </cell>
          <cell r="D2325" t="str">
            <v>FTW121KR</v>
          </cell>
          <cell r="E2325"/>
        </row>
        <row r="2326">
          <cell r="A2326" t="str">
            <v>2629L217</v>
          </cell>
          <cell r="D2326" t="str">
            <v>KBP86</v>
          </cell>
          <cell r="E2326"/>
        </row>
        <row r="2327">
          <cell r="A2327" t="str">
            <v>2628D967</v>
          </cell>
          <cell r="D2327" t="str">
            <v>KBP76</v>
          </cell>
          <cell r="E2327"/>
        </row>
        <row r="2328">
          <cell r="A2328" t="str">
            <v>2629VG37</v>
          </cell>
          <cell r="D2328" t="str">
            <v>KBP74</v>
          </cell>
          <cell r="E2328"/>
        </row>
        <row r="2329">
          <cell r="A2329" t="str">
            <v>2629SR17</v>
          </cell>
          <cell r="D2329" t="str">
            <v>KBP74</v>
          </cell>
          <cell r="E2329"/>
        </row>
        <row r="2330">
          <cell r="A2330" t="str">
            <v>2628FV20</v>
          </cell>
          <cell r="D2330" t="str">
            <v xml:space="preserve">TTS125    </v>
          </cell>
          <cell r="E2330"/>
        </row>
        <row r="2331">
          <cell r="A2331" t="str">
            <v>2629FS47</v>
          </cell>
          <cell r="D2331" t="str">
            <v>S15MB</v>
          </cell>
          <cell r="E2331"/>
        </row>
        <row r="2332">
          <cell r="A2332" t="str">
            <v>2629K947</v>
          </cell>
          <cell r="D2332" t="str">
            <v>TTS40</v>
          </cell>
          <cell r="E2332"/>
        </row>
        <row r="2333">
          <cell r="A2333" t="str">
            <v>2629AP27</v>
          </cell>
          <cell r="D2333" t="str">
            <v>STA156KA</v>
          </cell>
          <cell r="E2333"/>
        </row>
        <row r="2334">
          <cell r="A2334" t="str">
            <v>2629AQ27</v>
          </cell>
          <cell r="D2334" t="str">
            <v>STA156KA</v>
          </cell>
          <cell r="E2334"/>
        </row>
        <row r="2335">
          <cell r="A2335" t="str">
            <v>2629L537</v>
          </cell>
          <cell r="D2335" t="str">
            <v>STA156KA</v>
          </cell>
          <cell r="E2335"/>
        </row>
        <row r="2336">
          <cell r="A2336" t="str">
            <v>2629L637</v>
          </cell>
          <cell r="D2336" t="str">
            <v>STA156KA</v>
          </cell>
          <cell r="E2336"/>
        </row>
        <row r="2337">
          <cell r="A2337" t="str">
            <v>2629L427</v>
          </cell>
          <cell r="D2337" t="str">
            <v>TTS80</v>
          </cell>
          <cell r="E2337"/>
        </row>
        <row r="2338">
          <cell r="A2338" t="str">
            <v>2629SR47</v>
          </cell>
          <cell r="D2338" t="str">
            <v>TTS80</v>
          </cell>
          <cell r="E2338"/>
        </row>
        <row r="2339">
          <cell r="A2339" t="str">
            <v>2629U447</v>
          </cell>
          <cell r="D2339" t="str">
            <v>TTS80</v>
          </cell>
          <cell r="E2339"/>
        </row>
        <row r="2340">
          <cell r="A2340" t="str">
            <v>2629L937</v>
          </cell>
          <cell r="D2340" t="str">
            <v>KBP126</v>
          </cell>
          <cell r="E2340"/>
        </row>
        <row r="2341">
          <cell r="A2341" t="str">
            <v>2629SZ37</v>
          </cell>
          <cell r="D2341" t="str">
            <v>TTS80</v>
          </cell>
          <cell r="E2341"/>
        </row>
        <row r="2342">
          <cell r="A2342" t="str">
            <v>2629U137</v>
          </cell>
          <cell r="D2342" t="str">
            <v>TTS80</v>
          </cell>
          <cell r="E2342"/>
        </row>
        <row r="2343">
          <cell r="A2343" t="str">
            <v>2629U237</v>
          </cell>
          <cell r="D2343" t="str">
            <v>TTS80</v>
          </cell>
          <cell r="E2343"/>
        </row>
        <row r="2344">
          <cell r="A2344" t="str">
            <v>2629U337</v>
          </cell>
          <cell r="D2344" t="str">
            <v>TTS80</v>
          </cell>
          <cell r="E2344"/>
        </row>
        <row r="2345">
          <cell r="A2345" t="str">
            <v>2629U537</v>
          </cell>
          <cell r="D2345" t="str">
            <v>TTS80</v>
          </cell>
          <cell r="E2345"/>
        </row>
        <row r="2346">
          <cell r="A2346" t="str">
            <v>2629UD37</v>
          </cell>
          <cell r="D2346" t="str">
            <v>S706</v>
          </cell>
          <cell r="E2346"/>
        </row>
        <row r="2347">
          <cell r="A2347" t="str">
            <v>2629UT37</v>
          </cell>
          <cell r="D2347" t="str">
            <v>S706</v>
          </cell>
          <cell r="E2347"/>
        </row>
        <row r="2348">
          <cell r="A2348" t="str">
            <v>2629LM17</v>
          </cell>
          <cell r="D2348" t="str">
            <v>TTS50</v>
          </cell>
          <cell r="E2348"/>
        </row>
        <row r="2349">
          <cell r="A2349" t="str">
            <v>2629KN27</v>
          </cell>
          <cell r="D2349" t="str">
            <v>S805</v>
          </cell>
          <cell r="E2349"/>
        </row>
        <row r="2350">
          <cell r="A2350" t="str">
            <v>2629D227</v>
          </cell>
          <cell r="D2350" t="str">
            <v>KBP76</v>
          </cell>
          <cell r="E2350"/>
        </row>
        <row r="2351">
          <cell r="A2351" t="str">
            <v>2629D327</v>
          </cell>
          <cell r="D2351" t="str">
            <v>KBP76</v>
          </cell>
          <cell r="E2351"/>
        </row>
        <row r="2352">
          <cell r="A2352" t="str">
            <v>2629LL37</v>
          </cell>
          <cell r="D2352" t="str">
            <v>KBP76</v>
          </cell>
          <cell r="E2352"/>
        </row>
        <row r="2353">
          <cell r="A2353" t="str">
            <v>2629VJ37</v>
          </cell>
          <cell r="D2353" t="str">
            <v>KBP74</v>
          </cell>
          <cell r="E2353"/>
        </row>
        <row r="2354">
          <cell r="A2354" t="str">
            <v>2629S947</v>
          </cell>
          <cell r="D2354" t="str">
            <v>KBP74</v>
          </cell>
          <cell r="E2354"/>
        </row>
        <row r="2355">
          <cell r="A2355" t="str">
            <v>2629QF37</v>
          </cell>
          <cell r="D2355" t="str">
            <v>FTW121KR</v>
          </cell>
          <cell r="E2355"/>
        </row>
        <row r="2356">
          <cell r="A2356" t="str">
            <v>2629OJ47</v>
          </cell>
          <cell r="D2356" t="str">
            <v>FTW121KR</v>
          </cell>
          <cell r="E2356"/>
        </row>
        <row r="2357">
          <cell r="A2357" t="str">
            <v>2629OM47</v>
          </cell>
          <cell r="D2357" t="str">
            <v>FTW121KR</v>
          </cell>
          <cell r="E2357"/>
        </row>
        <row r="2358">
          <cell r="A2358" t="str">
            <v>2629OP47</v>
          </cell>
          <cell r="D2358" t="str">
            <v>FTW121KR</v>
          </cell>
          <cell r="E2358"/>
        </row>
        <row r="2359">
          <cell r="A2359" t="str">
            <v>2629OX47</v>
          </cell>
          <cell r="D2359" t="str">
            <v>FTW121KR</v>
          </cell>
          <cell r="E2359"/>
        </row>
        <row r="2360">
          <cell r="A2360" t="str">
            <v>2629P247</v>
          </cell>
          <cell r="D2360" t="str">
            <v>FTW121KR</v>
          </cell>
          <cell r="E2360"/>
        </row>
        <row r="2361">
          <cell r="A2361" t="str">
            <v>2629VT37</v>
          </cell>
          <cell r="D2361" t="str">
            <v>TTS80</v>
          </cell>
          <cell r="E2361"/>
        </row>
        <row r="2362">
          <cell r="A2362" t="str">
            <v>2629VV37</v>
          </cell>
          <cell r="D2362" t="str">
            <v>TTS80</v>
          </cell>
          <cell r="E2362"/>
        </row>
        <row r="2363">
          <cell r="A2363" t="str">
            <v>2629SN47</v>
          </cell>
          <cell r="D2363" t="str">
            <v>TTS80</v>
          </cell>
          <cell r="E2363"/>
        </row>
        <row r="2364">
          <cell r="A2364" t="str">
            <v>2629SS47</v>
          </cell>
          <cell r="D2364" t="str">
            <v>TTS80</v>
          </cell>
          <cell r="E2364"/>
        </row>
        <row r="2365">
          <cell r="A2365" t="str">
            <v>2629ST47</v>
          </cell>
          <cell r="D2365" t="str">
            <v>TTS80</v>
          </cell>
          <cell r="E2365"/>
        </row>
        <row r="2366">
          <cell r="A2366" t="str">
            <v>2629U247</v>
          </cell>
          <cell r="D2366" t="str">
            <v>TTS80</v>
          </cell>
          <cell r="E2366"/>
        </row>
        <row r="2367">
          <cell r="A2367" t="str">
            <v>2629PI37</v>
          </cell>
          <cell r="D2367" t="str">
            <v>KBP76</v>
          </cell>
          <cell r="E2367"/>
        </row>
        <row r="2368">
          <cell r="A2368" t="str">
            <v>2629PJ37</v>
          </cell>
          <cell r="D2368" t="str">
            <v>KBP76</v>
          </cell>
          <cell r="E2368"/>
        </row>
        <row r="2369">
          <cell r="A2369" t="str">
            <v>2629B847</v>
          </cell>
          <cell r="D2369" t="str">
            <v>KBP76</v>
          </cell>
          <cell r="E2369"/>
        </row>
        <row r="2370">
          <cell r="A2370" t="str">
            <v>2629B947</v>
          </cell>
          <cell r="D2370" t="str">
            <v>KBP76</v>
          </cell>
          <cell r="E2370"/>
        </row>
        <row r="2371">
          <cell r="A2371" t="str">
            <v>2629LP37</v>
          </cell>
          <cell r="D2371" t="str">
            <v>KBP76</v>
          </cell>
          <cell r="E2371"/>
        </row>
        <row r="2372">
          <cell r="A2372" t="str">
            <v>2629LR37</v>
          </cell>
          <cell r="D2372" t="str">
            <v>KBP76</v>
          </cell>
          <cell r="E2372"/>
        </row>
        <row r="2373">
          <cell r="A2373" t="str">
            <v>2629K447</v>
          </cell>
          <cell r="D2373" t="str">
            <v>KBP76</v>
          </cell>
          <cell r="E2373"/>
        </row>
        <row r="2374">
          <cell r="A2374" t="str">
            <v>2629K547</v>
          </cell>
          <cell r="D2374" t="str">
            <v>KBP76</v>
          </cell>
          <cell r="E2374"/>
        </row>
        <row r="2375">
          <cell r="A2375" t="str">
            <v>2628IP67</v>
          </cell>
          <cell r="D2375" t="str">
            <v>FTP200</v>
          </cell>
          <cell r="E2375"/>
        </row>
        <row r="2376">
          <cell r="A2376" t="str">
            <v>2628IT67</v>
          </cell>
          <cell r="D2376" t="str">
            <v>FTP200</v>
          </cell>
          <cell r="E2376"/>
        </row>
        <row r="2377">
          <cell r="A2377" t="str">
            <v>2629VK37</v>
          </cell>
          <cell r="D2377" t="str">
            <v>FTP200</v>
          </cell>
          <cell r="E2377"/>
        </row>
        <row r="2378">
          <cell r="A2378" t="str">
            <v>2629DI27</v>
          </cell>
          <cell r="D2378" t="str">
            <v>FTP150</v>
          </cell>
          <cell r="E2378"/>
        </row>
        <row r="2379">
          <cell r="A2379" t="str">
            <v>2629DL27</v>
          </cell>
          <cell r="D2379" t="str">
            <v>FTP150</v>
          </cell>
          <cell r="E2379"/>
        </row>
        <row r="2380">
          <cell r="A2380" t="str">
            <v>2629U837</v>
          </cell>
          <cell r="D2380" t="str">
            <v>S706</v>
          </cell>
          <cell r="E2380"/>
        </row>
        <row r="2381">
          <cell r="A2381" t="str">
            <v>2629UC37</v>
          </cell>
          <cell r="D2381" t="str">
            <v>S706</v>
          </cell>
          <cell r="E2381"/>
        </row>
        <row r="2382">
          <cell r="A2382" t="str">
            <v>2629UF37</v>
          </cell>
          <cell r="D2382" t="str">
            <v>S706</v>
          </cell>
          <cell r="E2382"/>
        </row>
        <row r="2383">
          <cell r="A2383" t="str">
            <v>2629UO37</v>
          </cell>
          <cell r="D2383" t="str">
            <v>S706</v>
          </cell>
          <cell r="E2383"/>
        </row>
        <row r="2384">
          <cell r="A2384" t="str">
            <v>2629QA47</v>
          </cell>
          <cell r="D2384" t="str">
            <v>S706</v>
          </cell>
          <cell r="E2384"/>
        </row>
        <row r="2385">
          <cell r="A2385" t="str">
            <v>2629QB47</v>
          </cell>
          <cell r="D2385" t="str">
            <v>S706</v>
          </cell>
          <cell r="E2385"/>
        </row>
        <row r="2386">
          <cell r="A2386" t="str">
            <v>2629LX17</v>
          </cell>
          <cell r="D2386" t="str">
            <v>TTS50</v>
          </cell>
          <cell r="E2386"/>
        </row>
        <row r="2387">
          <cell r="A2387" t="str">
            <v>2629DU27</v>
          </cell>
          <cell r="D2387" t="str">
            <v>TTS50</v>
          </cell>
          <cell r="E2387"/>
        </row>
        <row r="2388">
          <cell r="A2388" t="str">
            <v>2629E327</v>
          </cell>
          <cell r="D2388" t="str">
            <v>TTS50</v>
          </cell>
          <cell r="E2388"/>
        </row>
        <row r="2389">
          <cell r="A2389" t="str">
            <v>2629LV37</v>
          </cell>
          <cell r="D2389" t="str">
            <v>TTS50</v>
          </cell>
          <cell r="E2389"/>
        </row>
        <row r="2390">
          <cell r="A2390" t="str">
            <v>2629LX37</v>
          </cell>
          <cell r="D2390" t="str">
            <v>TTS50</v>
          </cell>
          <cell r="E2390"/>
        </row>
        <row r="2391">
          <cell r="A2391" t="str">
            <v>2629LY37</v>
          </cell>
          <cell r="D2391" t="str">
            <v>TTS50</v>
          </cell>
          <cell r="E2391"/>
        </row>
        <row r="2392">
          <cell r="A2392" t="str">
            <v>2629VA37</v>
          </cell>
          <cell r="D2392" t="str">
            <v>STA156KA</v>
          </cell>
          <cell r="E2392"/>
        </row>
        <row r="2393">
          <cell r="A2393" t="str">
            <v>2629VB37</v>
          </cell>
          <cell r="D2393" t="str">
            <v>STA156KA</v>
          </cell>
          <cell r="E2393"/>
        </row>
        <row r="2394">
          <cell r="A2394" t="str">
            <v>2629VC37</v>
          </cell>
          <cell r="D2394" t="str">
            <v>STA156KA</v>
          </cell>
          <cell r="E2394"/>
        </row>
        <row r="2395">
          <cell r="A2395" t="str">
            <v>2629O537</v>
          </cell>
          <cell r="D2395" t="str">
            <v>TTS50</v>
          </cell>
          <cell r="E2395"/>
        </row>
        <row r="2396">
          <cell r="A2396" t="str">
            <v>2629O937</v>
          </cell>
          <cell r="D2396" t="str">
            <v>TTS50</v>
          </cell>
          <cell r="E2396"/>
        </row>
        <row r="2397">
          <cell r="A2397" t="str">
            <v>2629OB37</v>
          </cell>
          <cell r="D2397" t="str">
            <v>TTS50</v>
          </cell>
          <cell r="E2397"/>
        </row>
        <row r="2398">
          <cell r="A2398" t="str">
            <v>2629OC37</v>
          </cell>
          <cell r="D2398" t="str">
            <v>TTS50</v>
          </cell>
          <cell r="E2398"/>
        </row>
        <row r="2399">
          <cell r="A2399" t="str">
            <v>2629OD37</v>
          </cell>
          <cell r="D2399" t="str">
            <v>TTS50</v>
          </cell>
          <cell r="E2399"/>
        </row>
        <row r="2400">
          <cell r="A2400" t="str">
            <v>2629OE37</v>
          </cell>
          <cell r="D2400" t="str">
            <v>TTS50</v>
          </cell>
          <cell r="E2400"/>
        </row>
        <row r="2401">
          <cell r="A2401" t="str">
            <v>2629OG37</v>
          </cell>
          <cell r="D2401" t="str">
            <v>TTS50</v>
          </cell>
          <cell r="E2401"/>
        </row>
        <row r="2402">
          <cell r="A2402" t="str">
            <v>2629OQ37</v>
          </cell>
          <cell r="D2402" t="str">
            <v>TTS50</v>
          </cell>
          <cell r="E2402"/>
        </row>
        <row r="2403">
          <cell r="A2403" t="str">
            <v>2629OW37</v>
          </cell>
          <cell r="D2403" t="str">
            <v>TTS50</v>
          </cell>
          <cell r="E2403"/>
        </row>
        <row r="2404">
          <cell r="A2404" t="str">
            <v>2629P137</v>
          </cell>
          <cell r="D2404" t="str">
            <v>TTS50</v>
          </cell>
          <cell r="E2404"/>
        </row>
        <row r="2405">
          <cell r="A2405" t="str">
            <v>2629P237</v>
          </cell>
          <cell r="D2405" t="str">
            <v>TTS50</v>
          </cell>
          <cell r="E2405"/>
        </row>
        <row r="2406">
          <cell r="A2406" t="str">
            <v>2629PB37</v>
          </cell>
          <cell r="D2406" t="str">
            <v>TTS50</v>
          </cell>
          <cell r="E2406"/>
        </row>
        <row r="2407">
          <cell r="A2407" t="str">
            <v>2629LA47</v>
          </cell>
          <cell r="D2407" t="str">
            <v>TTS50</v>
          </cell>
          <cell r="E2407"/>
        </row>
        <row r="2408">
          <cell r="A2408" t="str">
            <v>2629LR47</v>
          </cell>
          <cell r="D2408" t="str">
            <v>TTS50</v>
          </cell>
          <cell r="E2408"/>
        </row>
        <row r="2409">
          <cell r="A2409" t="str">
            <v>2629LS47</v>
          </cell>
          <cell r="D2409" t="str">
            <v>TTS50</v>
          </cell>
          <cell r="E2409"/>
        </row>
        <row r="2410">
          <cell r="A2410" t="str">
            <v>2628F957</v>
          </cell>
          <cell r="D2410" t="str">
            <v>KBP44</v>
          </cell>
          <cell r="E2410"/>
        </row>
        <row r="2411">
          <cell r="A2411" t="str">
            <v>2629SZ17</v>
          </cell>
          <cell r="D2411" t="str">
            <v>KBP55</v>
          </cell>
          <cell r="E2411"/>
        </row>
        <row r="2412">
          <cell r="A2412" t="str">
            <v>2629U117</v>
          </cell>
          <cell r="D2412" t="str">
            <v>KBP55</v>
          </cell>
          <cell r="E2412"/>
        </row>
        <row r="2413">
          <cell r="A2413" t="str">
            <v>2629KW27</v>
          </cell>
          <cell r="D2413" t="str">
            <v>KBP55</v>
          </cell>
          <cell r="E2413"/>
        </row>
        <row r="2414">
          <cell r="A2414" t="str">
            <v>2629KL27</v>
          </cell>
          <cell r="D2414" t="str">
            <v>KBP76</v>
          </cell>
          <cell r="E2414"/>
        </row>
        <row r="2415">
          <cell r="A2415" t="str">
            <v>2629V137</v>
          </cell>
          <cell r="D2415" t="str">
            <v>KBP76</v>
          </cell>
          <cell r="E2415"/>
        </row>
        <row r="2416">
          <cell r="A2416" t="str">
            <v>2629V537</v>
          </cell>
          <cell r="D2416" t="str">
            <v>KBP76</v>
          </cell>
          <cell r="E2416"/>
        </row>
        <row r="2417">
          <cell r="A2417" t="str">
            <v>2629V837</v>
          </cell>
          <cell r="D2417" t="str">
            <v>KBP76</v>
          </cell>
          <cell r="E2417"/>
        </row>
        <row r="2418">
          <cell r="A2418" t="str">
            <v>2629QU47</v>
          </cell>
          <cell r="D2418" t="str">
            <v>KBP76</v>
          </cell>
          <cell r="E2418"/>
        </row>
        <row r="2419">
          <cell r="A2419" t="str">
            <v>2629QX47</v>
          </cell>
          <cell r="D2419" t="str">
            <v>KBP76</v>
          </cell>
          <cell r="E2419"/>
        </row>
        <row r="2420">
          <cell r="A2420" t="str">
            <v>2629QY47</v>
          </cell>
          <cell r="D2420" t="str">
            <v>KBP76</v>
          </cell>
          <cell r="E2420"/>
        </row>
        <row r="2421">
          <cell r="A2421" t="str">
            <v>2629S147</v>
          </cell>
          <cell r="D2421" t="str">
            <v>KBP76</v>
          </cell>
          <cell r="E2421"/>
        </row>
        <row r="2422">
          <cell r="A2422" t="str">
            <v>2628FT80</v>
          </cell>
          <cell r="D2422" t="str">
            <v xml:space="preserve">HV200     </v>
          </cell>
          <cell r="E2422"/>
        </row>
        <row r="2423">
          <cell r="A2423" t="str">
            <v>2628FT60</v>
          </cell>
          <cell r="D2423" t="str">
            <v xml:space="preserve">HV200     </v>
          </cell>
          <cell r="E2423"/>
        </row>
        <row r="2424">
          <cell r="A2424" t="str">
            <v>2628FT70</v>
          </cell>
          <cell r="D2424" t="str">
            <v xml:space="preserve">HV200     </v>
          </cell>
          <cell r="E2424"/>
        </row>
        <row r="2425">
          <cell r="A2425" t="str">
            <v>2629O137</v>
          </cell>
          <cell r="D2425" t="str">
            <v>TTS50</v>
          </cell>
          <cell r="E2425"/>
        </row>
        <row r="2426">
          <cell r="A2426" t="str">
            <v>2629IO27</v>
          </cell>
          <cell r="D2426" t="str">
            <v>KBP76</v>
          </cell>
          <cell r="E2426"/>
        </row>
        <row r="2427">
          <cell r="A2427" t="str">
            <v>2629IP27</v>
          </cell>
          <cell r="D2427" t="str">
            <v>KBP76</v>
          </cell>
          <cell r="E2427"/>
        </row>
        <row r="2428">
          <cell r="A2428" t="str">
            <v>2629LK37</v>
          </cell>
          <cell r="D2428" t="str">
            <v>KBP76</v>
          </cell>
          <cell r="E2428"/>
        </row>
        <row r="2429">
          <cell r="A2429" t="str">
            <v>2629B757</v>
          </cell>
          <cell r="D2429" t="str">
            <v>KBP76</v>
          </cell>
          <cell r="E2429"/>
        </row>
        <row r="2430">
          <cell r="A2430" t="str">
            <v>2629O847</v>
          </cell>
          <cell r="D2430" t="str">
            <v>FTW121KR</v>
          </cell>
          <cell r="E2430"/>
        </row>
        <row r="2431">
          <cell r="A2431" t="str">
            <v>2629OC47</v>
          </cell>
          <cell r="D2431" t="str">
            <v>FTW121KR</v>
          </cell>
          <cell r="E2431"/>
        </row>
        <row r="2432">
          <cell r="A2432" t="str">
            <v>2629OG47</v>
          </cell>
          <cell r="D2432" t="str">
            <v>FTW121KR</v>
          </cell>
          <cell r="E2432"/>
        </row>
        <row r="2433">
          <cell r="A2433" t="str">
            <v>2629OQ47</v>
          </cell>
          <cell r="D2433" t="str">
            <v>FTW121KR</v>
          </cell>
          <cell r="E2433"/>
        </row>
        <row r="2434">
          <cell r="A2434" t="str">
            <v>2629OS47</v>
          </cell>
          <cell r="D2434" t="str">
            <v>FTW121KR</v>
          </cell>
          <cell r="E2434"/>
        </row>
        <row r="2435">
          <cell r="A2435" t="str">
            <v>2629OZ47</v>
          </cell>
          <cell r="D2435" t="str">
            <v>FTW121KR</v>
          </cell>
          <cell r="E2435"/>
        </row>
        <row r="2436">
          <cell r="A2436" t="str">
            <v>2629KI57</v>
          </cell>
          <cell r="D2436" t="str">
            <v>FTW121KR</v>
          </cell>
          <cell r="E2436"/>
        </row>
        <row r="2437">
          <cell r="A2437" t="str">
            <v>2629B547</v>
          </cell>
          <cell r="D2437" t="str">
            <v>KBP76</v>
          </cell>
          <cell r="E2437"/>
        </row>
        <row r="2438">
          <cell r="A2438" t="str">
            <v>2629B747</v>
          </cell>
          <cell r="D2438" t="str">
            <v>KBP76</v>
          </cell>
          <cell r="E2438"/>
        </row>
        <row r="2439">
          <cell r="A2439" t="str">
            <v>2629CX27</v>
          </cell>
          <cell r="D2439" t="str">
            <v>KBP86</v>
          </cell>
          <cell r="E2439"/>
        </row>
        <row r="2440">
          <cell r="A2440" t="str">
            <v>2629LF37</v>
          </cell>
          <cell r="D2440" t="str">
            <v>KBP86</v>
          </cell>
          <cell r="E2440"/>
        </row>
        <row r="2441">
          <cell r="A2441" t="str">
            <v>2629LI37</v>
          </cell>
          <cell r="D2441" t="str">
            <v>KBP86</v>
          </cell>
          <cell r="E2441"/>
        </row>
        <row r="2442">
          <cell r="A2442" t="str">
            <v>2629UA37</v>
          </cell>
          <cell r="D2442" t="str">
            <v>S706</v>
          </cell>
          <cell r="E2442"/>
        </row>
        <row r="2443">
          <cell r="A2443" t="str">
            <v>2629UB37</v>
          </cell>
          <cell r="D2443" t="str">
            <v>S706</v>
          </cell>
          <cell r="E2443"/>
        </row>
        <row r="2444">
          <cell r="A2444" t="str">
            <v>2629UG37</v>
          </cell>
          <cell r="D2444" t="str">
            <v>S706</v>
          </cell>
          <cell r="E2444"/>
        </row>
        <row r="2445">
          <cell r="A2445" t="str">
            <v>2629UK37</v>
          </cell>
          <cell r="D2445" t="str">
            <v>S706</v>
          </cell>
          <cell r="E2445"/>
        </row>
        <row r="2446">
          <cell r="A2446" t="str">
            <v>2629UL37</v>
          </cell>
          <cell r="D2446" t="str">
            <v>S706</v>
          </cell>
          <cell r="E2446"/>
        </row>
        <row r="2447">
          <cell r="A2447" t="str">
            <v>2629UP37</v>
          </cell>
          <cell r="D2447" t="str">
            <v>S706</v>
          </cell>
          <cell r="E2447"/>
        </row>
        <row r="2448">
          <cell r="A2448" t="str">
            <v>2629UU37</v>
          </cell>
          <cell r="D2448" t="str">
            <v>S706</v>
          </cell>
          <cell r="E2448"/>
        </row>
        <row r="2449">
          <cell r="A2449" t="str">
            <v>2629UV37</v>
          </cell>
          <cell r="D2449" t="str">
            <v>S706</v>
          </cell>
          <cell r="E2449"/>
        </row>
        <row r="2450">
          <cell r="A2450" t="str">
            <v>2629UW37</v>
          </cell>
          <cell r="D2450" t="str">
            <v>S706</v>
          </cell>
          <cell r="E2450"/>
        </row>
        <row r="2451">
          <cell r="A2451" t="str">
            <v>2629Q447</v>
          </cell>
          <cell r="D2451" t="str">
            <v>S706</v>
          </cell>
          <cell r="E2451"/>
        </row>
        <row r="2452">
          <cell r="A2452" t="str">
            <v>2629Q647</v>
          </cell>
          <cell r="D2452" t="str">
            <v>S706</v>
          </cell>
          <cell r="E2452"/>
        </row>
        <row r="2453">
          <cell r="A2453" t="str">
            <v>2629Q847</v>
          </cell>
          <cell r="D2453" t="str">
            <v>S706</v>
          </cell>
          <cell r="E2453"/>
        </row>
        <row r="2454">
          <cell r="A2454" t="str">
            <v>2629Q947</v>
          </cell>
          <cell r="D2454" t="str">
            <v>S706</v>
          </cell>
          <cell r="E2454"/>
        </row>
        <row r="2455">
          <cell r="A2455" t="str">
            <v>2629LW57</v>
          </cell>
          <cell r="D2455" t="str">
            <v>S706</v>
          </cell>
          <cell r="E2455"/>
        </row>
        <row r="2456">
          <cell r="A2456" t="str">
            <v>2629LY57</v>
          </cell>
          <cell r="D2456" t="str">
            <v>S706</v>
          </cell>
          <cell r="E2456"/>
        </row>
        <row r="2457">
          <cell r="A2457" t="str">
            <v>2629PN37</v>
          </cell>
          <cell r="D2457" t="str">
            <v>TTS50</v>
          </cell>
          <cell r="E2457"/>
        </row>
        <row r="2458">
          <cell r="A2458" t="str">
            <v>2629PO37</v>
          </cell>
          <cell r="D2458" t="str">
            <v>TTS50</v>
          </cell>
          <cell r="E2458"/>
        </row>
        <row r="2459">
          <cell r="A2459" t="str">
            <v>2629LL17</v>
          </cell>
          <cell r="D2459" t="str">
            <v>TTS50</v>
          </cell>
          <cell r="E2459"/>
        </row>
        <row r="2460">
          <cell r="A2460" t="str">
            <v>2629LY17</v>
          </cell>
          <cell r="D2460" t="str">
            <v>TTS50</v>
          </cell>
          <cell r="E2460"/>
        </row>
        <row r="2461">
          <cell r="A2461" t="str">
            <v>2629DP27</v>
          </cell>
          <cell r="D2461" t="str">
            <v>TTS50</v>
          </cell>
          <cell r="E2461"/>
        </row>
        <row r="2462">
          <cell r="A2462" t="str">
            <v>2629DS27</v>
          </cell>
          <cell r="D2462" t="str">
            <v>TTS50</v>
          </cell>
          <cell r="E2462"/>
        </row>
        <row r="2463">
          <cell r="A2463" t="str">
            <v>2629E527</v>
          </cell>
          <cell r="D2463" t="str">
            <v>TTS50</v>
          </cell>
          <cell r="E2463"/>
        </row>
        <row r="2464">
          <cell r="A2464" t="str">
            <v>2629E927</v>
          </cell>
          <cell r="D2464" t="str">
            <v>TTS50</v>
          </cell>
          <cell r="E2464"/>
        </row>
        <row r="2465">
          <cell r="A2465" t="str">
            <v>2629EE27</v>
          </cell>
          <cell r="D2465" t="str">
            <v>TTS50</v>
          </cell>
          <cell r="E2465"/>
        </row>
        <row r="2466">
          <cell r="A2466" t="str">
            <v>2629O237</v>
          </cell>
          <cell r="D2466" t="str">
            <v>TTS50</v>
          </cell>
          <cell r="E2466"/>
        </row>
        <row r="2467">
          <cell r="A2467" t="str">
            <v>2629O337</v>
          </cell>
          <cell r="D2467" t="str">
            <v>TTS50</v>
          </cell>
          <cell r="E2467"/>
        </row>
        <row r="2468">
          <cell r="A2468" t="str">
            <v>2629O737</v>
          </cell>
          <cell r="D2468" t="str">
            <v>TTS50</v>
          </cell>
          <cell r="E2468"/>
        </row>
        <row r="2469">
          <cell r="A2469" t="str">
            <v>2629OH37</v>
          </cell>
          <cell r="D2469" t="str">
            <v>TTS50</v>
          </cell>
          <cell r="E2469"/>
        </row>
        <row r="2470">
          <cell r="A2470" t="str">
            <v>2629OI37</v>
          </cell>
          <cell r="D2470" t="str">
            <v>TTS50</v>
          </cell>
          <cell r="E2470"/>
        </row>
        <row r="2471">
          <cell r="A2471" t="str">
            <v>2629OK37</v>
          </cell>
          <cell r="D2471" t="str">
            <v>TTS50</v>
          </cell>
          <cell r="E2471"/>
        </row>
        <row r="2472">
          <cell r="A2472" t="str">
            <v>2629ON37</v>
          </cell>
          <cell r="D2472" t="str">
            <v>TTS50</v>
          </cell>
          <cell r="E2472"/>
        </row>
        <row r="2473">
          <cell r="A2473" t="str">
            <v>2629OP37</v>
          </cell>
          <cell r="D2473" t="str">
            <v>TTS50</v>
          </cell>
          <cell r="E2473"/>
        </row>
        <row r="2474">
          <cell r="A2474" t="str">
            <v>2629OR37</v>
          </cell>
          <cell r="D2474" t="str">
            <v>TTS50</v>
          </cell>
          <cell r="E2474"/>
        </row>
        <row r="2475">
          <cell r="A2475" t="str">
            <v>2629OX37</v>
          </cell>
          <cell r="D2475" t="str">
            <v>TTS50</v>
          </cell>
          <cell r="E2475"/>
        </row>
        <row r="2476">
          <cell r="A2476" t="str">
            <v>2629OZ37</v>
          </cell>
          <cell r="D2476" t="str">
            <v>TTS50</v>
          </cell>
          <cell r="E2476"/>
        </row>
        <row r="2477">
          <cell r="A2477" t="str">
            <v>2629PA37</v>
          </cell>
          <cell r="D2477" t="str">
            <v>TTS50</v>
          </cell>
          <cell r="E2477"/>
        </row>
        <row r="2478">
          <cell r="A2478" t="str">
            <v>2629KK47</v>
          </cell>
          <cell r="D2478" t="str">
            <v>TTS50</v>
          </cell>
          <cell r="E2478"/>
        </row>
        <row r="2479">
          <cell r="A2479" t="str">
            <v>2629KN47</v>
          </cell>
          <cell r="D2479" t="str">
            <v>TTS50</v>
          </cell>
          <cell r="E2479"/>
        </row>
        <row r="2480">
          <cell r="A2480" t="str">
            <v>2629KP47</v>
          </cell>
          <cell r="D2480" t="str">
            <v>TTS50</v>
          </cell>
          <cell r="E2480"/>
        </row>
        <row r="2481">
          <cell r="A2481" t="str">
            <v>2629LC47</v>
          </cell>
          <cell r="D2481" t="str">
            <v>TTS50</v>
          </cell>
          <cell r="E2481"/>
        </row>
        <row r="2482">
          <cell r="A2482" t="str">
            <v>2629LN47</v>
          </cell>
          <cell r="D2482" t="str">
            <v>TTS50</v>
          </cell>
          <cell r="E2482"/>
        </row>
        <row r="2483">
          <cell r="A2483" t="str">
            <v>2629KT27</v>
          </cell>
          <cell r="D2483" t="str">
            <v>KBP55</v>
          </cell>
          <cell r="E2483"/>
        </row>
        <row r="2484">
          <cell r="A2484" t="str">
            <v>2629F647</v>
          </cell>
          <cell r="D2484" t="str">
            <v>S805</v>
          </cell>
          <cell r="E2484"/>
        </row>
        <row r="2485">
          <cell r="A2485" t="str">
            <v>2628HI57</v>
          </cell>
          <cell r="D2485" t="str">
            <v>KBP76</v>
          </cell>
          <cell r="E2485"/>
        </row>
        <row r="2486">
          <cell r="A2486" t="str">
            <v>2629KB47</v>
          </cell>
          <cell r="D2486" t="str">
            <v>KBP76</v>
          </cell>
          <cell r="E2486"/>
        </row>
        <row r="2487">
          <cell r="A2487" t="str">
            <v>2629B457</v>
          </cell>
          <cell r="D2487" t="str">
            <v>KBP76</v>
          </cell>
          <cell r="E2487"/>
        </row>
        <row r="2488">
          <cell r="A2488" t="str">
            <v>2629B657</v>
          </cell>
          <cell r="D2488" t="str">
            <v>KBP76</v>
          </cell>
          <cell r="E2488"/>
        </row>
        <row r="2489">
          <cell r="A2489" t="str">
            <v>2629QW57</v>
          </cell>
          <cell r="D2489" t="str">
            <v>KBP55</v>
          </cell>
          <cell r="E2489"/>
        </row>
        <row r="2490">
          <cell r="A2490" t="str">
            <v>2629OB47</v>
          </cell>
          <cell r="D2490" t="str">
            <v>FTW121KR</v>
          </cell>
          <cell r="E2490"/>
        </row>
        <row r="2491">
          <cell r="A2491" t="str">
            <v>2629OE47</v>
          </cell>
          <cell r="D2491" t="str">
            <v>FTW121KR</v>
          </cell>
          <cell r="E2491"/>
        </row>
        <row r="2492">
          <cell r="A2492" t="str">
            <v>2629OI47</v>
          </cell>
          <cell r="D2492" t="str">
            <v>FTW121KR</v>
          </cell>
          <cell r="E2492"/>
        </row>
        <row r="2493">
          <cell r="A2493" t="str">
            <v>2629OK47</v>
          </cell>
          <cell r="D2493" t="str">
            <v>FTW121KR</v>
          </cell>
          <cell r="E2493"/>
        </row>
        <row r="2494">
          <cell r="A2494" t="str">
            <v>2629OL47</v>
          </cell>
          <cell r="D2494" t="str">
            <v>FTW121KR</v>
          </cell>
          <cell r="E2494"/>
        </row>
        <row r="2495">
          <cell r="A2495" t="str">
            <v>2629OR47</v>
          </cell>
          <cell r="D2495" t="str">
            <v>FTW121KR</v>
          </cell>
          <cell r="E2495"/>
        </row>
        <row r="2496">
          <cell r="A2496" t="str">
            <v>2629OV47</v>
          </cell>
          <cell r="D2496" t="str">
            <v>FTW121KR</v>
          </cell>
          <cell r="E2496"/>
        </row>
        <row r="2497">
          <cell r="A2497" t="str">
            <v>2629OW47</v>
          </cell>
          <cell r="D2497" t="str">
            <v>FTW121KR</v>
          </cell>
          <cell r="E2497"/>
        </row>
        <row r="2498">
          <cell r="A2498" t="str">
            <v>2629P347</v>
          </cell>
          <cell r="D2498" t="str">
            <v>FTW121KR</v>
          </cell>
          <cell r="E2498"/>
        </row>
        <row r="2499">
          <cell r="A2499" t="str">
            <v>2629K357</v>
          </cell>
          <cell r="D2499" t="str">
            <v>FTW121KR</v>
          </cell>
          <cell r="E2499"/>
        </row>
        <row r="2500">
          <cell r="A2500" t="str">
            <v>2629KJ57</v>
          </cell>
          <cell r="D2500" t="str">
            <v>FTW121KR</v>
          </cell>
          <cell r="E2500"/>
        </row>
        <row r="2501">
          <cell r="A2501" t="str">
            <v>2629KO57</v>
          </cell>
          <cell r="D2501" t="str">
            <v>FTW121KR</v>
          </cell>
          <cell r="E2501"/>
        </row>
        <row r="2502">
          <cell r="A2502" t="str">
            <v>2629KT57</v>
          </cell>
          <cell r="D2502" t="str">
            <v>FTW121KR</v>
          </cell>
          <cell r="E2502"/>
        </row>
        <row r="2503">
          <cell r="A2503" t="str">
            <v>2629SY47</v>
          </cell>
          <cell r="D2503" t="str">
            <v>TTS80</v>
          </cell>
          <cell r="E2503"/>
        </row>
        <row r="2504">
          <cell r="A2504" t="str">
            <v>2629U147</v>
          </cell>
          <cell r="D2504" t="str">
            <v>TTS80</v>
          </cell>
          <cell r="E2504"/>
        </row>
        <row r="2505">
          <cell r="A2505" t="str">
            <v>2629Q857</v>
          </cell>
          <cell r="D2505" t="str">
            <v>KBP76</v>
          </cell>
          <cell r="E2505"/>
        </row>
        <row r="2506">
          <cell r="A2506" t="str">
            <v>2629IV57</v>
          </cell>
          <cell r="D2506" t="str">
            <v>KBP76</v>
          </cell>
          <cell r="E2506"/>
        </row>
        <row r="2507">
          <cell r="A2507" t="str">
            <v>2629SJ37</v>
          </cell>
          <cell r="D2507" t="str">
            <v>KBP86</v>
          </cell>
          <cell r="E2507"/>
        </row>
        <row r="2508">
          <cell r="A2508" t="str">
            <v>2629SK37</v>
          </cell>
          <cell r="D2508" t="str">
            <v>KBP86</v>
          </cell>
          <cell r="E2508"/>
        </row>
        <row r="2509">
          <cell r="A2509" t="str">
            <v>2629UA47</v>
          </cell>
          <cell r="D2509" t="str">
            <v>TTS80</v>
          </cell>
          <cell r="E2509"/>
        </row>
        <row r="2510">
          <cell r="A2510" t="str">
            <v>2629KH27</v>
          </cell>
          <cell r="D2510" t="str">
            <v>KBP52</v>
          </cell>
          <cell r="E2510"/>
        </row>
        <row r="2511">
          <cell r="A2511" t="str">
            <v>2628IO67</v>
          </cell>
          <cell r="D2511" t="str">
            <v>FTP200</v>
          </cell>
          <cell r="E2511"/>
        </row>
        <row r="2512">
          <cell r="A2512" t="str">
            <v>2628IQ67</v>
          </cell>
          <cell r="D2512" t="str">
            <v>FTP200</v>
          </cell>
          <cell r="E2512"/>
        </row>
        <row r="2513">
          <cell r="A2513" t="str">
            <v>2629S457</v>
          </cell>
          <cell r="D2513" t="str">
            <v>FTP200</v>
          </cell>
          <cell r="E2513"/>
        </row>
        <row r="2514">
          <cell r="A2514" t="str">
            <v>2629JQ27</v>
          </cell>
          <cell r="D2514" t="str">
            <v>FTP200</v>
          </cell>
          <cell r="E2514"/>
        </row>
        <row r="2515">
          <cell r="A2515" t="str">
            <v>2629SV37</v>
          </cell>
          <cell r="D2515" t="str">
            <v>FTP200</v>
          </cell>
          <cell r="E2515"/>
        </row>
        <row r="2516">
          <cell r="A2516" t="str">
            <v>2629KG47</v>
          </cell>
          <cell r="D2516" t="str">
            <v>FTP150</v>
          </cell>
          <cell r="E2516"/>
        </row>
        <row r="2517">
          <cell r="A2517" t="str">
            <v>2629LK57</v>
          </cell>
          <cell r="D2517" t="str">
            <v>S706</v>
          </cell>
          <cell r="E2517"/>
        </row>
        <row r="2518">
          <cell r="A2518" t="str">
            <v>2629LP57</v>
          </cell>
          <cell r="D2518" t="str">
            <v>S706</v>
          </cell>
          <cell r="E2518"/>
        </row>
        <row r="2519">
          <cell r="A2519" t="str">
            <v>2629LU57</v>
          </cell>
          <cell r="D2519" t="str">
            <v>S706</v>
          </cell>
          <cell r="E2519"/>
        </row>
        <row r="2520">
          <cell r="A2520" t="str">
            <v>2629OF37</v>
          </cell>
          <cell r="D2520" t="str">
            <v>TTS50</v>
          </cell>
          <cell r="E2520"/>
        </row>
        <row r="2521">
          <cell r="A2521" t="str">
            <v>2629OL37</v>
          </cell>
          <cell r="D2521" t="str">
            <v>TTS50</v>
          </cell>
          <cell r="E2521"/>
        </row>
        <row r="2522">
          <cell r="A2522" t="str">
            <v>2629OO37</v>
          </cell>
          <cell r="D2522" t="str">
            <v>TTS50</v>
          </cell>
          <cell r="E2522"/>
        </row>
        <row r="2523">
          <cell r="A2523" t="str">
            <v>2629KR47</v>
          </cell>
          <cell r="D2523" t="str">
            <v>TTS50</v>
          </cell>
          <cell r="E2523"/>
        </row>
        <row r="2524">
          <cell r="A2524" t="str">
            <v>2629KY47</v>
          </cell>
          <cell r="D2524" t="str">
            <v>TTS50</v>
          </cell>
          <cell r="E2524"/>
        </row>
        <row r="2525">
          <cell r="A2525" t="str">
            <v>2629L747</v>
          </cell>
          <cell r="D2525" t="str">
            <v>TTS50</v>
          </cell>
          <cell r="E2525"/>
        </row>
        <row r="2526">
          <cell r="A2526" t="str">
            <v>2629L947</v>
          </cell>
          <cell r="D2526" t="str">
            <v>TTS50</v>
          </cell>
          <cell r="E2526"/>
        </row>
        <row r="2527">
          <cell r="A2527" t="str">
            <v>2629LT47</v>
          </cell>
          <cell r="D2527" t="str">
            <v>TTS50</v>
          </cell>
          <cell r="E2527"/>
        </row>
        <row r="2528">
          <cell r="A2528" t="str">
            <v>2629O147</v>
          </cell>
          <cell r="D2528" t="str">
            <v>TTS50</v>
          </cell>
          <cell r="E2528"/>
        </row>
        <row r="2529">
          <cell r="A2529" t="str">
            <v>2629QJ57</v>
          </cell>
          <cell r="D2529" t="str">
            <v>KBP76</v>
          </cell>
          <cell r="E2529"/>
        </row>
        <row r="2530">
          <cell r="A2530" t="str">
            <v>2629V237</v>
          </cell>
          <cell r="D2530" t="str">
            <v>KBP76</v>
          </cell>
          <cell r="E2530"/>
        </row>
        <row r="2531">
          <cell r="A2531" t="str">
            <v>2629V437</v>
          </cell>
          <cell r="D2531" t="str">
            <v>KBP76</v>
          </cell>
          <cell r="E2531"/>
        </row>
        <row r="2532">
          <cell r="A2532" t="str">
            <v>2629QW47</v>
          </cell>
          <cell r="D2532" t="str">
            <v>KBP76</v>
          </cell>
          <cell r="E2532"/>
        </row>
        <row r="2533">
          <cell r="A2533" t="str">
            <v>2628DA67</v>
          </cell>
          <cell r="D2533" t="str">
            <v>KBP76</v>
          </cell>
          <cell r="E2533"/>
        </row>
        <row r="2534">
          <cell r="A2534" t="str">
            <v>2629ZY57</v>
          </cell>
          <cell r="D2534" t="str">
            <v>KBP76</v>
          </cell>
          <cell r="E2534"/>
        </row>
        <row r="2535">
          <cell r="A2535" t="str">
            <v>2629CM57</v>
          </cell>
          <cell r="D2535" t="str">
            <v>KBP74</v>
          </cell>
          <cell r="E2535"/>
        </row>
        <row r="2536">
          <cell r="A2536" t="str">
            <v>2629LQ37</v>
          </cell>
          <cell r="D2536" t="str">
            <v>KBP76</v>
          </cell>
          <cell r="E2536"/>
        </row>
        <row r="2537">
          <cell r="A2537" t="str">
            <v>2629IT57</v>
          </cell>
          <cell r="D2537" t="str">
            <v>KBP76</v>
          </cell>
          <cell r="E2537"/>
        </row>
        <row r="2538">
          <cell r="A2538" t="str">
            <v>2629L437</v>
          </cell>
          <cell r="D2538" t="str">
            <v>KBP126</v>
          </cell>
          <cell r="E2538"/>
        </row>
        <row r="2539">
          <cell r="A2539" t="str">
            <v>2629VF37</v>
          </cell>
          <cell r="D2539" t="str">
            <v>STA156KA</v>
          </cell>
          <cell r="E2539"/>
        </row>
        <row r="2540">
          <cell r="A2540" t="str">
            <v>2629S847</v>
          </cell>
          <cell r="D2540" t="str">
            <v>STA156KA</v>
          </cell>
          <cell r="E2540"/>
        </row>
        <row r="2541">
          <cell r="A2541" t="str">
            <v>2629ON47</v>
          </cell>
          <cell r="D2541" t="str">
            <v>FTW121KR</v>
          </cell>
          <cell r="E2541"/>
        </row>
        <row r="2542">
          <cell r="A2542" t="str">
            <v>2629OO47</v>
          </cell>
          <cell r="D2542" t="str">
            <v>FTW121KR</v>
          </cell>
          <cell r="E2542"/>
        </row>
        <row r="2543">
          <cell r="A2543" t="str">
            <v>2629P547</v>
          </cell>
          <cell r="D2543" t="str">
            <v>FTW121KR</v>
          </cell>
          <cell r="E2543"/>
        </row>
        <row r="2544">
          <cell r="A2544" t="str">
            <v>2629SK47</v>
          </cell>
          <cell r="D2544" t="str">
            <v>TTS80</v>
          </cell>
          <cell r="E2544"/>
        </row>
        <row r="2545">
          <cell r="A2545" t="str">
            <v>2629SM47</v>
          </cell>
          <cell r="D2545" t="str">
            <v>TTS80</v>
          </cell>
          <cell r="E2545"/>
        </row>
        <row r="2546">
          <cell r="A2546" t="str">
            <v>2629SW47</v>
          </cell>
          <cell r="D2546" t="str">
            <v>TTS80</v>
          </cell>
          <cell r="E2546"/>
        </row>
        <row r="2547">
          <cell r="A2547" t="str">
            <v>2629U347</v>
          </cell>
          <cell r="D2547" t="str">
            <v>TTS80</v>
          </cell>
          <cell r="E2547"/>
        </row>
        <row r="2548">
          <cell r="A2548" t="str">
            <v>2629U847</v>
          </cell>
          <cell r="D2548" t="str">
            <v>TTS80</v>
          </cell>
          <cell r="E2548"/>
        </row>
        <row r="2549">
          <cell r="A2549" t="str">
            <v>2629LC37</v>
          </cell>
          <cell r="D2549" t="str">
            <v>KBP86</v>
          </cell>
          <cell r="E2549"/>
        </row>
        <row r="2550">
          <cell r="A2550" t="str">
            <v>2629SN37</v>
          </cell>
          <cell r="D2550" t="str">
            <v>KBP86</v>
          </cell>
          <cell r="E2550"/>
        </row>
        <row r="2551">
          <cell r="A2551" t="str">
            <v>2629P947</v>
          </cell>
          <cell r="D2551" t="str">
            <v>KBP86</v>
          </cell>
          <cell r="E2551"/>
        </row>
        <row r="2552">
          <cell r="A2552" t="str">
            <v>2629LJ37</v>
          </cell>
          <cell r="D2552" t="str">
            <v>KBP126</v>
          </cell>
          <cell r="E2552"/>
        </row>
        <row r="2553">
          <cell r="A2553" t="str">
            <v>2629SW37</v>
          </cell>
          <cell r="D2553" t="str">
            <v>TTS80</v>
          </cell>
          <cell r="E2553"/>
        </row>
        <row r="2554">
          <cell r="A2554" t="str">
            <v>2629SV17</v>
          </cell>
          <cell r="D2554" t="str">
            <v>TTS50</v>
          </cell>
          <cell r="E2554"/>
        </row>
        <row r="2555">
          <cell r="A2555" t="str">
            <v>2629SW17</v>
          </cell>
          <cell r="D2555" t="str">
            <v>TTS50</v>
          </cell>
          <cell r="E2555"/>
        </row>
        <row r="2556">
          <cell r="A2556" t="str">
            <v>2629UH37</v>
          </cell>
          <cell r="D2556" t="str">
            <v>S706</v>
          </cell>
          <cell r="E2556"/>
        </row>
        <row r="2557">
          <cell r="A2557" t="str">
            <v>2629UN37</v>
          </cell>
          <cell r="D2557" t="str">
            <v>S706</v>
          </cell>
          <cell r="E2557"/>
        </row>
        <row r="2558">
          <cell r="A2558" t="str">
            <v>2629US37</v>
          </cell>
          <cell r="D2558" t="str">
            <v>S706</v>
          </cell>
          <cell r="E2558"/>
        </row>
        <row r="2559">
          <cell r="A2559" t="str">
            <v>2629Q347</v>
          </cell>
          <cell r="D2559" t="str">
            <v>S706</v>
          </cell>
          <cell r="E2559"/>
        </row>
        <row r="2560">
          <cell r="A2560" t="str">
            <v>2629Q547</v>
          </cell>
          <cell r="D2560" t="str">
            <v>S706</v>
          </cell>
          <cell r="E2560"/>
        </row>
        <row r="2561">
          <cell r="A2561" t="str">
            <v>2629LO57</v>
          </cell>
          <cell r="D2561" t="str">
            <v>S706</v>
          </cell>
          <cell r="E2561"/>
        </row>
        <row r="2562">
          <cell r="A2562" t="str">
            <v>2629LS57</v>
          </cell>
          <cell r="D2562" t="str">
            <v>S706</v>
          </cell>
          <cell r="E2562"/>
        </row>
        <row r="2563">
          <cell r="A2563" t="str">
            <v>2629O647</v>
          </cell>
          <cell r="D2563" t="str">
            <v>TTS50</v>
          </cell>
          <cell r="E2563"/>
        </row>
        <row r="2564">
          <cell r="A2564" t="str">
            <v>2629O837</v>
          </cell>
          <cell r="D2564" t="str">
            <v>TTS50</v>
          </cell>
          <cell r="E2564"/>
        </row>
        <row r="2565">
          <cell r="A2565" t="str">
            <v>2629P437</v>
          </cell>
          <cell r="D2565" t="str">
            <v>TTS50</v>
          </cell>
          <cell r="E2565"/>
        </row>
        <row r="2566">
          <cell r="A2566" t="str">
            <v>2629P737</v>
          </cell>
          <cell r="D2566" t="str">
            <v>TTS50</v>
          </cell>
          <cell r="E2566"/>
        </row>
        <row r="2567">
          <cell r="A2567" t="str">
            <v>2629P937</v>
          </cell>
          <cell r="D2567" t="str">
            <v>TTS50</v>
          </cell>
          <cell r="E2567"/>
        </row>
        <row r="2568">
          <cell r="A2568" t="str">
            <v>2629KO47</v>
          </cell>
          <cell r="D2568" t="str">
            <v>TTS50</v>
          </cell>
          <cell r="E2568"/>
        </row>
        <row r="2569">
          <cell r="A2569" t="str">
            <v>2629LM47</v>
          </cell>
          <cell r="D2569" t="str">
            <v>TTS50</v>
          </cell>
          <cell r="E2569"/>
        </row>
        <row r="2570">
          <cell r="A2570" t="str">
            <v>2629LU47</v>
          </cell>
          <cell r="D2570" t="str">
            <v>TTS50</v>
          </cell>
          <cell r="E2570"/>
        </row>
        <row r="2571">
          <cell r="A2571" t="str">
            <v>2629SG17</v>
          </cell>
          <cell r="D2571" t="str">
            <v>KBP76</v>
          </cell>
          <cell r="E2571"/>
        </row>
        <row r="2572">
          <cell r="A2572" t="str">
            <v>2629U417</v>
          </cell>
          <cell r="D2572" t="str">
            <v>KBP55</v>
          </cell>
          <cell r="E2572"/>
        </row>
        <row r="2573">
          <cell r="A2573" t="str">
            <v>2629KU27</v>
          </cell>
          <cell r="D2573" t="str">
            <v>KBP55</v>
          </cell>
          <cell r="E2573"/>
        </row>
        <row r="2574">
          <cell r="A2574" t="str">
            <v>2629KJ27</v>
          </cell>
          <cell r="D2574" t="str">
            <v>KBP76</v>
          </cell>
          <cell r="E2574"/>
        </row>
        <row r="2575">
          <cell r="A2575" t="str">
            <v>2629V337</v>
          </cell>
          <cell r="D2575" t="str">
            <v>KBP76</v>
          </cell>
          <cell r="E2575"/>
        </row>
        <row r="2576">
          <cell r="A2576" t="str">
            <v>2629QV47</v>
          </cell>
          <cell r="D2576" t="str">
            <v>KBP76</v>
          </cell>
          <cell r="E2576"/>
        </row>
        <row r="2577">
          <cell r="A2577" t="str">
            <v>2629LO37</v>
          </cell>
          <cell r="D2577" t="str">
            <v>KBP76</v>
          </cell>
          <cell r="E2577"/>
        </row>
        <row r="2578">
          <cell r="A2578" t="str">
            <v>2629JS57</v>
          </cell>
          <cell r="D2578" t="str">
            <v>KBP76</v>
          </cell>
          <cell r="E2578"/>
        </row>
        <row r="2579">
          <cell r="A2579" t="str">
            <v>2629LL57</v>
          </cell>
          <cell r="D2579" t="str">
            <v>S706</v>
          </cell>
          <cell r="E2579"/>
        </row>
        <row r="2580">
          <cell r="A2580" t="str">
            <v>2629LT57</v>
          </cell>
          <cell r="D2580" t="str">
            <v>S706</v>
          </cell>
          <cell r="E2580"/>
        </row>
        <row r="2581">
          <cell r="A2581" t="str">
            <v>2629O157</v>
          </cell>
          <cell r="D2581" t="str">
            <v>S706</v>
          </cell>
          <cell r="E2581"/>
        </row>
        <row r="2582">
          <cell r="A2582" t="str">
            <v>2629OS37</v>
          </cell>
          <cell r="D2582" t="str">
            <v>TTS50</v>
          </cell>
          <cell r="E2582"/>
        </row>
        <row r="2583">
          <cell r="A2583" t="str">
            <v>2629KU47</v>
          </cell>
          <cell r="D2583" t="str">
            <v>TTS50</v>
          </cell>
          <cell r="E2583"/>
        </row>
        <row r="2584">
          <cell r="A2584" t="str">
            <v>2629KZ47</v>
          </cell>
          <cell r="D2584" t="str">
            <v>TTS50</v>
          </cell>
          <cell r="E2584"/>
        </row>
        <row r="2585">
          <cell r="A2585" t="str">
            <v>2629VW57</v>
          </cell>
          <cell r="D2585" t="str">
            <v>FTW102K</v>
          </cell>
          <cell r="E2585"/>
        </row>
        <row r="2586">
          <cell r="A2586" t="str">
            <v>2629SB47</v>
          </cell>
          <cell r="D2586" t="str">
            <v>KBP74</v>
          </cell>
          <cell r="E2586"/>
        </row>
        <row r="2587">
          <cell r="A2587" t="str">
            <v>2629SQ47</v>
          </cell>
          <cell r="D2587" t="str">
            <v>TTS80</v>
          </cell>
          <cell r="E2587"/>
        </row>
        <row r="2588">
          <cell r="A2588" t="str">
            <v>2629VX37</v>
          </cell>
          <cell r="D2588" t="str">
            <v>S805</v>
          </cell>
          <cell r="E2588"/>
        </row>
        <row r="2589">
          <cell r="A2589" t="str">
            <v>2629LN37</v>
          </cell>
          <cell r="D2589" t="str">
            <v>KBP76</v>
          </cell>
          <cell r="E2589"/>
        </row>
        <row r="2590">
          <cell r="A2590" t="str">
            <v>2628SW57</v>
          </cell>
          <cell r="D2590" t="str">
            <v>KBP86</v>
          </cell>
          <cell r="E2590"/>
        </row>
        <row r="2591">
          <cell r="A2591" t="str">
            <v>2629VE37</v>
          </cell>
          <cell r="D2591" t="str">
            <v>STA156KA</v>
          </cell>
          <cell r="E2591"/>
        </row>
        <row r="2592">
          <cell r="A2592" t="str">
            <v>2629S647</v>
          </cell>
          <cell r="D2592" t="str">
            <v>STA156KA</v>
          </cell>
          <cell r="E2592"/>
        </row>
        <row r="2593">
          <cell r="A2593" t="str">
            <v>2629QP57</v>
          </cell>
          <cell r="D2593" t="str">
            <v>STA156KA</v>
          </cell>
          <cell r="E2593"/>
        </row>
        <row r="2594">
          <cell r="A2594" t="str">
            <v>2629QR57</v>
          </cell>
          <cell r="D2594" t="str">
            <v>STA156KA</v>
          </cell>
          <cell r="E2594"/>
        </row>
        <row r="2595">
          <cell r="A2595" t="str">
            <v>2629QU57</v>
          </cell>
          <cell r="D2595" t="str">
            <v>STA156KA</v>
          </cell>
          <cell r="E2595"/>
        </row>
        <row r="2596">
          <cell r="A2596" t="str">
            <v>2630AN17</v>
          </cell>
          <cell r="D2596" t="str">
            <v>S15MB</v>
          </cell>
          <cell r="E2596"/>
        </row>
        <row r="2597">
          <cell r="A2597" t="str">
            <v>2629SA47</v>
          </cell>
          <cell r="D2597" t="str">
            <v>KBP74</v>
          </cell>
          <cell r="E2597"/>
        </row>
        <row r="2598">
          <cell r="A2598" t="str">
            <v>2629A957</v>
          </cell>
          <cell r="D2598" t="str">
            <v>STA156KA</v>
          </cell>
          <cell r="E2598"/>
        </row>
        <row r="2599">
          <cell r="A2599" t="str">
            <v>2629K457</v>
          </cell>
          <cell r="D2599" t="str">
            <v>FTW121KR</v>
          </cell>
          <cell r="E2599"/>
        </row>
        <row r="2600">
          <cell r="A2600" t="str">
            <v>2629K657</v>
          </cell>
          <cell r="D2600" t="str">
            <v>FTW121KR</v>
          </cell>
          <cell r="E2600"/>
        </row>
        <row r="2601">
          <cell r="A2601" t="str">
            <v>2629KK57</v>
          </cell>
          <cell r="D2601" t="str">
            <v>FTW121KR</v>
          </cell>
          <cell r="E2601"/>
        </row>
        <row r="2602">
          <cell r="A2602" t="str">
            <v>2629KP57</v>
          </cell>
          <cell r="D2602" t="str">
            <v>FTW121KR</v>
          </cell>
          <cell r="E2602"/>
        </row>
        <row r="2603">
          <cell r="A2603" t="str">
            <v>2629KQ57</v>
          </cell>
          <cell r="D2603" t="str">
            <v>FTW121KR</v>
          </cell>
          <cell r="E2603"/>
        </row>
        <row r="2604">
          <cell r="A2604" t="str">
            <v>2629JV57</v>
          </cell>
          <cell r="D2604" t="str">
            <v>FTW700</v>
          </cell>
          <cell r="E2604"/>
        </row>
        <row r="2605">
          <cell r="A2605" t="str">
            <v>2629JW57</v>
          </cell>
          <cell r="D2605" t="str">
            <v>FTW700</v>
          </cell>
          <cell r="E2605"/>
        </row>
        <row r="2606">
          <cell r="A2606" t="str">
            <v>2629JX57</v>
          </cell>
          <cell r="D2606" t="str">
            <v>FTW700</v>
          </cell>
          <cell r="E2606"/>
        </row>
        <row r="2607">
          <cell r="A2607" t="str">
            <v>2629JY57</v>
          </cell>
          <cell r="D2607" t="str">
            <v>FTW700</v>
          </cell>
          <cell r="E2607"/>
        </row>
        <row r="2608">
          <cell r="A2608" t="str">
            <v>2630JY17</v>
          </cell>
          <cell r="D2608" t="str">
            <v>FTW700</v>
          </cell>
          <cell r="E2608"/>
        </row>
        <row r="2609">
          <cell r="A2609" t="str">
            <v>2630JZ17</v>
          </cell>
          <cell r="D2609" t="str">
            <v>FTW700</v>
          </cell>
          <cell r="E2609"/>
        </row>
        <row r="2610">
          <cell r="A2610" t="str">
            <v>2629SU47</v>
          </cell>
          <cell r="D2610" t="str">
            <v>TTS80</v>
          </cell>
          <cell r="E2610"/>
        </row>
        <row r="2611">
          <cell r="A2611" t="str">
            <v>2629U547</v>
          </cell>
          <cell r="D2611" t="str">
            <v>TTS80</v>
          </cell>
          <cell r="E2611"/>
        </row>
        <row r="2612">
          <cell r="A2612" t="str">
            <v>2629U947</v>
          </cell>
          <cell r="D2612" t="str">
            <v>TTS80</v>
          </cell>
          <cell r="E2612"/>
        </row>
        <row r="2613">
          <cell r="A2613" t="str">
            <v>2629SF57</v>
          </cell>
          <cell r="D2613" t="str">
            <v>TTS80</v>
          </cell>
          <cell r="E2613"/>
        </row>
        <row r="2614">
          <cell r="A2614" t="str">
            <v>2629SH57</v>
          </cell>
          <cell r="D2614" t="str">
            <v>TTS80</v>
          </cell>
          <cell r="E2614"/>
        </row>
        <row r="2615">
          <cell r="A2615" t="str">
            <v>2629BA47</v>
          </cell>
          <cell r="D2615" t="str">
            <v>KBP76</v>
          </cell>
          <cell r="E2615"/>
        </row>
        <row r="2616">
          <cell r="A2616" t="str">
            <v>2629LE37</v>
          </cell>
          <cell r="D2616" t="str">
            <v>KBP86</v>
          </cell>
          <cell r="E2616"/>
        </row>
        <row r="2617">
          <cell r="A2617" t="str">
            <v>2629JQ47</v>
          </cell>
          <cell r="D2617" t="str">
            <v>KBP86</v>
          </cell>
          <cell r="E2617"/>
        </row>
        <row r="2618">
          <cell r="A2618" t="str">
            <v>2629HE57</v>
          </cell>
          <cell r="D2618" t="str">
            <v>KBP76</v>
          </cell>
          <cell r="E2618"/>
        </row>
        <row r="2619">
          <cell r="A2619" t="str">
            <v>2629LB37</v>
          </cell>
          <cell r="D2619" t="str">
            <v>KBP76</v>
          </cell>
          <cell r="E2619"/>
        </row>
        <row r="2620">
          <cell r="A2620" t="str">
            <v>2629BQ57</v>
          </cell>
          <cell r="D2620" t="str">
            <v>KBP86</v>
          </cell>
          <cell r="E2620"/>
        </row>
        <row r="2621">
          <cell r="A2621" t="str">
            <v>2629Q147</v>
          </cell>
          <cell r="D2621" t="str">
            <v>TTS80</v>
          </cell>
          <cell r="E2621"/>
        </row>
        <row r="2622">
          <cell r="A2622" t="str">
            <v>2629CE57</v>
          </cell>
          <cell r="D2622" t="str">
            <v>TTS80</v>
          </cell>
          <cell r="E2622"/>
        </row>
        <row r="2623">
          <cell r="A2623" t="str">
            <v>2629CF57</v>
          </cell>
          <cell r="D2623" t="str">
            <v>TTS80</v>
          </cell>
          <cell r="E2623"/>
        </row>
        <row r="2624">
          <cell r="A2624" t="str">
            <v>2629CG57</v>
          </cell>
          <cell r="D2624" t="str">
            <v>TTS80</v>
          </cell>
          <cell r="E2624"/>
        </row>
        <row r="2625">
          <cell r="A2625" t="str">
            <v>2629CH57</v>
          </cell>
          <cell r="D2625" t="str">
            <v>TTS80</v>
          </cell>
          <cell r="E2625"/>
        </row>
        <row r="2626">
          <cell r="A2626" t="str">
            <v>2629CI57</v>
          </cell>
          <cell r="D2626" t="str">
            <v>TTS80</v>
          </cell>
          <cell r="E2626"/>
        </row>
        <row r="2627">
          <cell r="A2627" t="str">
            <v>2629LJ57</v>
          </cell>
          <cell r="D2627" t="str">
            <v>TTS80</v>
          </cell>
          <cell r="E2627"/>
        </row>
        <row r="2628">
          <cell r="A2628" t="str">
            <v>2629PK37</v>
          </cell>
          <cell r="D2628" t="str">
            <v>FTP200</v>
          </cell>
          <cell r="E2628"/>
        </row>
        <row r="2629">
          <cell r="A2629" t="str">
            <v>2629SX17</v>
          </cell>
          <cell r="D2629" t="str">
            <v>TTS50</v>
          </cell>
          <cell r="E2629"/>
        </row>
        <row r="2630">
          <cell r="A2630" t="str">
            <v>2628LM67</v>
          </cell>
          <cell r="D2630" t="str">
            <v>FTP200</v>
          </cell>
          <cell r="E2630"/>
        </row>
        <row r="2631">
          <cell r="A2631" t="str">
            <v>2629QX57</v>
          </cell>
          <cell r="D2631" t="str">
            <v>FTP200</v>
          </cell>
          <cell r="E2631"/>
        </row>
        <row r="2632">
          <cell r="A2632" t="str">
            <v>2629S257</v>
          </cell>
          <cell r="D2632" t="str">
            <v>FTP200</v>
          </cell>
          <cell r="E2632"/>
        </row>
        <row r="2633">
          <cell r="A2633" t="str">
            <v>2629P747</v>
          </cell>
          <cell r="D2633" t="str">
            <v>FTP200</v>
          </cell>
          <cell r="E2633"/>
        </row>
        <row r="2634">
          <cell r="A2634" t="str">
            <v>2629Q747</v>
          </cell>
          <cell r="D2634" t="str">
            <v>S706</v>
          </cell>
          <cell r="E2634"/>
        </row>
        <row r="2635">
          <cell r="A2635" t="str">
            <v>2629LN57</v>
          </cell>
          <cell r="D2635" t="str">
            <v>S706</v>
          </cell>
          <cell r="E2635"/>
        </row>
        <row r="2636">
          <cell r="A2636" t="str">
            <v>2629LR57</v>
          </cell>
          <cell r="D2636" t="str">
            <v>S706</v>
          </cell>
          <cell r="E2636"/>
        </row>
        <row r="2637">
          <cell r="A2637" t="str">
            <v>2629LX57</v>
          </cell>
          <cell r="D2637" t="str">
            <v>S706</v>
          </cell>
          <cell r="E2637"/>
        </row>
        <row r="2638">
          <cell r="A2638" t="str">
            <v>2629OA37</v>
          </cell>
          <cell r="D2638" t="str">
            <v>TTS50</v>
          </cell>
          <cell r="E2638"/>
        </row>
        <row r="2639">
          <cell r="A2639" t="str">
            <v>2629OT37</v>
          </cell>
          <cell r="D2639" t="str">
            <v>TTS50</v>
          </cell>
          <cell r="E2639"/>
        </row>
        <row r="2640">
          <cell r="A2640" t="str">
            <v>2629P537</v>
          </cell>
          <cell r="D2640" t="str">
            <v>TTS50</v>
          </cell>
          <cell r="E2640"/>
        </row>
        <row r="2641">
          <cell r="A2641" t="str">
            <v>2629KJ47</v>
          </cell>
          <cell r="D2641" t="str">
            <v>TTS50</v>
          </cell>
          <cell r="E2641"/>
        </row>
        <row r="2642">
          <cell r="A2642" t="str">
            <v>2629KM47</v>
          </cell>
          <cell r="D2642" t="str">
            <v>TTS50</v>
          </cell>
          <cell r="E2642"/>
        </row>
        <row r="2643">
          <cell r="A2643" t="str">
            <v>2629KT47</v>
          </cell>
          <cell r="D2643" t="str">
            <v>TTS50</v>
          </cell>
          <cell r="E2643"/>
        </row>
        <row r="2644">
          <cell r="A2644" t="str">
            <v>2629KV47</v>
          </cell>
          <cell r="D2644" t="str">
            <v>TTS50</v>
          </cell>
          <cell r="E2644"/>
        </row>
        <row r="2645">
          <cell r="A2645" t="str">
            <v>2629KX47</v>
          </cell>
          <cell r="D2645" t="str">
            <v>TTS50</v>
          </cell>
          <cell r="E2645"/>
        </row>
        <row r="2646">
          <cell r="A2646" t="str">
            <v>2629L247</v>
          </cell>
          <cell r="D2646" t="str">
            <v>TTS50</v>
          </cell>
          <cell r="E2646"/>
        </row>
        <row r="2647">
          <cell r="A2647" t="str">
            <v>2629L447</v>
          </cell>
          <cell r="D2647" t="str">
            <v>TTS50</v>
          </cell>
          <cell r="E2647"/>
        </row>
        <row r="2648">
          <cell r="A2648" t="str">
            <v>2629L647</v>
          </cell>
          <cell r="D2648" t="str">
            <v>TTS50</v>
          </cell>
          <cell r="E2648"/>
        </row>
        <row r="2649">
          <cell r="A2649" t="str">
            <v>2629LB47</v>
          </cell>
          <cell r="D2649" t="str">
            <v>TTS50</v>
          </cell>
          <cell r="E2649"/>
        </row>
        <row r="2650">
          <cell r="A2650" t="str">
            <v>2629LD47</v>
          </cell>
          <cell r="D2650" t="str">
            <v>TTS50</v>
          </cell>
          <cell r="E2650"/>
        </row>
        <row r="2651">
          <cell r="A2651" t="str">
            <v>2629LE47</v>
          </cell>
          <cell r="D2651" t="str">
            <v>TTS50</v>
          </cell>
          <cell r="E2651"/>
        </row>
        <row r="2652">
          <cell r="A2652" t="str">
            <v>2629LJ47</v>
          </cell>
          <cell r="D2652" t="str">
            <v>TTS50</v>
          </cell>
          <cell r="E2652"/>
        </row>
        <row r="2653">
          <cell r="A2653" t="str">
            <v>2629LO47</v>
          </cell>
          <cell r="D2653" t="str">
            <v>TTS50</v>
          </cell>
          <cell r="E2653"/>
        </row>
        <row r="2654">
          <cell r="A2654" t="str">
            <v>2629LP47</v>
          </cell>
          <cell r="D2654" t="str">
            <v>TTS50</v>
          </cell>
          <cell r="E2654"/>
        </row>
        <row r="2655">
          <cell r="A2655" t="str">
            <v>2629LV47</v>
          </cell>
          <cell r="D2655" t="str">
            <v>TTS50</v>
          </cell>
          <cell r="E2655"/>
        </row>
        <row r="2656">
          <cell r="A2656" t="str">
            <v>2629LX47</v>
          </cell>
          <cell r="D2656" t="str">
            <v>TTS50</v>
          </cell>
          <cell r="E2656"/>
        </row>
        <row r="2657">
          <cell r="A2657" t="str">
            <v>2629O247</v>
          </cell>
          <cell r="D2657" t="str">
            <v>TTS50</v>
          </cell>
          <cell r="E2657"/>
        </row>
        <row r="2658">
          <cell r="A2658" t="str">
            <v>2629BC57</v>
          </cell>
          <cell r="D2658" t="str">
            <v>TTS50</v>
          </cell>
          <cell r="E2658"/>
        </row>
        <row r="2659">
          <cell r="A2659" t="str">
            <v>2629BF57</v>
          </cell>
          <cell r="D2659" t="str">
            <v>TTS50</v>
          </cell>
          <cell r="E2659"/>
        </row>
        <row r="2660">
          <cell r="A2660" t="str">
            <v>2629VY57</v>
          </cell>
          <cell r="D2660" t="str">
            <v>FTW102K</v>
          </cell>
          <cell r="E2660"/>
        </row>
        <row r="2661">
          <cell r="A2661" t="str">
            <v>2629SE47</v>
          </cell>
          <cell r="D2661" t="str">
            <v>KBP55</v>
          </cell>
          <cell r="E2661"/>
        </row>
        <row r="2662">
          <cell r="A2662" t="str">
            <v>2629SG47</v>
          </cell>
          <cell r="D2662" t="str">
            <v>KBP55</v>
          </cell>
          <cell r="E2662"/>
        </row>
        <row r="2663">
          <cell r="A2663" t="str">
            <v>2629V937</v>
          </cell>
          <cell r="D2663" t="str">
            <v>KBP76</v>
          </cell>
          <cell r="E2663"/>
        </row>
        <row r="2664">
          <cell r="A2664" t="str">
            <v>2629S247</v>
          </cell>
          <cell r="D2664" t="str">
            <v>KBP76</v>
          </cell>
          <cell r="E2664"/>
        </row>
        <row r="2665">
          <cell r="A2665" t="str">
            <v>2629QM57</v>
          </cell>
          <cell r="D2665" t="str">
            <v>KBP76</v>
          </cell>
          <cell r="E2665"/>
        </row>
        <row r="2666">
          <cell r="A2666" t="str">
            <v>2629G347</v>
          </cell>
          <cell r="D2666" t="str">
            <v>STA156KA</v>
          </cell>
          <cell r="E2666"/>
        </row>
        <row r="2667">
          <cell r="A2667" t="str">
            <v>2628H157</v>
          </cell>
          <cell r="D2667" t="str">
            <v>S805</v>
          </cell>
          <cell r="E2667"/>
        </row>
        <row r="2668">
          <cell r="A2668" t="str">
            <v>2629SL57</v>
          </cell>
          <cell r="D2668" t="str">
            <v>TTS80</v>
          </cell>
          <cell r="E2668"/>
        </row>
        <row r="2669">
          <cell r="A2669" t="str">
            <v>2628DJ67</v>
          </cell>
          <cell r="D2669" t="str">
            <v>FTP150</v>
          </cell>
          <cell r="E2669"/>
        </row>
        <row r="2670">
          <cell r="A2670" t="str">
            <v>2629G557</v>
          </cell>
          <cell r="D2670" t="str">
            <v>STA156KA</v>
          </cell>
          <cell r="E2670"/>
        </row>
        <row r="2671">
          <cell r="A2671" t="str">
            <v>2629SO47</v>
          </cell>
          <cell r="D2671" t="str">
            <v>TTS80</v>
          </cell>
          <cell r="E2671"/>
        </row>
        <row r="2672">
          <cell r="A2672" t="str">
            <v>2629U437</v>
          </cell>
          <cell r="D2672" t="str">
            <v>TTS80</v>
          </cell>
          <cell r="E2672"/>
        </row>
        <row r="2673">
          <cell r="A2673" t="str">
            <v>2629PW47</v>
          </cell>
          <cell r="D2673" t="str">
            <v>TTS80</v>
          </cell>
          <cell r="E2673"/>
        </row>
        <row r="2674">
          <cell r="A2674" t="str">
            <v>2629PY47</v>
          </cell>
          <cell r="D2674" t="str">
            <v>TTS80</v>
          </cell>
          <cell r="E2674"/>
        </row>
        <row r="2675">
          <cell r="A2675" t="str">
            <v>2629PZ47</v>
          </cell>
          <cell r="D2675" t="str">
            <v>TTS80</v>
          </cell>
          <cell r="E2675"/>
        </row>
        <row r="2676">
          <cell r="A2676" t="str">
            <v>2629VP37</v>
          </cell>
          <cell r="D2676" t="str">
            <v>TTS50</v>
          </cell>
          <cell r="E2676"/>
        </row>
        <row r="2677">
          <cell r="A2677" t="str">
            <v>2629KV27</v>
          </cell>
          <cell r="D2677" t="str">
            <v>KBP55</v>
          </cell>
          <cell r="E2677"/>
        </row>
        <row r="2678">
          <cell r="A2678" t="str">
            <v>2629KX27</v>
          </cell>
          <cell r="D2678" t="str">
            <v>KBP55</v>
          </cell>
          <cell r="E2678"/>
        </row>
        <row r="2679">
          <cell r="A2679" t="str">
            <v>2629KY27</v>
          </cell>
          <cell r="D2679" t="str">
            <v>KBP55</v>
          </cell>
          <cell r="E2679"/>
        </row>
        <row r="2680">
          <cell r="A2680" t="str">
            <v>2629KZ27</v>
          </cell>
          <cell r="D2680" t="str">
            <v>KBP55</v>
          </cell>
          <cell r="E2680"/>
        </row>
        <row r="2681">
          <cell r="A2681" t="str">
            <v>2629VL37</v>
          </cell>
          <cell r="D2681" t="str">
            <v>KBP55</v>
          </cell>
          <cell r="E2681"/>
        </row>
        <row r="2682">
          <cell r="A2682" t="str">
            <v>2629VM37</v>
          </cell>
          <cell r="D2682" t="str">
            <v>KBP55</v>
          </cell>
          <cell r="E2682"/>
        </row>
        <row r="2683">
          <cell r="A2683" t="str">
            <v>2629LM37</v>
          </cell>
          <cell r="D2683" t="str">
            <v>KBP76</v>
          </cell>
          <cell r="E2683"/>
        </row>
        <row r="2684">
          <cell r="A2684" t="str">
            <v>2630AJ17</v>
          </cell>
          <cell r="D2684" t="str">
            <v>KBP74</v>
          </cell>
          <cell r="E2684"/>
        </row>
        <row r="2685">
          <cell r="A2685" t="str">
            <v>2629JZ57</v>
          </cell>
          <cell r="D2685" t="str">
            <v>FTW121KR</v>
          </cell>
          <cell r="E2685"/>
        </row>
        <row r="2686">
          <cell r="A2686" t="str">
            <v>2629K157</v>
          </cell>
          <cell r="D2686" t="str">
            <v>FTW121KR</v>
          </cell>
          <cell r="E2686"/>
        </row>
        <row r="2687">
          <cell r="A2687" t="str">
            <v>2629K257</v>
          </cell>
          <cell r="D2687" t="str">
            <v>FTW121KR</v>
          </cell>
          <cell r="E2687"/>
        </row>
        <row r="2688">
          <cell r="A2688" t="str">
            <v>2629K557</v>
          </cell>
          <cell r="D2688" t="str">
            <v>FTW121KR</v>
          </cell>
          <cell r="E2688"/>
        </row>
        <row r="2689">
          <cell r="A2689" t="str">
            <v>2629K757</v>
          </cell>
          <cell r="D2689" t="str">
            <v>FTW121KR</v>
          </cell>
          <cell r="E2689"/>
        </row>
        <row r="2690">
          <cell r="A2690" t="str">
            <v>2629K857</v>
          </cell>
          <cell r="D2690" t="str">
            <v>FTW121KR</v>
          </cell>
          <cell r="E2690"/>
        </row>
        <row r="2691">
          <cell r="A2691" t="str">
            <v>2629K957</v>
          </cell>
          <cell r="D2691" t="str">
            <v>FTW121KR</v>
          </cell>
          <cell r="E2691"/>
        </row>
        <row r="2692">
          <cell r="A2692" t="str">
            <v>2629KA57</v>
          </cell>
          <cell r="D2692" t="str">
            <v>FTW121KR</v>
          </cell>
          <cell r="E2692"/>
        </row>
        <row r="2693">
          <cell r="A2693" t="str">
            <v>2629KC57</v>
          </cell>
          <cell r="D2693" t="str">
            <v>FTW121KR</v>
          </cell>
          <cell r="E2693"/>
        </row>
        <row r="2694">
          <cell r="A2694" t="str">
            <v>2629KD57</v>
          </cell>
          <cell r="D2694" t="str">
            <v>FTW121KR</v>
          </cell>
          <cell r="E2694"/>
        </row>
        <row r="2695">
          <cell r="A2695" t="str">
            <v>2629KE57</v>
          </cell>
          <cell r="D2695" t="str">
            <v>FTW121KR</v>
          </cell>
          <cell r="E2695"/>
        </row>
        <row r="2696">
          <cell r="A2696" t="str">
            <v>2629KG57</v>
          </cell>
          <cell r="D2696" t="str">
            <v>FTW121KR</v>
          </cell>
          <cell r="E2696"/>
        </row>
        <row r="2697">
          <cell r="A2697" t="str">
            <v>2629KL57</v>
          </cell>
          <cell r="D2697" t="str">
            <v>FTW121KR</v>
          </cell>
          <cell r="E2697"/>
        </row>
        <row r="2698">
          <cell r="A2698" t="str">
            <v>2629KM57</v>
          </cell>
          <cell r="D2698" t="str">
            <v>FTW121KR</v>
          </cell>
          <cell r="E2698"/>
        </row>
        <row r="2699">
          <cell r="A2699" t="str">
            <v>2629KR57</v>
          </cell>
          <cell r="D2699" t="str">
            <v>FTW121KR</v>
          </cell>
          <cell r="E2699"/>
        </row>
        <row r="2700">
          <cell r="A2700" t="str">
            <v>2630AF17</v>
          </cell>
          <cell r="D2700" t="str">
            <v>FTW121KR</v>
          </cell>
          <cell r="E2700"/>
        </row>
        <row r="2701">
          <cell r="A2701" t="str">
            <v>2630KG17</v>
          </cell>
          <cell r="D2701" t="str">
            <v>FTW121KR</v>
          </cell>
          <cell r="E2701"/>
        </row>
        <row r="2702">
          <cell r="A2702" t="str">
            <v>2630KK17</v>
          </cell>
          <cell r="D2702" t="str">
            <v>FTW121KR</v>
          </cell>
          <cell r="E2702"/>
        </row>
        <row r="2703">
          <cell r="A2703" t="str">
            <v>2630KO17</v>
          </cell>
          <cell r="D2703" t="str">
            <v>FTW121KR</v>
          </cell>
          <cell r="E2703"/>
        </row>
        <row r="2704">
          <cell r="A2704" t="str">
            <v>2629S957</v>
          </cell>
          <cell r="D2704" t="str">
            <v>TTS80</v>
          </cell>
          <cell r="E2704"/>
        </row>
        <row r="2705">
          <cell r="A2705" t="str">
            <v>2629CK57</v>
          </cell>
          <cell r="D2705" t="str">
            <v>TTS80</v>
          </cell>
          <cell r="E2705"/>
        </row>
        <row r="2706">
          <cell r="A2706" t="str">
            <v>2629Q757</v>
          </cell>
          <cell r="D2706" t="str">
            <v>KBP76</v>
          </cell>
          <cell r="E2706"/>
        </row>
        <row r="2707">
          <cell r="A2707" t="str">
            <v>2629WV57</v>
          </cell>
          <cell r="D2707" t="str">
            <v>TTS80</v>
          </cell>
          <cell r="E2707"/>
        </row>
        <row r="2708">
          <cell r="A2708" t="str">
            <v>2629Q247</v>
          </cell>
          <cell r="D2708" t="str">
            <v>TTS80</v>
          </cell>
          <cell r="E2708"/>
        </row>
        <row r="2709">
          <cell r="A2709" t="str">
            <v>2629CJ57</v>
          </cell>
          <cell r="D2709" t="str">
            <v>TTS80</v>
          </cell>
          <cell r="E2709"/>
        </row>
        <row r="2710">
          <cell r="A2710" t="str">
            <v>2630O117</v>
          </cell>
          <cell r="D2710" t="str">
            <v>TTS80</v>
          </cell>
          <cell r="E2710"/>
        </row>
        <row r="2711">
          <cell r="A2711" t="str">
            <v>2630O517</v>
          </cell>
          <cell r="D2711" t="str">
            <v>TTS80</v>
          </cell>
          <cell r="E2711"/>
        </row>
        <row r="2712">
          <cell r="A2712" t="str">
            <v>2629W957</v>
          </cell>
          <cell r="D2712" t="str">
            <v>KBP76</v>
          </cell>
          <cell r="E2712"/>
        </row>
        <row r="2713">
          <cell r="A2713" t="str">
            <v>2629KD47</v>
          </cell>
          <cell r="D2713" t="str">
            <v>FTP150</v>
          </cell>
          <cell r="E2713"/>
        </row>
        <row r="2714">
          <cell r="A2714" t="str">
            <v>2629KF47</v>
          </cell>
          <cell r="D2714" t="str">
            <v>FTP150</v>
          </cell>
          <cell r="E2714"/>
        </row>
        <row r="2715">
          <cell r="A2715" t="str">
            <v>2629LV57</v>
          </cell>
          <cell r="D2715" t="str">
            <v>S706</v>
          </cell>
          <cell r="E2715"/>
        </row>
        <row r="2716">
          <cell r="A2716" t="str">
            <v>2629LZ57</v>
          </cell>
          <cell r="D2716" t="str">
            <v>S706</v>
          </cell>
          <cell r="E2716"/>
        </row>
        <row r="2717">
          <cell r="A2717" t="str">
            <v>2629KL47</v>
          </cell>
          <cell r="D2717" t="str">
            <v>TTS50</v>
          </cell>
          <cell r="E2717"/>
        </row>
        <row r="2718">
          <cell r="A2718" t="str">
            <v>2629KQ47</v>
          </cell>
          <cell r="D2718" t="str">
            <v>TTS50</v>
          </cell>
          <cell r="E2718"/>
        </row>
        <row r="2719">
          <cell r="A2719" t="str">
            <v>2629L147</v>
          </cell>
          <cell r="D2719" t="str">
            <v>TTS50</v>
          </cell>
          <cell r="E2719"/>
        </row>
        <row r="2720">
          <cell r="A2720" t="str">
            <v>2629L347</v>
          </cell>
          <cell r="D2720" t="str">
            <v>TTS50</v>
          </cell>
          <cell r="E2720"/>
        </row>
        <row r="2721">
          <cell r="A2721" t="str">
            <v>2629L547</v>
          </cell>
          <cell r="D2721" t="str">
            <v>TTS50</v>
          </cell>
          <cell r="E2721"/>
        </row>
        <row r="2722">
          <cell r="A2722" t="str">
            <v>2629LH47</v>
          </cell>
          <cell r="D2722" t="str">
            <v>TTS50</v>
          </cell>
          <cell r="E2722"/>
        </row>
        <row r="2723">
          <cell r="A2723" t="str">
            <v>2629LL47</v>
          </cell>
          <cell r="D2723" t="str">
            <v>TTS50</v>
          </cell>
          <cell r="E2723"/>
        </row>
        <row r="2724">
          <cell r="A2724" t="str">
            <v>2629LW47</v>
          </cell>
          <cell r="D2724" t="str">
            <v>TTS50</v>
          </cell>
          <cell r="E2724"/>
        </row>
        <row r="2725">
          <cell r="A2725" t="str">
            <v>2629BG57</v>
          </cell>
          <cell r="D2725" t="str">
            <v>TTS50</v>
          </cell>
          <cell r="E2725"/>
        </row>
        <row r="2726">
          <cell r="A2726" t="str">
            <v>2629JA57</v>
          </cell>
          <cell r="D2726" t="str">
            <v>TTS50</v>
          </cell>
          <cell r="E2726"/>
        </row>
        <row r="2727">
          <cell r="A2727" t="str">
            <v>2629JE57</v>
          </cell>
          <cell r="D2727" t="str">
            <v>TTS50</v>
          </cell>
          <cell r="E2727"/>
        </row>
        <row r="2728">
          <cell r="A2728" t="str">
            <v>2629QI57</v>
          </cell>
          <cell r="D2728" t="str">
            <v>KBP76</v>
          </cell>
          <cell r="E2728"/>
        </row>
        <row r="2729">
          <cell r="A2729" t="str">
            <v>2629VO37</v>
          </cell>
          <cell r="D2729" t="str">
            <v>KBP55</v>
          </cell>
          <cell r="E2729"/>
        </row>
        <row r="2730">
          <cell r="A2730" t="str">
            <v>2629SC47</v>
          </cell>
          <cell r="D2730" t="str">
            <v>KBP55</v>
          </cell>
          <cell r="E2730"/>
        </row>
        <row r="2731">
          <cell r="A2731" t="str">
            <v>2629QZ47</v>
          </cell>
          <cell r="D2731" t="str">
            <v>KBP76</v>
          </cell>
          <cell r="E2731"/>
        </row>
        <row r="2732">
          <cell r="A2732" t="str">
            <v>2629OO57</v>
          </cell>
          <cell r="D2732" t="str">
            <v>KBP76</v>
          </cell>
          <cell r="E2732"/>
        </row>
        <row r="2733">
          <cell r="A2733" t="str">
            <v>2629CL57</v>
          </cell>
          <cell r="D2733" t="str">
            <v>KBP74</v>
          </cell>
          <cell r="E2733"/>
        </row>
        <row r="2734">
          <cell r="A2734" t="str">
            <v>2630AI17</v>
          </cell>
          <cell r="D2734" t="str">
            <v>KBP74</v>
          </cell>
          <cell r="E2734"/>
        </row>
        <row r="2735">
          <cell r="A2735" t="str">
            <v>2629G247</v>
          </cell>
          <cell r="D2735" t="str">
            <v>STA156KA</v>
          </cell>
          <cell r="E2735"/>
        </row>
        <row r="2736">
          <cell r="A2736" t="str">
            <v>2629SM57</v>
          </cell>
          <cell r="D2736" t="str">
            <v>TTS80</v>
          </cell>
          <cell r="E2736"/>
        </row>
        <row r="2737">
          <cell r="A2737" t="str">
            <v>2629SN57</v>
          </cell>
          <cell r="D2737" t="str">
            <v>TTS80</v>
          </cell>
          <cell r="E2737"/>
        </row>
        <row r="2738">
          <cell r="A2738" t="str">
            <v>2629WR57</v>
          </cell>
          <cell r="D2738" t="str">
            <v>KBP74</v>
          </cell>
          <cell r="E2738"/>
        </row>
        <row r="2739">
          <cell r="A2739" t="str">
            <v>2629WT57</v>
          </cell>
          <cell r="D2739" t="str">
            <v>KBP74</v>
          </cell>
          <cell r="E2739"/>
        </row>
        <row r="2740">
          <cell r="A2740" t="str">
            <v>2629U637</v>
          </cell>
          <cell r="D2740" t="str">
            <v>TTS80</v>
          </cell>
          <cell r="E2740"/>
        </row>
        <row r="2741">
          <cell r="A2741" t="str">
            <v>2629PU47</v>
          </cell>
          <cell r="D2741" t="str">
            <v>TTS80</v>
          </cell>
          <cell r="E2741"/>
        </row>
        <row r="2742">
          <cell r="A2742" t="str">
            <v>2629PV47</v>
          </cell>
          <cell r="D2742" t="str">
            <v>TTS80</v>
          </cell>
          <cell r="E2742"/>
        </row>
        <row r="2743">
          <cell r="A2743" t="str">
            <v>2630OH17</v>
          </cell>
          <cell r="D2743" t="str">
            <v>S706</v>
          </cell>
          <cell r="E2743"/>
        </row>
        <row r="2744">
          <cell r="A2744" t="str">
            <v>2629IN27</v>
          </cell>
          <cell r="D2744" t="str">
            <v>KBP76</v>
          </cell>
          <cell r="E2744"/>
        </row>
        <row r="2745">
          <cell r="A2745" t="str">
            <v>2629K147</v>
          </cell>
          <cell r="D2745" t="str">
            <v>KBP76</v>
          </cell>
          <cell r="E2745"/>
        </row>
        <row r="2746">
          <cell r="A2746" t="str">
            <v>2629QF57</v>
          </cell>
          <cell r="D2746" t="str">
            <v>TTS40</v>
          </cell>
          <cell r="E2746"/>
        </row>
        <row r="2747">
          <cell r="A2747" t="str">
            <v>2629B557</v>
          </cell>
          <cell r="D2747" t="str">
            <v>KBP76</v>
          </cell>
          <cell r="E2747"/>
        </row>
        <row r="2748">
          <cell r="A2748" t="str">
            <v>2629KH57</v>
          </cell>
          <cell r="D2748" t="str">
            <v>FTW121KR</v>
          </cell>
          <cell r="E2748"/>
        </row>
        <row r="2749">
          <cell r="A2749" t="str">
            <v>2629KN57</v>
          </cell>
          <cell r="D2749" t="str">
            <v>FTW121KR</v>
          </cell>
          <cell r="E2749"/>
        </row>
        <row r="2750">
          <cell r="A2750" t="str">
            <v>2629KS57</v>
          </cell>
          <cell r="D2750" t="str">
            <v>FTW121KR</v>
          </cell>
          <cell r="E2750"/>
        </row>
        <row r="2751">
          <cell r="A2751" t="str">
            <v>2630K417</v>
          </cell>
          <cell r="D2751" t="str">
            <v>FTW121KR</v>
          </cell>
          <cell r="E2751"/>
        </row>
        <row r="2752">
          <cell r="A2752" t="str">
            <v>2630KJ17</v>
          </cell>
          <cell r="D2752" t="str">
            <v>FTW121KR</v>
          </cell>
          <cell r="E2752"/>
        </row>
        <row r="2753">
          <cell r="A2753" t="str">
            <v>2630KR17</v>
          </cell>
          <cell r="D2753" t="str">
            <v>FTW121KR</v>
          </cell>
          <cell r="E2753"/>
        </row>
        <row r="2754">
          <cell r="A2754" t="str">
            <v>2630K117</v>
          </cell>
          <cell r="D2754" t="str">
            <v>FTW700</v>
          </cell>
          <cell r="E2754"/>
        </row>
        <row r="2755">
          <cell r="A2755" t="str">
            <v>2629W757</v>
          </cell>
          <cell r="D2755" t="str">
            <v>KBP76</v>
          </cell>
          <cell r="E2755"/>
        </row>
        <row r="2756">
          <cell r="A2756" t="str">
            <v>2629SD57</v>
          </cell>
          <cell r="D2756" t="str">
            <v>TTS80</v>
          </cell>
          <cell r="E2756"/>
        </row>
        <row r="2757">
          <cell r="A2757" t="str">
            <v>2629SG57</v>
          </cell>
          <cell r="D2757" t="str">
            <v>TTS80</v>
          </cell>
          <cell r="E2757"/>
        </row>
        <row r="2758">
          <cell r="A2758" t="str">
            <v>2630JU17</v>
          </cell>
          <cell r="D2758" t="str">
            <v>KBP76</v>
          </cell>
          <cell r="E2758"/>
        </row>
        <row r="2759">
          <cell r="A2759" t="str">
            <v>2629LD37</v>
          </cell>
          <cell r="D2759" t="str">
            <v>KBP86</v>
          </cell>
          <cell r="E2759"/>
        </row>
        <row r="2760">
          <cell r="A2760" t="str">
            <v>2629JT47</v>
          </cell>
          <cell r="D2760" t="str">
            <v>KBP86</v>
          </cell>
          <cell r="E2760"/>
        </row>
        <row r="2761">
          <cell r="A2761" t="str">
            <v>2629JW47</v>
          </cell>
          <cell r="D2761" t="str">
            <v>KBP86</v>
          </cell>
          <cell r="E2761"/>
        </row>
        <row r="2762">
          <cell r="A2762" t="str">
            <v>2629PB47</v>
          </cell>
          <cell r="D2762" t="str">
            <v>KBP86</v>
          </cell>
          <cell r="E2762"/>
        </row>
        <row r="2763">
          <cell r="A2763" t="str">
            <v>2629BO57</v>
          </cell>
          <cell r="D2763" t="str">
            <v>KBP86</v>
          </cell>
          <cell r="E2763"/>
        </row>
        <row r="2764">
          <cell r="A2764" t="str">
            <v>2629WA57</v>
          </cell>
          <cell r="D2764" t="str">
            <v>KBP76</v>
          </cell>
          <cell r="E2764"/>
        </row>
        <row r="2765">
          <cell r="A2765" t="str">
            <v>2629PL37</v>
          </cell>
          <cell r="D2765" t="str">
            <v>FTP200</v>
          </cell>
          <cell r="E2765"/>
        </row>
        <row r="2766">
          <cell r="A2766" t="str">
            <v>2629PM37</v>
          </cell>
          <cell r="D2766" t="str">
            <v>FTP200</v>
          </cell>
          <cell r="E2766"/>
        </row>
        <row r="2767">
          <cell r="A2767" t="str">
            <v>2629SS37</v>
          </cell>
          <cell r="D2767" t="str">
            <v>FTP200</v>
          </cell>
          <cell r="E2767"/>
        </row>
        <row r="2768">
          <cell r="A2768" t="str">
            <v>2629ST37</v>
          </cell>
          <cell r="D2768" t="str">
            <v>FTP200</v>
          </cell>
          <cell r="E2768"/>
        </row>
        <row r="2769">
          <cell r="A2769" t="str">
            <v>2629SU37</v>
          </cell>
          <cell r="D2769" t="str">
            <v>FTP200</v>
          </cell>
          <cell r="E2769"/>
        </row>
        <row r="2770">
          <cell r="A2770" t="str">
            <v>2629BS57</v>
          </cell>
          <cell r="D2770" t="str">
            <v>FTP200</v>
          </cell>
          <cell r="E2770"/>
        </row>
        <row r="2771">
          <cell r="A2771" t="str">
            <v>2629KC47</v>
          </cell>
          <cell r="D2771" t="str">
            <v>FTP150</v>
          </cell>
          <cell r="E2771"/>
        </row>
        <row r="2772">
          <cell r="A2772" t="str">
            <v>2630II17</v>
          </cell>
          <cell r="D2772" t="str">
            <v>FTP150</v>
          </cell>
          <cell r="E2772"/>
        </row>
        <row r="2773">
          <cell r="A2773" t="str">
            <v>2629W157</v>
          </cell>
          <cell r="D2773" t="str">
            <v>KBP34</v>
          </cell>
          <cell r="E2773"/>
        </row>
        <row r="2774">
          <cell r="A2774" t="str">
            <v>2629QM47</v>
          </cell>
          <cell r="D2774" t="str">
            <v>KBP76</v>
          </cell>
          <cell r="E2774"/>
        </row>
        <row r="2775">
          <cell r="A2775" t="str">
            <v>2629QK57</v>
          </cell>
          <cell r="D2775" t="str">
            <v>KBP76</v>
          </cell>
          <cell r="E2775"/>
        </row>
        <row r="2776">
          <cell r="A2776" t="str">
            <v>2629VZ57</v>
          </cell>
          <cell r="D2776" t="str">
            <v>FTW102K</v>
          </cell>
          <cell r="E2776"/>
        </row>
        <row r="2777">
          <cell r="A2777" t="str">
            <v>2629SD47</v>
          </cell>
          <cell r="D2777" t="str">
            <v>KBP55</v>
          </cell>
          <cell r="E2777"/>
        </row>
        <row r="2778">
          <cell r="A2778" t="str">
            <v>2629QT47</v>
          </cell>
          <cell r="D2778" t="str">
            <v>KBP76</v>
          </cell>
          <cell r="E2778"/>
        </row>
        <row r="2779">
          <cell r="A2779" t="str">
            <v>2629QL57</v>
          </cell>
          <cell r="D2779" t="str">
            <v>KBP76</v>
          </cell>
          <cell r="E2779"/>
        </row>
        <row r="2780">
          <cell r="A2780" t="str">
            <v>2629QN57</v>
          </cell>
          <cell r="D2780" t="str">
            <v>KBP76</v>
          </cell>
          <cell r="E2780"/>
        </row>
        <row r="2781">
          <cell r="A2781" t="str">
            <v>2629SP37</v>
          </cell>
          <cell r="D2781" t="str">
            <v>KBP86</v>
          </cell>
          <cell r="E2781"/>
        </row>
        <row r="2782">
          <cell r="A2782" t="str">
            <v>2629QY57</v>
          </cell>
          <cell r="D2782" t="str">
            <v>FTP200</v>
          </cell>
          <cell r="E2782"/>
        </row>
        <row r="2783">
          <cell r="A2783" t="str">
            <v>2629S357</v>
          </cell>
          <cell r="D2783" t="str">
            <v>FTP200</v>
          </cell>
          <cell r="E2783"/>
        </row>
        <row r="2784">
          <cell r="A2784" t="str">
            <v>2629LH37</v>
          </cell>
          <cell r="D2784" t="str">
            <v>KBP86</v>
          </cell>
          <cell r="E2784"/>
        </row>
        <row r="2785">
          <cell r="A2785" t="str">
            <v>2629J457</v>
          </cell>
          <cell r="D2785" t="str">
            <v>FTP150</v>
          </cell>
          <cell r="E2785"/>
        </row>
        <row r="2786">
          <cell r="A2786" t="str">
            <v>2629LQ57</v>
          </cell>
          <cell r="D2786" t="str">
            <v>S706</v>
          </cell>
          <cell r="E2786"/>
        </row>
        <row r="2787">
          <cell r="A2787" t="str">
            <v>2629SI47</v>
          </cell>
          <cell r="D2787" t="str">
            <v>TTS80</v>
          </cell>
          <cell r="E2787"/>
        </row>
        <row r="2788">
          <cell r="A2788" t="str">
            <v>2630OA17</v>
          </cell>
          <cell r="D2788" t="str">
            <v>S706</v>
          </cell>
          <cell r="E2788"/>
        </row>
        <row r="2789">
          <cell r="A2789" t="str">
            <v>2630OI17</v>
          </cell>
          <cell r="D2789" t="str">
            <v>S706</v>
          </cell>
          <cell r="E2789"/>
        </row>
        <row r="2790">
          <cell r="A2790" t="str">
            <v>2629VQ37</v>
          </cell>
          <cell r="D2790" t="str">
            <v>TTS50</v>
          </cell>
          <cell r="E2790"/>
        </row>
        <row r="2791">
          <cell r="A2791" t="str">
            <v>2629D427</v>
          </cell>
          <cell r="D2791" t="str">
            <v>KBP76</v>
          </cell>
          <cell r="E2791"/>
        </row>
        <row r="2792">
          <cell r="A2792" t="str">
            <v>2629JZ47</v>
          </cell>
          <cell r="D2792" t="str">
            <v>KBP76</v>
          </cell>
          <cell r="E2792"/>
        </row>
        <row r="2793">
          <cell r="A2793" t="str">
            <v>2629VD37</v>
          </cell>
          <cell r="D2793" t="str">
            <v>STA156KA</v>
          </cell>
          <cell r="E2793"/>
        </row>
        <row r="2794">
          <cell r="A2794" t="str">
            <v>2629S747</v>
          </cell>
          <cell r="D2794" t="str">
            <v>STA156KA</v>
          </cell>
          <cell r="E2794"/>
        </row>
        <row r="2795">
          <cell r="A2795" t="str">
            <v>2629QQ57</v>
          </cell>
          <cell r="D2795" t="str">
            <v>STA156KA</v>
          </cell>
          <cell r="E2795"/>
        </row>
        <row r="2796">
          <cell r="A2796" t="str">
            <v>2629QS57</v>
          </cell>
          <cell r="D2796" t="str">
            <v>STA156KA</v>
          </cell>
          <cell r="E2796"/>
        </row>
        <row r="2797">
          <cell r="A2797" t="str">
            <v>2629A557</v>
          </cell>
          <cell r="D2797" t="str">
            <v>KBP126</v>
          </cell>
          <cell r="E2797"/>
        </row>
        <row r="2798">
          <cell r="A2798" t="str">
            <v>2630IA17</v>
          </cell>
          <cell r="D2798" t="str">
            <v>KBP76</v>
          </cell>
          <cell r="E2798"/>
        </row>
        <row r="2799">
          <cell r="A2799" t="str">
            <v>2630Q317</v>
          </cell>
          <cell r="D2799" t="str">
            <v>KBP74</v>
          </cell>
          <cell r="E2799"/>
        </row>
        <row r="2800">
          <cell r="A2800" t="str">
            <v>2629KB57</v>
          </cell>
          <cell r="D2800" t="str">
            <v>FTW121KR</v>
          </cell>
          <cell r="E2800"/>
        </row>
        <row r="2801">
          <cell r="A2801" t="str">
            <v>2630KD17</v>
          </cell>
          <cell r="D2801" t="str">
            <v>FTW121KR</v>
          </cell>
          <cell r="E2801"/>
        </row>
        <row r="2802">
          <cell r="A2802" t="str">
            <v>2630KM17</v>
          </cell>
          <cell r="D2802" t="str">
            <v>FTW121KR</v>
          </cell>
          <cell r="E2802"/>
        </row>
        <row r="2803">
          <cell r="A2803" t="str">
            <v>2630KP17</v>
          </cell>
          <cell r="D2803" t="str">
            <v>FTW121KR</v>
          </cell>
          <cell r="E2803"/>
        </row>
        <row r="2804">
          <cell r="A2804" t="str">
            <v>2630JX17</v>
          </cell>
          <cell r="D2804" t="str">
            <v>FTW700</v>
          </cell>
          <cell r="E2804"/>
        </row>
        <row r="2805">
          <cell r="A2805" t="str">
            <v>2630KX27</v>
          </cell>
          <cell r="D2805" t="str">
            <v>FTW700</v>
          </cell>
          <cell r="E2805"/>
        </row>
        <row r="2806">
          <cell r="A2806" t="str">
            <v>2630ZI17</v>
          </cell>
          <cell r="D2806" t="str">
            <v>KBP76</v>
          </cell>
          <cell r="E2806"/>
        </row>
        <row r="2807">
          <cell r="A2807" t="str">
            <v>2629S857</v>
          </cell>
          <cell r="D2807" t="str">
            <v>TTS80</v>
          </cell>
          <cell r="E2807"/>
        </row>
        <row r="2808">
          <cell r="A2808" t="str">
            <v>2629SA57</v>
          </cell>
          <cell r="D2808" t="str">
            <v>TTS80</v>
          </cell>
          <cell r="E2808"/>
        </row>
        <row r="2809">
          <cell r="A2809" t="str">
            <v>2629SC57</v>
          </cell>
          <cell r="D2809" t="str">
            <v>TTS80</v>
          </cell>
          <cell r="E2809"/>
        </row>
        <row r="2810">
          <cell r="A2810" t="str">
            <v>2629SE57</v>
          </cell>
          <cell r="D2810" t="str">
            <v>TTS80</v>
          </cell>
          <cell r="E2810"/>
        </row>
        <row r="2811">
          <cell r="A2811" t="str">
            <v>2629SI57</v>
          </cell>
          <cell r="D2811" t="str">
            <v>TTS80</v>
          </cell>
          <cell r="E2811"/>
        </row>
        <row r="2812">
          <cell r="A2812" t="str">
            <v>2629SJ57</v>
          </cell>
          <cell r="D2812" t="str">
            <v>TTS80</v>
          </cell>
          <cell r="E2812"/>
        </row>
        <row r="2813">
          <cell r="A2813" t="str">
            <v>2629SK57</v>
          </cell>
          <cell r="D2813" t="str">
            <v>TTS80</v>
          </cell>
          <cell r="E2813"/>
        </row>
        <row r="2814">
          <cell r="A2814" t="str">
            <v>2630QO17</v>
          </cell>
          <cell r="D2814" t="str">
            <v>TTS80</v>
          </cell>
          <cell r="E2814"/>
        </row>
        <row r="2815">
          <cell r="A2815" t="str">
            <v>2630QT17</v>
          </cell>
          <cell r="D2815" t="str">
            <v>TTS80</v>
          </cell>
          <cell r="E2815"/>
        </row>
        <row r="2816">
          <cell r="A2816" t="str">
            <v>2629Q957</v>
          </cell>
          <cell r="D2816" t="str">
            <v>KBP76</v>
          </cell>
          <cell r="E2816"/>
        </row>
        <row r="2817">
          <cell r="A2817" t="str">
            <v>2629K747</v>
          </cell>
          <cell r="D2817" t="str">
            <v>KBP86</v>
          </cell>
          <cell r="E2817"/>
        </row>
        <row r="2818">
          <cell r="A2818" t="str">
            <v>2629K847</v>
          </cell>
          <cell r="D2818" t="str">
            <v>KBP86</v>
          </cell>
          <cell r="E2818"/>
        </row>
        <row r="2819">
          <cell r="A2819" t="str">
            <v>2630AE17</v>
          </cell>
          <cell r="D2819" t="str">
            <v>KBP76</v>
          </cell>
          <cell r="E2819"/>
        </row>
        <row r="2820">
          <cell r="A2820" t="str">
            <v>2629IU57</v>
          </cell>
          <cell r="D2820" t="str">
            <v>KBP76</v>
          </cell>
          <cell r="E2820"/>
        </row>
        <row r="2821">
          <cell r="A2821" t="str">
            <v>2629SM37</v>
          </cell>
          <cell r="D2821" t="str">
            <v>KBP86</v>
          </cell>
          <cell r="E2821"/>
        </row>
        <row r="2822">
          <cell r="A2822" t="str">
            <v>2629SO37</v>
          </cell>
          <cell r="D2822" t="str">
            <v>KBP86</v>
          </cell>
          <cell r="E2822"/>
        </row>
        <row r="2823">
          <cell r="A2823" t="str">
            <v>2629PC47</v>
          </cell>
          <cell r="D2823" t="str">
            <v>KBP86</v>
          </cell>
          <cell r="E2823"/>
        </row>
        <row r="2824">
          <cell r="A2824" t="str">
            <v>2629WW57</v>
          </cell>
          <cell r="D2824" t="str">
            <v>TTS80</v>
          </cell>
          <cell r="E2824"/>
        </row>
        <row r="2825">
          <cell r="A2825" t="str">
            <v>2630PA17</v>
          </cell>
          <cell r="D2825" t="str">
            <v>KBP52</v>
          </cell>
          <cell r="E2825"/>
        </row>
        <row r="2826">
          <cell r="A2826" t="str">
            <v>2629KE47</v>
          </cell>
          <cell r="D2826" t="str">
            <v>FTP150</v>
          </cell>
          <cell r="E2826"/>
        </row>
        <row r="2827">
          <cell r="A2827" t="str">
            <v>2629KH47</v>
          </cell>
          <cell r="D2827" t="str">
            <v>FTP150</v>
          </cell>
          <cell r="E2827"/>
        </row>
        <row r="2828">
          <cell r="A2828" t="str">
            <v>2630IF17</v>
          </cell>
          <cell r="D2828" t="str">
            <v>FTP150</v>
          </cell>
          <cell r="E2828"/>
        </row>
        <row r="2829">
          <cell r="A2829" t="str">
            <v>2629LM57</v>
          </cell>
          <cell r="D2829" t="str">
            <v>S706</v>
          </cell>
          <cell r="E2829"/>
        </row>
        <row r="2830">
          <cell r="A2830" t="str">
            <v>2630O617</v>
          </cell>
          <cell r="D2830" t="str">
            <v>S706</v>
          </cell>
          <cell r="E2830"/>
        </row>
        <row r="2831">
          <cell r="A2831" t="str">
            <v>2630O917</v>
          </cell>
          <cell r="D2831" t="str">
            <v>S706</v>
          </cell>
          <cell r="E2831"/>
        </row>
        <row r="2832">
          <cell r="A2832" t="str">
            <v>2629SH47</v>
          </cell>
          <cell r="D2832" t="str">
            <v>FTW102K</v>
          </cell>
          <cell r="E2832"/>
        </row>
        <row r="2833">
          <cell r="A2833" t="str">
            <v>2629JT57</v>
          </cell>
          <cell r="D2833" t="str">
            <v>TTS50</v>
          </cell>
          <cell r="E2833"/>
        </row>
        <row r="2834">
          <cell r="A2834" t="str">
            <v>2629KI47</v>
          </cell>
          <cell r="D2834" t="str">
            <v>TTS50</v>
          </cell>
          <cell r="E2834"/>
        </row>
        <row r="2835">
          <cell r="A2835" t="str">
            <v>2629KS47</v>
          </cell>
          <cell r="D2835" t="str">
            <v>TTS50</v>
          </cell>
          <cell r="E2835"/>
        </row>
        <row r="2836">
          <cell r="A2836" t="str">
            <v>2629KW47</v>
          </cell>
          <cell r="D2836" t="str">
            <v>TTS50</v>
          </cell>
          <cell r="E2836"/>
        </row>
        <row r="2837">
          <cell r="A2837" t="str">
            <v>2629LF47</v>
          </cell>
          <cell r="D2837" t="str">
            <v>TTS50</v>
          </cell>
          <cell r="E2837"/>
        </row>
        <row r="2838">
          <cell r="A2838" t="str">
            <v>2629LG47</v>
          </cell>
          <cell r="D2838" t="str">
            <v>TTS50</v>
          </cell>
          <cell r="E2838"/>
        </row>
        <row r="2839">
          <cell r="A2839" t="str">
            <v>2629LK47</v>
          </cell>
          <cell r="D2839" t="str">
            <v>TTS50</v>
          </cell>
          <cell r="E2839"/>
        </row>
        <row r="2840">
          <cell r="A2840" t="str">
            <v>2629LQ47</v>
          </cell>
          <cell r="D2840" t="str">
            <v>TTS50</v>
          </cell>
          <cell r="E2840"/>
        </row>
        <row r="2841">
          <cell r="A2841" t="str">
            <v>2629LY47</v>
          </cell>
          <cell r="D2841" t="str">
            <v>TTS50</v>
          </cell>
          <cell r="E2841"/>
        </row>
        <row r="2842">
          <cell r="A2842" t="str">
            <v>2629LZ47</v>
          </cell>
          <cell r="D2842" t="str">
            <v>TTS50</v>
          </cell>
          <cell r="E2842"/>
        </row>
        <row r="2843">
          <cell r="A2843" t="str">
            <v>2629O347</v>
          </cell>
          <cell r="D2843" t="str">
            <v>TTS50</v>
          </cell>
          <cell r="E2843"/>
        </row>
        <row r="2844">
          <cell r="A2844" t="str">
            <v>2629BD57</v>
          </cell>
          <cell r="D2844" t="str">
            <v>TTS50</v>
          </cell>
          <cell r="E2844"/>
        </row>
        <row r="2845">
          <cell r="A2845" t="str">
            <v>2629BI57</v>
          </cell>
          <cell r="D2845" t="str">
            <v>TTS50</v>
          </cell>
          <cell r="E2845"/>
        </row>
        <row r="2846">
          <cell r="A2846" t="str">
            <v>2629BK57</v>
          </cell>
          <cell r="D2846" t="str">
            <v>TTS50</v>
          </cell>
          <cell r="E2846"/>
        </row>
        <row r="2847">
          <cell r="A2847" t="str">
            <v>2629J757</v>
          </cell>
          <cell r="D2847" t="str">
            <v>TTS50</v>
          </cell>
          <cell r="E2847"/>
        </row>
        <row r="2848">
          <cell r="A2848" t="str">
            <v>2629J957</v>
          </cell>
          <cell r="D2848" t="str">
            <v>TTS50</v>
          </cell>
          <cell r="E2848"/>
        </row>
        <row r="2849">
          <cell r="A2849" t="str">
            <v>2629JB57</v>
          </cell>
          <cell r="D2849" t="str">
            <v>TTS50</v>
          </cell>
          <cell r="E2849"/>
        </row>
        <row r="2850">
          <cell r="A2850" t="str">
            <v>2629JD57</v>
          </cell>
          <cell r="D2850" t="str">
            <v>TTS50</v>
          </cell>
          <cell r="E2850"/>
        </row>
        <row r="2851">
          <cell r="A2851" t="str">
            <v>2629JF57</v>
          </cell>
          <cell r="D2851" t="str">
            <v>TTS50</v>
          </cell>
          <cell r="E2851"/>
        </row>
        <row r="2852">
          <cell r="A2852" t="str">
            <v>2629JH57</v>
          </cell>
          <cell r="D2852" t="str">
            <v>TTS50</v>
          </cell>
          <cell r="E2852"/>
        </row>
        <row r="2853">
          <cell r="A2853" t="str">
            <v>2629JI57</v>
          </cell>
          <cell r="D2853" t="str">
            <v>TTS50</v>
          </cell>
          <cell r="E2853"/>
        </row>
        <row r="2854">
          <cell r="A2854" t="str">
            <v>2629JK57</v>
          </cell>
          <cell r="D2854" t="str">
            <v>TTS50</v>
          </cell>
          <cell r="E2854"/>
        </row>
        <row r="2855">
          <cell r="A2855" t="str">
            <v>2630ZB17</v>
          </cell>
          <cell r="D2855" t="str">
            <v>TTS50</v>
          </cell>
          <cell r="E2855"/>
        </row>
        <row r="2856">
          <cell r="A2856" t="str">
            <v>2630IT17</v>
          </cell>
          <cell r="D2856" t="str">
            <v>TTS50</v>
          </cell>
          <cell r="E2856"/>
        </row>
        <row r="2857">
          <cell r="A2857" t="str">
            <v>2629VX57</v>
          </cell>
          <cell r="D2857" t="str">
            <v>FTW102K</v>
          </cell>
          <cell r="E2857"/>
        </row>
        <row r="2858">
          <cell r="A2858" t="str">
            <v>2629VN37</v>
          </cell>
          <cell r="D2858" t="str">
            <v>KBP55</v>
          </cell>
          <cell r="E2858"/>
        </row>
        <row r="2859">
          <cell r="A2859" t="str">
            <v>2629SF47</v>
          </cell>
          <cell r="D2859" t="str">
            <v>KBP55</v>
          </cell>
          <cell r="E2859"/>
        </row>
        <row r="2860">
          <cell r="A2860" t="str">
            <v>2629OP57</v>
          </cell>
          <cell r="D2860" t="str">
            <v>KBP76</v>
          </cell>
          <cell r="E2860"/>
        </row>
        <row r="2861">
          <cell r="A2861" t="str">
            <v>2629OQ57</v>
          </cell>
          <cell r="D2861" t="str">
            <v>KBP76</v>
          </cell>
          <cell r="E2861"/>
        </row>
        <row r="2862">
          <cell r="A2862" t="str">
            <v>2629OS57</v>
          </cell>
          <cell r="D2862" t="str">
            <v>KBP76</v>
          </cell>
          <cell r="E2862"/>
        </row>
        <row r="2863">
          <cell r="A2863" t="str">
            <v>2629QO57</v>
          </cell>
          <cell r="D2863" t="str">
            <v>KBP76</v>
          </cell>
          <cell r="E2863"/>
        </row>
        <row r="2864">
          <cell r="A2864" t="str">
            <v>2630PZ17</v>
          </cell>
          <cell r="D2864" t="str">
            <v>KBP74</v>
          </cell>
          <cell r="E2864"/>
        </row>
        <row r="2865">
          <cell r="A2865" t="str">
            <v>2629G457</v>
          </cell>
          <cell r="D2865" t="str">
            <v>STA156KA</v>
          </cell>
          <cell r="E2865"/>
        </row>
        <row r="2866">
          <cell r="A2866" t="str">
            <v>2629WS57</v>
          </cell>
          <cell r="D2866" t="str">
            <v>KBP74</v>
          </cell>
          <cell r="E2866"/>
        </row>
        <row r="2867">
          <cell r="A2867" t="str">
            <v>2629WU57</v>
          </cell>
          <cell r="D2867" t="str">
            <v>KBP74</v>
          </cell>
          <cell r="E2867"/>
        </row>
        <row r="2868">
          <cell r="A2868" t="str">
            <v>2630Q117</v>
          </cell>
          <cell r="D2868" t="str">
            <v>KBP74</v>
          </cell>
          <cell r="E2868"/>
        </row>
        <row r="2869">
          <cell r="A2869" t="str">
            <v>2630Q217</v>
          </cell>
          <cell r="D2869" t="str">
            <v>KBP74</v>
          </cell>
          <cell r="E2869"/>
        </row>
        <row r="2870">
          <cell r="A2870" t="str">
            <v>2629UZ37</v>
          </cell>
          <cell r="D2870" t="str">
            <v>KBP86</v>
          </cell>
          <cell r="E2870"/>
        </row>
        <row r="2871">
          <cell r="A2871" t="str">
            <v>2630IG17</v>
          </cell>
          <cell r="D2871" t="str">
            <v>FTP150</v>
          </cell>
          <cell r="E2871"/>
        </row>
        <row r="2872">
          <cell r="A2872" t="str">
            <v>2630IH17</v>
          </cell>
          <cell r="D2872" t="str">
            <v>FTP150</v>
          </cell>
          <cell r="E2872"/>
        </row>
        <row r="2873">
          <cell r="A2873" t="str">
            <v>2630IJ17</v>
          </cell>
          <cell r="D2873" t="str">
            <v>FTP150</v>
          </cell>
          <cell r="E2873"/>
        </row>
        <row r="2874">
          <cell r="A2874" t="str">
            <v>2630IK17</v>
          </cell>
          <cell r="D2874" t="str">
            <v>FTP150</v>
          </cell>
          <cell r="E2874"/>
        </row>
        <row r="2875">
          <cell r="A2875" t="str">
            <v>2630LK17</v>
          </cell>
          <cell r="D2875" t="str">
            <v>S706</v>
          </cell>
          <cell r="E2875"/>
        </row>
        <row r="2876">
          <cell r="A2876" t="str">
            <v>2629K347</v>
          </cell>
          <cell r="D2876" t="str">
            <v>KBP76</v>
          </cell>
          <cell r="E2876"/>
        </row>
        <row r="2877">
          <cell r="A2877" t="str">
            <v>2630AO17</v>
          </cell>
          <cell r="D2877" t="str">
            <v>S15MB</v>
          </cell>
          <cell r="E2877"/>
        </row>
        <row r="2878">
          <cell r="A2878" t="str">
            <v>2630CT17</v>
          </cell>
          <cell r="D2878" t="str">
            <v>S15MB</v>
          </cell>
          <cell r="E2878"/>
        </row>
        <row r="2879">
          <cell r="A2879" t="str">
            <v>2629QG57</v>
          </cell>
          <cell r="D2879" t="str">
            <v>TTS40</v>
          </cell>
          <cell r="E2879"/>
        </row>
        <row r="2880">
          <cell r="A2880" t="str">
            <v>2629QH57</v>
          </cell>
          <cell r="D2880" t="str">
            <v>KBP76</v>
          </cell>
          <cell r="E2880"/>
        </row>
        <row r="2881">
          <cell r="A2881" t="str">
            <v>2630PS27</v>
          </cell>
          <cell r="D2881" t="str">
            <v>KBP74</v>
          </cell>
          <cell r="E2881"/>
        </row>
        <row r="2882">
          <cell r="A2882" t="str">
            <v>2630PU27</v>
          </cell>
          <cell r="D2882" t="str">
            <v>KBP74</v>
          </cell>
          <cell r="E2882"/>
        </row>
        <row r="2883">
          <cell r="A2883" t="str">
            <v>2630K217</v>
          </cell>
          <cell r="D2883" t="str">
            <v>FTW121KR</v>
          </cell>
          <cell r="E2883"/>
        </row>
        <row r="2884">
          <cell r="A2884" t="str">
            <v>2630K317</v>
          </cell>
          <cell r="D2884" t="str">
            <v>FTW121KR</v>
          </cell>
          <cell r="E2884"/>
        </row>
        <row r="2885">
          <cell r="A2885" t="str">
            <v>2630K517</v>
          </cell>
          <cell r="D2885" t="str">
            <v>FTW121KR</v>
          </cell>
          <cell r="E2885"/>
        </row>
        <row r="2886">
          <cell r="A2886" t="str">
            <v>2630K617</v>
          </cell>
          <cell r="D2886" t="str">
            <v>FTW121KR</v>
          </cell>
          <cell r="E2886"/>
        </row>
        <row r="2887">
          <cell r="A2887" t="str">
            <v>2630K817</v>
          </cell>
          <cell r="D2887" t="str">
            <v>FTW121KR</v>
          </cell>
          <cell r="E2887"/>
        </row>
        <row r="2888">
          <cell r="A2888" t="str">
            <v>2630K917</v>
          </cell>
          <cell r="D2888" t="str">
            <v>FTW121KR</v>
          </cell>
          <cell r="E2888"/>
        </row>
        <row r="2889">
          <cell r="A2889" t="str">
            <v>2630KA17</v>
          </cell>
          <cell r="D2889" t="str">
            <v>FTW121KR</v>
          </cell>
          <cell r="E2889"/>
        </row>
        <row r="2890">
          <cell r="A2890" t="str">
            <v>2630KB17</v>
          </cell>
          <cell r="D2890" t="str">
            <v>FTW121KR</v>
          </cell>
          <cell r="E2890"/>
        </row>
        <row r="2891">
          <cell r="A2891" t="str">
            <v>2630KC17</v>
          </cell>
          <cell r="D2891" t="str">
            <v>FTW121KR</v>
          </cell>
          <cell r="E2891"/>
        </row>
        <row r="2892">
          <cell r="A2892" t="str">
            <v>2630KE17</v>
          </cell>
          <cell r="D2892" t="str">
            <v>FTW121KR</v>
          </cell>
          <cell r="E2892"/>
        </row>
        <row r="2893">
          <cell r="A2893" t="str">
            <v>2630KF17</v>
          </cell>
          <cell r="D2893" t="str">
            <v>FTW121KR</v>
          </cell>
          <cell r="E2893"/>
        </row>
        <row r="2894">
          <cell r="A2894" t="str">
            <v>2630KH17</v>
          </cell>
          <cell r="D2894" t="str">
            <v>FTW121KR</v>
          </cell>
          <cell r="E2894"/>
        </row>
        <row r="2895">
          <cell r="A2895" t="str">
            <v>2630KI17</v>
          </cell>
          <cell r="D2895" t="str">
            <v>FTW121KR</v>
          </cell>
          <cell r="E2895"/>
        </row>
        <row r="2896">
          <cell r="A2896" t="str">
            <v>2630KL17</v>
          </cell>
          <cell r="D2896" t="str">
            <v>FTW121KR</v>
          </cell>
          <cell r="E2896"/>
        </row>
        <row r="2897">
          <cell r="A2897" t="str">
            <v>2630KN17</v>
          </cell>
          <cell r="D2897" t="str">
            <v>FTW121KR</v>
          </cell>
          <cell r="E2897"/>
        </row>
        <row r="2898">
          <cell r="A2898" t="str">
            <v>2630KS17</v>
          </cell>
          <cell r="D2898" t="str">
            <v>FTW121KR</v>
          </cell>
          <cell r="E2898"/>
        </row>
        <row r="2899">
          <cell r="A2899" t="str">
            <v>2630L227</v>
          </cell>
          <cell r="D2899" t="str">
            <v>FTW121KR</v>
          </cell>
          <cell r="E2899"/>
        </row>
        <row r="2900">
          <cell r="A2900" t="str">
            <v>2630L627</v>
          </cell>
          <cell r="D2900" t="str">
            <v>FTW121KR</v>
          </cell>
          <cell r="E2900"/>
        </row>
        <row r="2901">
          <cell r="A2901" t="str">
            <v>2630LG27</v>
          </cell>
          <cell r="D2901" t="str">
            <v>FTW121KR</v>
          </cell>
          <cell r="E2901"/>
        </row>
        <row r="2902">
          <cell r="A2902" t="str">
            <v>2630LK27</v>
          </cell>
          <cell r="D2902" t="str">
            <v>FTW121KR</v>
          </cell>
          <cell r="E2902"/>
        </row>
        <row r="2903">
          <cell r="A2903" t="str">
            <v>2630LO27</v>
          </cell>
          <cell r="D2903" t="str">
            <v>FTW121KR</v>
          </cell>
          <cell r="E2903"/>
        </row>
        <row r="2904">
          <cell r="A2904" t="str">
            <v>2629WX57</v>
          </cell>
          <cell r="D2904" t="str">
            <v>KBP86</v>
          </cell>
          <cell r="E2904"/>
        </row>
        <row r="2905">
          <cell r="A2905" t="str">
            <v>2629SB57</v>
          </cell>
          <cell r="D2905" t="str">
            <v>TTS80</v>
          </cell>
          <cell r="E2905"/>
        </row>
        <row r="2906">
          <cell r="A2906" t="str">
            <v>2630QK17</v>
          </cell>
          <cell r="D2906" t="str">
            <v>TTS80</v>
          </cell>
          <cell r="E2906"/>
        </row>
        <row r="2907">
          <cell r="A2907" t="str">
            <v>2630QS17</v>
          </cell>
          <cell r="D2907" t="str">
            <v>TTS80</v>
          </cell>
          <cell r="E2907"/>
        </row>
        <row r="2908">
          <cell r="A2908" t="str">
            <v>2630QW17</v>
          </cell>
          <cell r="D2908" t="str">
            <v>TTS80</v>
          </cell>
          <cell r="E2908"/>
        </row>
        <row r="2909">
          <cell r="A2909" t="str">
            <v>2630F617</v>
          </cell>
          <cell r="D2909" t="str">
            <v>KBP76</v>
          </cell>
          <cell r="E2909"/>
        </row>
        <row r="2910">
          <cell r="A2910" t="str">
            <v>2629PA47</v>
          </cell>
          <cell r="D2910" t="str">
            <v>KBP86</v>
          </cell>
          <cell r="E2910"/>
        </row>
        <row r="2911">
          <cell r="A2911" t="str">
            <v>2629W557</v>
          </cell>
          <cell r="D2911" t="str">
            <v>KBP52</v>
          </cell>
          <cell r="E2911"/>
        </row>
        <row r="2912">
          <cell r="A2912" t="str">
            <v>2629W657</v>
          </cell>
          <cell r="D2912" t="str">
            <v>KBP52</v>
          </cell>
          <cell r="E2912"/>
        </row>
        <row r="2913">
          <cell r="A2913" t="str">
            <v>2630OV17</v>
          </cell>
          <cell r="D2913" t="str">
            <v>KBP76</v>
          </cell>
          <cell r="E2913"/>
        </row>
        <row r="2914">
          <cell r="A2914" t="str">
            <v>2629VR37</v>
          </cell>
          <cell r="D2914" t="str">
            <v>FTP200</v>
          </cell>
          <cell r="E2914"/>
        </row>
        <row r="2915">
          <cell r="A2915" t="str">
            <v>2629P647</v>
          </cell>
          <cell r="D2915" t="str">
            <v>FTP200</v>
          </cell>
          <cell r="E2915"/>
        </row>
        <row r="2916">
          <cell r="A2916" t="str">
            <v>2629PH47</v>
          </cell>
          <cell r="D2916" t="str">
            <v>FTP200</v>
          </cell>
          <cell r="E2916"/>
        </row>
        <row r="2917">
          <cell r="A2917" t="str">
            <v>2629PI47</v>
          </cell>
          <cell r="D2917" t="str">
            <v>FTP200</v>
          </cell>
          <cell r="E2917"/>
        </row>
        <row r="2918">
          <cell r="A2918" t="str">
            <v>2629PJ47</v>
          </cell>
          <cell r="D2918" t="str">
            <v>FTP200</v>
          </cell>
          <cell r="E2918"/>
        </row>
        <row r="2919">
          <cell r="A2919" t="str">
            <v>2629BR57</v>
          </cell>
          <cell r="D2919" t="str">
            <v>FTP200</v>
          </cell>
          <cell r="E2919"/>
        </row>
        <row r="2920">
          <cell r="A2920" t="str">
            <v>2629BT57</v>
          </cell>
          <cell r="D2920" t="str">
            <v>FTP200</v>
          </cell>
          <cell r="E2920"/>
        </row>
        <row r="2921">
          <cell r="A2921" t="str">
            <v>2629J557</v>
          </cell>
          <cell r="D2921" t="str">
            <v>FTP150</v>
          </cell>
          <cell r="E2921"/>
        </row>
        <row r="2922">
          <cell r="A2922" t="str">
            <v>2630O717</v>
          </cell>
          <cell r="D2922" t="str">
            <v>S706</v>
          </cell>
          <cell r="E2922"/>
        </row>
        <row r="2923">
          <cell r="A2923" t="str">
            <v>2630O817</v>
          </cell>
          <cell r="D2923" t="str">
            <v>S706</v>
          </cell>
          <cell r="E2923"/>
        </row>
        <row r="2924">
          <cell r="A2924" t="str">
            <v>2630OC17</v>
          </cell>
          <cell r="D2924" t="str">
            <v>S706</v>
          </cell>
          <cell r="E2924"/>
        </row>
        <row r="2925">
          <cell r="A2925" t="str">
            <v>2630OD17</v>
          </cell>
          <cell r="D2925" t="str">
            <v>S706</v>
          </cell>
          <cell r="E2925"/>
        </row>
        <row r="2926">
          <cell r="A2926" t="str">
            <v>2630OE17</v>
          </cell>
          <cell r="D2926" t="str">
            <v>S706</v>
          </cell>
          <cell r="E2926"/>
        </row>
        <row r="2927">
          <cell r="A2927" t="str">
            <v>2630OJ17</v>
          </cell>
          <cell r="D2927" t="str">
            <v>S706</v>
          </cell>
          <cell r="E2927"/>
        </row>
        <row r="2928">
          <cell r="A2928" t="str">
            <v>2630OK17</v>
          </cell>
          <cell r="D2928" t="str">
            <v>S706</v>
          </cell>
          <cell r="E2928"/>
        </row>
        <row r="2929">
          <cell r="A2929" t="str">
            <v>2629YC57</v>
          </cell>
          <cell r="D2929" t="str">
            <v>TTS50</v>
          </cell>
          <cell r="E2929"/>
        </row>
        <row r="2930">
          <cell r="A2930" t="str">
            <v>2629YG57</v>
          </cell>
          <cell r="D2930" t="str">
            <v>TTS50</v>
          </cell>
          <cell r="E2930"/>
        </row>
        <row r="2931">
          <cell r="A2931" t="str">
            <v>2629PA17</v>
          </cell>
          <cell r="D2931" t="str">
            <v>FTW102K</v>
          </cell>
          <cell r="E2931"/>
        </row>
        <row r="2932">
          <cell r="A2932" t="str">
            <v>2630LI17</v>
          </cell>
          <cell r="D2932" t="str">
            <v>KBP34</v>
          </cell>
          <cell r="E2932"/>
        </row>
        <row r="2933">
          <cell r="A2933" t="str">
            <v>2630O527</v>
          </cell>
          <cell r="D2933" t="str">
            <v>KBP34</v>
          </cell>
          <cell r="E2933"/>
        </row>
        <row r="2934">
          <cell r="A2934" t="str">
            <v>2630IM17</v>
          </cell>
          <cell r="D2934" t="str">
            <v>TTS50</v>
          </cell>
          <cell r="E2934"/>
        </row>
        <row r="2935">
          <cell r="A2935" t="str">
            <v>2630PE17</v>
          </cell>
          <cell r="D2935" t="str">
            <v>KBP76</v>
          </cell>
          <cell r="E2935"/>
        </row>
        <row r="2936">
          <cell r="A2936" t="str">
            <v>2630PF17</v>
          </cell>
          <cell r="D2936" t="str">
            <v>KBP76</v>
          </cell>
          <cell r="E2936"/>
        </row>
        <row r="2937">
          <cell r="A2937" t="str">
            <v>2629QZ57</v>
          </cell>
          <cell r="D2937" t="str">
            <v>FTP200</v>
          </cell>
          <cell r="E2937"/>
        </row>
        <row r="2938">
          <cell r="A2938" t="str">
            <v>2629S157</v>
          </cell>
          <cell r="D2938" t="str">
            <v>FTP200</v>
          </cell>
          <cell r="E2938"/>
        </row>
        <row r="2939">
          <cell r="A2939" t="str">
            <v>2629S557</v>
          </cell>
          <cell r="D2939" t="str">
            <v>FTP200</v>
          </cell>
          <cell r="E2939"/>
        </row>
        <row r="2940">
          <cell r="A2940" t="str">
            <v>2629S757</v>
          </cell>
          <cell r="D2940" t="str">
            <v>FTP200</v>
          </cell>
          <cell r="E2940"/>
        </row>
        <row r="2941">
          <cell r="A2941" t="str">
            <v>2630QB17</v>
          </cell>
          <cell r="D2941" t="str">
            <v>FTP200</v>
          </cell>
          <cell r="E2941"/>
        </row>
        <row r="2942">
          <cell r="A2942" t="str">
            <v>2630AK17</v>
          </cell>
          <cell r="D2942" t="str">
            <v>S805</v>
          </cell>
          <cell r="E2942"/>
        </row>
        <row r="2943">
          <cell r="A2943" t="str">
            <v>2630IB17</v>
          </cell>
          <cell r="D2943" t="str">
            <v>KBP76</v>
          </cell>
          <cell r="E2943"/>
        </row>
        <row r="2944">
          <cell r="A2944" t="str">
            <v>2630GP17</v>
          </cell>
          <cell r="D2944" t="str">
            <v>KBP86</v>
          </cell>
          <cell r="E2944"/>
        </row>
        <row r="2945">
          <cell r="A2945" t="str">
            <v>2630HO17</v>
          </cell>
          <cell r="D2945" t="str">
            <v>KBP86</v>
          </cell>
          <cell r="E2945"/>
        </row>
        <row r="2946">
          <cell r="A2946" t="str">
            <v>2630KV27</v>
          </cell>
          <cell r="D2946" t="str">
            <v>FTW700</v>
          </cell>
          <cell r="E2946"/>
        </row>
        <row r="2947">
          <cell r="A2947" t="str">
            <v>2630ZH17</v>
          </cell>
          <cell r="D2947" t="str">
            <v>KBP76</v>
          </cell>
          <cell r="E2947"/>
        </row>
        <row r="2948">
          <cell r="A2948" t="str">
            <v>2629WY57</v>
          </cell>
          <cell r="D2948" t="str">
            <v>KBP86</v>
          </cell>
          <cell r="E2948"/>
        </row>
        <row r="2949">
          <cell r="A2949" t="str">
            <v>2629SO57</v>
          </cell>
          <cell r="D2949" t="str">
            <v>TTS80</v>
          </cell>
          <cell r="E2949"/>
        </row>
        <row r="2950">
          <cell r="A2950" t="str">
            <v>2630QI17</v>
          </cell>
          <cell r="D2950" t="str">
            <v>TTS80</v>
          </cell>
          <cell r="E2950"/>
        </row>
        <row r="2951">
          <cell r="A2951" t="str">
            <v>2630QN17</v>
          </cell>
          <cell r="D2951" t="str">
            <v>TTS80</v>
          </cell>
          <cell r="E2951"/>
        </row>
        <row r="2952">
          <cell r="A2952" t="str">
            <v>2630QQ17</v>
          </cell>
          <cell r="D2952" t="str">
            <v>TTS80</v>
          </cell>
          <cell r="E2952"/>
        </row>
        <row r="2953">
          <cell r="A2953" t="str">
            <v>2630QR17</v>
          </cell>
          <cell r="D2953" t="str">
            <v>TTS80</v>
          </cell>
          <cell r="E2953"/>
        </row>
        <row r="2954">
          <cell r="A2954" t="str">
            <v>2630QU17</v>
          </cell>
          <cell r="D2954" t="str">
            <v>TTS80</v>
          </cell>
          <cell r="E2954"/>
        </row>
        <row r="2955">
          <cell r="A2955" t="str">
            <v>2629IY57</v>
          </cell>
          <cell r="D2955" t="str">
            <v>KBP86</v>
          </cell>
          <cell r="E2955"/>
        </row>
        <row r="2956">
          <cell r="A2956" t="str">
            <v>2629JS47</v>
          </cell>
          <cell r="D2956" t="str">
            <v>KBP86</v>
          </cell>
          <cell r="E2956"/>
        </row>
        <row r="2957">
          <cell r="A2957" t="str">
            <v>2629JV47</v>
          </cell>
          <cell r="D2957" t="str">
            <v>KBP86</v>
          </cell>
          <cell r="E2957"/>
        </row>
        <row r="2958">
          <cell r="A2958" t="str">
            <v>2629JX47</v>
          </cell>
          <cell r="D2958" t="str">
            <v>KBP86</v>
          </cell>
          <cell r="E2958"/>
        </row>
        <row r="2959">
          <cell r="A2959" t="str">
            <v>2629JY47</v>
          </cell>
          <cell r="D2959" t="str">
            <v>KBP86</v>
          </cell>
          <cell r="E2959"/>
        </row>
        <row r="2960">
          <cell r="A2960" t="str">
            <v>2629IM57</v>
          </cell>
          <cell r="D2960" t="str">
            <v>KBP86</v>
          </cell>
          <cell r="E2960"/>
        </row>
        <row r="2961">
          <cell r="A2961" t="str">
            <v>2629BP57</v>
          </cell>
          <cell r="D2961" t="str">
            <v>KBP86</v>
          </cell>
          <cell r="E2961"/>
        </row>
        <row r="2962">
          <cell r="A2962" t="str">
            <v>2629KZ57</v>
          </cell>
          <cell r="D2962" t="str">
            <v>KBP86</v>
          </cell>
          <cell r="E2962"/>
        </row>
        <row r="2963">
          <cell r="A2963" t="str">
            <v>2630KV17</v>
          </cell>
          <cell r="D2963" t="str">
            <v>KBP86</v>
          </cell>
          <cell r="E2963"/>
        </row>
        <row r="2964">
          <cell r="A2964" t="str">
            <v>2630KX17</v>
          </cell>
          <cell r="D2964" t="str">
            <v>KBP86</v>
          </cell>
          <cell r="E2964"/>
        </row>
        <row r="2965">
          <cell r="A2965" t="str">
            <v>2630JQ27</v>
          </cell>
          <cell r="D2965" t="str">
            <v>FTP150</v>
          </cell>
          <cell r="E2965"/>
        </row>
        <row r="2966">
          <cell r="A2966" t="str">
            <v>2630ZV17</v>
          </cell>
          <cell r="D2966" t="str">
            <v>TTS50</v>
          </cell>
          <cell r="E2966"/>
        </row>
        <row r="2967">
          <cell r="A2967" t="str">
            <v>2630KO27</v>
          </cell>
          <cell r="D2967" t="str">
            <v>FTW102K</v>
          </cell>
          <cell r="E2967"/>
        </row>
        <row r="2968">
          <cell r="A2968" t="str">
            <v>2629BJ57</v>
          </cell>
          <cell r="D2968" t="str">
            <v>TTS50</v>
          </cell>
          <cell r="E2968"/>
        </row>
        <row r="2969">
          <cell r="A2969" t="str">
            <v>2629J657</v>
          </cell>
          <cell r="D2969" t="str">
            <v>TTS50</v>
          </cell>
          <cell r="E2969"/>
        </row>
        <row r="2970">
          <cell r="A2970" t="str">
            <v>2629J857</v>
          </cell>
          <cell r="D2970" t="str">
            <v>TTS50</v>
          </cell>
          <cell r="E2970"/>
        </row>
        <row r="2971">
          <cell r="A2971" t="str">
            <v>2629JJ57</v>
          </cell>
          <cell r="D2971" t="str">
            <v>TTS50</v>
          </cell>
          <cell r="E2971"/>
        </row>
        <row r="2972">
          <cell r="A2972" t="str">
            <v>2630IP17</v>
          </cell>
          <cell r="D2972" t="str">
            <v>TTS50</v>
          </cell>
          <cell r="E2972"/>
        </row>
        <row r="2973">
          <cell r="A2973" t="str">
            <v>2630IY17</v>
          </cell>
          <cell r="D2973" t="str">
            <v>TTS50</v>
          </cell>
          <cell r="E2973"/>
        </row>
        <row r="2974">
          <cell r="A2974" t="str">
            <v>2630J317</v>
          </cell>
          <cell r="D2974" t="str">
            <v>TTS50</v>
          </cell>
          <cell r="E2974"/>
        </row>
        <row r="2975">
          <cell r="A2975" t="str">
            <v>2630J417</v>
          </cell>
          <cell r="D2975" t="str">
            <v>TTS50</v>
          </cell>
          <cell r="E2975"/>
        </row>
        <row r="2976">
          <cell r="A2976" t="str">
            <v>2630L617</v>
          </cell>
          <cell r="D2976" t="str">
            <v>FTW102K</v>
          </cell>
          <cell r="E2976"/>
        </row>
        <row r="2977">
          <cell r="A2977" t="str">
            <v>2630L717</v>
          </cell>
          <cell r="D2977" t="str">
            <v>FTW102K</v>
          </cell>
          <cell r="E2977"/>
        </row>
        <row r="2978">
          <cell r="A2978" t="str">
            <v>2629F747</v>
          </cell>
          <cell r="D2978" t="str">
            <v>KBP126</v>
          </cell>
          <cell r="E2978"/>
        </row>
        <row r="2979">
          <cell r="A2979" t="str">
            <v>2630CC17</v>
          </cell>
          <cell r="D2979" t="str">
            <v>S805</v>
          </cell>
          <cell r="E2979"/>
        </row>
        <row r="2980">
          <cell r="A2980" t="str">
            <v>2630JI27</v>
          </cell>
          <cell r="D2980" t="str">
            <v>KBP76</v>
          </cell>
          <cell r="E2980"/>
        </row>
        <row r="2981">
          <cell r="A2981" t="str">
            <v>2630HN17</v>
          </cell>
          <cell r="D2981" t="str">
            <v>KBP86</v>
          </cell>
          <cell r="E2981"/>
        </row>
        <row r="2982">
          <cell r="A2982" t="str">
            <v>2629LI47</v>
          </cell>
          <cell r="D2982" t="str">
            <v>TTS50</v>
          </cell>
          <cell r="E2982"/>
        </row>
        <row r="2983">
          <cell r="A2983" t="str">
            <v>2629BE57</v>
          </cell>
          <cell r="D2983" t="str">
            <v>TTS50</v>
          </cell>
          <cell r="E2983"/>
        </row>
        <row r="2984">
          <cell r="A2984" t="str">
            <v>2630IV17</v>
          </cell>
          <cell r="D2984" t="str">
            <v>TTS50</v>
          </cell>
          <cell r="E2984"/>
        </row>
        <row r="2985">
          <cell r="A2985" t="str">
            <v>2630JL27</v>
          </cell>
          <cell r="D2985" t="str">
            <v>FTP150</v>
          </cell>
          <cell r="E2985"/>
        </row>
        <row r="2986">
          <cell r="A2986" t="str">
            <v>2629W357</v>
          </cell>
          <cell r="D2986" t="str">
            <v>S706</v>
          </cell>
          <cell r="E2986"/>
        </row>
        <row r="2987">
          <cell r="A2987" t="str">
            <v>2629W457</v>
          </cell>
          <cell r="D2987" t="str">
            <v>S706</v>
          </cell>
          <cell r="E2987"/>
        </row>
        <row r="2988">
          <cell r="A2988" t="str">
            <v>2630LJ17</v>
          </cell>
          <cell r="D2988" t="str">
            <v>S706</v>
          </cell>
          <cell r="E2988"/>
        </row>
        <row r="2989">
          <cell r="A2989" t="str">
            <v>2630QF17</v>
          </cell>
          <cell r="D2989" t="str">
            <v>FTP200</v>
          </cell>
          <cell r="E2989"/>
        </row>
        <row r="2990">
          <cell r="A2990" t="str">
            <v>2629K247</v>
          </cell>
          <cell r="D2990" t="str">
            <v>KBP76</v>
          </cell>
          <cell r="E2990"/>
        </row>
        <row r="2991">
          <cell r="A2991" t="str">
            <v>2629IS57</v>
          </cell>
          <cell r="D2991" t="str">
            <v>KBP76</v>
          </cell>
          <cell r="E2991"/>
        </row>
        <row r="2992">
          <cell r="A2992" t="str">
            <v>2630I917</v>
          </cell>
          <cell r="D2992" t="str">
            <v>KBP76</v>
          </cell>
          <cell r="E2992"/>
        </row>
        <row r="2993">
          <cell r="A2993" t="str">
            <v>2630JH27</v>
          </cell>
          <cell r="D2993" t="str">
            <v>KBP76</v>
          </cell>
          <cell r="E2993"/>
        </row>
        <row r="2994">
          <cell r="A2994" t="str">
            <v>2630JJ27</v>
          </cell>
          <cell r="D2994" t="str">
            <v>KBP76</v>
          </cell>
          <cell r="E2994"/>
        </row>
        <row r="2995">
          <cell r="A2995" t="str">
            <v>2630PV27</v>
          </cell>
          <cell r="D2995" t="str">
            <v>KBP74</v>
          </cell>
          <cell r="E2995"/>
        </row>
        <row r="2996">
          <cell r="A2996" t="str">
            <v>2630KQ17</v>
          </cell>
          <cell r="D2996" t="str">
            <v>FTW121KR</v>
          </cell>
          <cell r="E2996"/>
        </row>
        <row r="2997">
          <cell r="A2997" t="str">
            <v>2630KZ27</v>
          </cell>
          <cell r="D2997" t="str">
            <v>FTW121KR</v>
          </cell>
          <cell r="E2997"/>
        </row>
        <row r="2998">
          <cell r="A2998" t="str">
            <v>2630L327</v>
          </cell>
          <cell r="D2998" t="str">
            <v>FTW121KR</v>
          </cell>
          <cell r="E2998"/>
        </row>
        <row r="2999">
          <cell r="A2999" t="str">
            <v>2630L427</v>
          </cell>
          <cell r="D2999" t="str">
            <v>FTW121KR</v>
          </cell>
          <cell r="E2999"/>
        </row>
        <row r="3000">
          <cell r="A3000" t="str">
            <v>2630L727</v>
          </cell>
          <cell r="D3000" t="str">
            <v>FTW121KR</v>
          </cell>
          <cell r="E3000"/>
        </row>
        <row r="3001">
          <cell r="A3001" t="str">
            <v>2630L827</v>
          </cell>
          <cell r="D3001" t="str">
            <v>FTW121KR</v>
          </cell>
          <cell r="E3001"/>
        </row>
        <row r="3002">
          <cell r="A3002" t="str">
            <v>2630L927</v>
          </cell>
          <cell r="D3002" t="str">
            <v>FTW121KR</v>
          </cell>
          <cell r="E3002"/>
        </row>
        <row r="3003">
          <cell r="A3003" t="str">
            <v>2630LA27</v>
          </cell>
          <cell r="D3003" t="str">
            <v>FTW121KR</v>
          </cell>
          <cell r="E3003"/>
        </row>
        <row r="3004">
          <cell r="A3004" t="str">
            <v>2630LB27</v>
          </cell>
          <cell r="D3004" t="str">
            <v>FTW121KR</v>
          </cell>
          <cell r="E3004"/>
        </row>
        <row r="3005">
          <cell r="A3005" t="str">
            <v>2630LD27</v>
          </cell>
          <cell r="D3005" t="str">
            <v>FTW121KR</v>
          </cell>
          <cell r="E3005"/>
        </row>
        <row r="3006">
          <cell r="A3006" t="str">
            <v>2630LE27</v>
          </cell>
          <cell r="D3006" t="str">
            <v>FTW121KR</v>
          </cell>
          <cell r="E3006"/>
        </row>
        <row r="3007">
          <cell r="A3007" t="str">
            <v>2630LF27</v>
          </cell>
          <cell r="D3007" t="str">
            <v>FTW121KR</v>
          </cell>
          <cell r="E3007"/>
        </row>
        <row r="3008">
          <cell r="A3008" t="str">
            <v>2630LI27</v>
          </cell>
          <cell r="D3008" t="str">
            <v>FTW121KR</v>
          </cell>
          <cell r="E3008"/>
        </row>
        <row r="3009">
          <cell r="A3009" t="str">
            <v>2630LJ27</v>
          </cell>
          <cell r="D3009" t="str">
            <v>FTW121KR</v>
          </cell>
          <cell r="E3009"/>
        </row>
        <row r="3010">
          <cell r="A3010" t="str">
            <v>2630LL27</v>
          </cell>
          <cell r="D3010" t="str">
            <v>FTW121KR</v>
          </cell>
          <cell r="E3010"/>
        </row>
        <row r="3011">
          <cell r="A3011" t="str">
            <v>2630LP27</v>
          </cell>
          <cell r="D3011" t="str">
            <v>FTW121KR</v>
          </cell>
          <cell r="E3011"/>
        </row>
        <row r="3012">
          <cell r="A3012" t="str">
            <v>2630LQ27</v>
          </cell>
          <cell r="D3012" t="str">
            <v>FTW121KR</v>
          </cell>
          <cell r="E3012"/>
        </row>
        <row r="3013">
          <cell r="A3013" t="str">
            <v>2630LS27</v>
          </cell>
          <cell r="D3013" t="str">
            <v>FTW121KR</v>
          </cell>
          <cell r="E3013"/>
        </row>
        <row r="3014">
          <cell r="A3014" t="str">
            <v>2630QA37</v>
          </cell>
          <cell r="D3014" t="str">
            <v>FTW121KR</v>
          </cell>
          <cell r="E3014"/>
        </row>
        <row r="3015">
          <cell r="A3015" t="str">
            <v>2630KW27</v>
          </cell>
          <cell r="D3015" t="str">
            <v>FTW700</v>
          </cell>
          <cell r="E3015"/>
        </row>
        <row r="3016">
          <cell r="A3016" t="str">
            <v>2630KY27</v>
          </cell>
          <cell r="D3016" t="str">
            <v>FTW700</v>
          </cell>
          <cell r="E3016"/>
        </row>
        <row r="3017">
          <cell r="A3017" t="str">
            <v>2630PO37</v>
          </cell>
          <cell r="D3017" t="str">
            <v>FTW700</v>
          </cell>
          <cell r="E3017"/>
        </row>
        <row r="3018">
          <cell r="A3018" t="str">
            <v>2629W857</v>
          </cell>
          <cell r="D3018" t="str">
            <v>KBP76</v>
          </cell>
          <cell r="E3018"/>
        </row>
        <row r="3019">
          <cell r="A3019" t="str">
            <v>2630QL17</v>
          </cell>
          <cell r="D3019" t="str">
            <v>TTS80</v>
          </cell>
          <cell r="E3019"/>
        </row>
        <row r="3020">
          <cell r="A3020" t="str">
            <v>2629K647</v>
          </cell>
          <cell r="D3020" t="str">
            <v>KBP86</v>
          </cell>
          <cell r="E3020"/>
        </row>
        <row r="3021">
          <cell r="A3021" t="str">
            <v>2630KM27</v>
          </cell>
          <cell r="D3021" t="str">
            <v>KBP76</v>
          </cell>
          <cell r="E3021"/>
        </row>
        <row r="3022">
          <cell r="A3022" t="str">
            <v>2629LG37</v>
          </cell>
          <cell r="D3022" t="str">
            <v>KBP86</v>
          </cell>
          <cell r="E3022"/>
        </row>
        <row r="3023">
          <cell r="A3023" t="str">
            <v>2629JR47</v>
          </cell>
          <cell r="D3023" t="str">
            <v>KBP86</v>
          </cell>
          <cell r="E3023"/>
        </row>
        <row r="3024">
          <cell r="A3024" t="str">
            <v>2629JU47</v>
          </cell>
          <cell r="D3024" t="str">
            <v>KBP86</v>
          </cell>
          <cell r="E3024"/>
        </row>
        <row r="3025">
          <cell r="A3025" t="str">
            <v>2629IN57</v>
          </cell>
          <cell r="D3025" t="str">
            <v>KBP86</v>
          </cell>
          <cell r="E3025"/>
        </row>
        <row r="3026">
          <cell r="A3026" t="str">
            <v>2629IO57</v>
          </cell>
          <cell r="D3026" t="str">
            <v>KBP86</v>
          </cell>
          <cell r="E3026"/>
        </row>
        <row r="3027">
          <cell r="A3027" t="str">
            <v>2629IQ57</v>
          </cell>
          <cell r="D3027" t="str">
            <v>KBP86</v>
          </cell>
          <cell r="E3027"/>
        </row>
        <row r="3028">
          <cell r="A3028" t="str">
            <v>2629KW57</v>
          </cell>
          <cell r="D3028" t="str">
            <v>KBP86</v>
          </cell>
          <cell r="E3028"/>
        </row>
        <row r="3029">
          <cell r="A3029" t="str">
            <v>2629KX57</v>
          </cell>
          <cell r="D3029" t="str">
            <v>KBP86</v>
          </cell>
          <cell r="E3029"/>
        </row>
        <row r="3030">
          <cell r="A3030" t="str">
            <v>2629KY57</v>
          </cell>
          <cell r="D3030" t="str">
            <v>KBP86</v>
          </cell>
          <cell r="E3030"/>
        </row>
        <row r="3031">
          <cell r="A3031" t="str">
            <v>2629L157</v>
          </cell>
          <cell r="D3031" t="str">
            <v>KBP86</v>
          </cell>
          <cell r="E3031"/>
        </row>
        <row r="3032">
          <cell r="A3032" t="str">
            <v>2630I717</v>
          </cell>
          <cell r="D3032" t="str">
            <v>KBP76</v>
          </cell>
          <cell r="E3032"/>
        </row>
        <row r="3033">
          <cell r="A3033" t="str">
            <v>2630LS17</v>
          </cell>
          <cell r="D3033" t="str">
            <v>KBP52</v>
          </cell>
          <cell r="E3033"/>
        </row>
        <row r="3034">
          <cell r="A3034" t="str">
            <v>2630LT17</v>
          </cell>
          <cell r="D3034" t="str">
            <v>KBP52</v>
          </cell>
          <cell r="E3034"/>
        </row>
        <row r="3035">
          <cell r="A3035" t="str">
            <v>2630LU17</v>
          </cell>
          <cell r="D3035" t="str">
            <v>KBP52</v>
          </cell>
          <cell r="E3035"/>
        </row>
        <row r="3036">
          <cell r="A3036" t="str">
            <v>2630LV17</v>
          </cell>
          <cell r="D3036" t="str">
            <v>KBP52</v>
          </cell>
          <cell r="E3036"/>
        </row>
        <row r="3037">
          <cell r="A3037" t="str">
            <v>2630OW17</v>
          </cell>
          <cell r="D3037" t="str">
            <v>KBP76</v>
          </cell>
          <cell r="E3037"/>
        </row>
        <row r="3038">
          <cell r="A3038" t="str">
            <v>2630QG17</v>
          </cell>
          <cell r="D3038" t="str">
            <v>FTP200</v>
          </cell>
          <cell r="E3038"/>
        </row>
        <row r="3039">
          <cell r="A3039" t="str">
            <v>2630OB17</v>
          </cell>
          <cell r="D3039" t="str">
            <v>S706</v>
          </cell>
          <cell r="E3039"/>
        </row>
        <row r="3040">
          <cell r="A3040" t="str">
            <v>2630OF17</v>
          </cell>
          <cell r="D3040" t="str">
            <v>S706</v>
          </cell>
          <cell r="E3040"/>
        </row>
        <row r="3041">
          <cell r="A3041" t="str">
            <v>2630OG17</v>
          </cell>
          <cell r="D3041" t="str">
            <v>S706</v>
          </cell>
          <cell r="E3041"/>
        </row>
        <row r="3042">
          <cell r="A3042" t="str">
            <v>2630OJ27</v>
          </cell>
          <cell r="D3042" t="str">
            <v>S706</v>
          </cell>
          <cell r="E3042"/>
        </row>
        <row r="3043">
          <cell r="A3043" t="str">
            <v>2630OK27</v>
          </cell>
          <cell r="D3043" t="str">
            <v>S706</v>
          </cell>
          <cell r="E3043"/>
        </row>
        <row r="3044">
          <cell r="A3044" t="str">
            <v>2630OM27</v>
          </cell>
          <cell r="D3044" t="str">
            <v>S706</v>
          </cell>
          <cell r="E3044"/>
        </row>
        <row r="3045">
          <cell r="A3045" t="str">
            <v>2630ON27</v>
          </cell>
          <cell r="D3045" t="str">
            <v>S706</v>
          </cell>
          <cell r="E3045"/>
        </row>
        <row r="3046">
          <cell r="A3046" t="str">
            <v>2630OO27</v>
          </cell>
          <cell r="D3046" t="str">
            <v>S706</v>
          </cell>
          <cell r="E3046"/>
        </row>
        <row r="3047">
          <cell r="A3047" t="str">
            <v>2630OP27</v>
          </cell>
          <cell r="D3047" t="str">
            <v>S706</v>
          </cell>
          <cell r="E3047"/>
        </row>
        <row r="3048">
          <cell r="A3048" t="str">
            <v>2630OQ27</v>
          </cell>
          <cell r="D3048" t="str">
            <v>S706</v>
          </cell>
          <cell r="E3048"/>
        </row>
        <row r="3049">
          <cell r="A3049" t="str">
            <v>2630OR27</v>
          </cell>
          <cell r="D3049" t="str">
            <v>S706</v>
          </cell>
          <cell r="E3049"/>
        </row>
        <row r="3050">
          <cell r="A3050" t="str">
            <v>2629YF57</v>
          </cell>
          <cell r="D3050" t="str">
            <v>TTS50</v>
          </cell>
          <cell r="E3050"/>
        </row>
        <row r="3051">
          <cell r="A3051" t="str">
            <v>2629O547</v>
          </cell>
          <cell r="D3051" t="str">
            <v>TTS50</v>
          </cell>
          <cell r="E3051"/>
        </row>
        <row r="3052">
          <cell r="A3052" t="str">
            <v>2629JU57</v>
          </cell>
          <cell r="D3052" t="str">
            <v>TTS50</v>
          </cell>
          <cell r="E3052"/>
        </row>
        <row r="3053">
          <cell r="A3053" t="str">
            <v>2630JV17</v>
          </cell>
          <cell r="D3053" t="str">
            <v>TTS50</v>
          </cell>
          <cell r="E3053"/>
        </row>
        <row r="3054">
          <cell r="A3054" t="str">
            <v>2630JW17</v>
          </cell>
          <cell r="D3054" t="str">
            <v>TTS50</v>
          </cell>
          <cell r="E3054"/>
        </row>
        <row r="3055">
          <cell r="A3055" t="str">
            <v>2630KU27</v>
          </cell>
          <cell r="D3055" t="str">
            <v>TTS50</v>
          </cell>
          <cell r="E3055"/>
        </row>
        <row r="3056">
          <cell r="A3056" t="str">
            <v>2630Q917</v>
          </cell>
          <cell r="D3056" t="str">
            <v>TTS50</v>
          </cell>
          <cell r="E3056"/>
        </row>
        <row r="3057">
          <cell r="A3057" t="str">
            <v>2629L847</v>
          </cell>
          <cell r="D3057" t="str">
            <v>TTS50</v>
          </cell>
          <cell r="E3057"/>
        </row>
        <row r="3058">
          <cell r="A3058" t="str">
            <v>2629BH57</v>
          </cell>
          <cell r="D3058" t="str">
            <v>TTS50</v>
          </cell>
          <cell r="E3058"/>
        </row>
        <row r="3059">
          <cell r="A3059" t="str">
            <v>2629JC57</v>
          </cell>
          <cell r="D3059" t="str">
            <v>TTS50</v>
          </cell>
          <cell r="E3059"/>
        </row>
        <row r="3060">
          <cell r="A3060" t="str">
            <v>2629JG57</v>
          </cell>
          <cell r="D3060" t="str">
            <v>TTS50</v>
          </cell>
          <cell r="E3060"/>
        </row>
        <row r="3061">
          <cell r="A3061" t="str">
            <v>2630IL17</v>
          </cell>
          <cell r="D3061" t="str">
            <v>TTS50</v>
          </cell>
          <cell r="E3061"/>
        </row>
        <row r="3062">
          <cell r="A3062" t="str">
            <v>2630IO17</v>
          </cell>
          <cell r="D3062" t="str">
            <v>TTS50</v>
          </cell>
          <cell r="E3062"/>
        </row>
        <row r="3063">
          <cell r="A3063" t="str">
            <v>2630IU17</v>
          </cell>
          <cell r="D3063" t="str">
            <v>TTS50</v>
          </cell>
          <cell r="E3063"/>
        </row>
        <row r="3064">
          <cell r="A3064" t="str">
            <v>2630IW17</v>
          </cell>
          <cell r="D3064" t="str">
            <v>TTS50</v>
          </cell>
          <cell r="E3064"/>
        </row>
        <row r="3065">
          <cell r="A3065" t="str">
            <v>2630J217</v>
          </cell>
          <cell r="D3065" t="str">
            <v>TTS50</v>
          </cell>
          <cell r="E3065"/>
        </row>
        <row r="3066">
          <cell r="A3066" t="str">
            <v>2630J517</v>
          </cell>
          <cell r="D3066" t="str">
            <v>TTS50</v>
          </cell>
          <cell r="E3066"/>
        </row>
        <row r="3067">
          <cell r="A3067" t="str">
            <v>2630J817</v>
          </cell>
          <cell r="D3067" t="str">
            <v>TTS50</v>
          </cell>
          <cell r="E3067"/>
        </row>
        <row r="3068">
          <cell r="A3068" t="str">
            <v>2630JA17</v>
          </cell>
          <cell r="D3068" t="str">
            <v>TTS50</v>
          </cell>
          <cell r="E3068"/>
        </row>
        <row r="3069">
          <cell r="A3069" t="str">
            <v>2630JB17</v>
          </cell>
          <cell r="D3069" t="str">
            <v>TTS50</v>
          </cell>
          <cell r="E3069"/>
        </row>
        <row r="3070">
          <cell r="A3070" t="str">
            <v>2630JC17</v>
          </cell>
          <cell r="D3070" t="str">
            <v>TTS50</v>
          </cell>
          <cell r="E3070"/>
        </row>
        <row r="3071">
          <cell r="A3071" t="str">
            <v>2630K627</v>
          </cell>
          <cell r="D3071" t="str">
            <v>TTS50</v>
          </cell>
          <cell r="E3071"/>
        </row>
        <row r="3072">
          <cell r="A3072" t="str">
            <v>2630K927</v>
          </cell>
          <cell r="D3072" t="str">
            <v>TTS50</v>
          </cell>
          <cell r="E3072"/>
        </row>
        <row r="3073">
          <cell r="A3073" t="str">
            <v>2630KB27</v>
          </cell>
          <cell r="D3073" t="str">
            <v>TTS50</v>
          </cell>
          <cell r="E3073"/>
        </row>
        <row r="3074">
          <cell r="A3074" t="str">
            <v>2630KD27</v>
          </cell>
          <cell r="D3074" t="str">
            <v>TTS50</v>
          </cell>
          <cell r="E3074"/>
        </row>
        <row r="3075">
          <cell r="A3075" t="str">
            <v>2630KJ27</v>
          </cell>
          <cell r="D3075" t="str">
            <v>TTS50</v>
          </cell>
          <cell r="E3075"/>
        </row>
        <row r="3076">
          <cell r="A3076" t="str">
            <v>2630OZ17</v>
          </cell>
          <cell r="D3076" t="str">
            <v>KBP76</v>
          </cell>
          <cell r="E3076"/>
        </row>
        <row r="3077">
          <cell r="A3077" t="str">
            <v>2630P117</v>
          </cell>
          <cell r="D3077" t="str">
            <v>KBP76</v>
          </cell>
          <cell r="E3077"/>
        </row>
        <row r="3078">
          <cell r="A3078" t="str">
            <v>2630PG17</v>
          </cell>
          <cell r="D3078" t="str">
            <v>KBP76</v>
          </cell>
          <cell r="E3078"/>
        </row>
        <row r="3079">
          <cell r="A3079" t="str">
            <v>2629KU57</v>
          </cell>
          <cell r="D3079" t="str">
            <v>FTP200</v>
          </cell>
          <cell r="E3079"/>
        </row>
        <row r="3080">
          <cell r="A3080" t="str">
            <v>2630O927</v>
          </cell>
          <cell r="D3080" t="str">
            <v>S706</v>
          </cell>
          <cell r="E3080"/>
        </row>
        <row r="3081">
          <cell r="A3081" t="str">
            <v>2630PP27</v>
          </cell>
          <cell r="D3081" t="str">
            <v>STA156KA</v>
          </cell>
          <cell r="E3081"/>
        </row>
        <row r="3082">
          <cell r="A3082" t="str">
            <v>2629A857</v>
          </cell>
          <cell r="D3082" t="str">
            <v>S15MB</v>
          </cell>
          <cell r="E3082"/>
        </row>
        <row r="3083">
          <cell r="A3083" t="str">
            <v>2630AP17</v>
          </cell>
          <cell r="D3083" t="str">
            <v>S15MB</v>
          </cell>
          <cell r="E3083"/>
        </row>
        <row r="3084">
          <cell r="A3084" t="str">
            <v>2630CU17</v>
          </cell>
          <cell r="D3084" t="str">
            <v>S15MB</v>
          </cell>
          <cell r="E3084"/>
        </row>
        <row r="3085">
          <cell r="A3085" t="str">
            <v>2630D527</v>
          </cell>
          <cell r="D3085" t="str">
            <v>S15MB</v>
          </cell>
          <cell r="E3085"/>
        </row>
        <row r="3086">
          <cell r="A3086" t="str">
            <v>2629F847</v>
          </cell>
          <cell r="D3086" t="str">
            <v>KBP126</v>
          </cell>
          <cell r="E3086"/>
        </row>
        <row r="3087">
          <cell r="A3087" t="str">
            <v>2629A257</v>
          </cell>
          <cell r="D3087" t="str">
            <v>KBP126</v>
          </cell>
          <cell r="E3087"/>
        </row>
        <row r="3088">
          <cell r="A3088" t="str">
            <v>2629A357</v>
          </cell>
          <cell r="D3088" t="str">
            <v>KBP126</v>
          </cell>
          <cell r="E3088"/>
        </row>
        <row r="3089">
          <cell r="A3089" t="str">
            <v>2629A457</v>
          </cell>
          <cell r="D3089" t="str">
            <v>KBP126</v>
          </cell>
          <cell r="E3089"/>
        </row>
        <row r="3090">
          <cell r="A3090" t="str">
            <v>2630O837</v>
          </cell>
          <cell r="D3090" t="str">
            <v>KBP76</v>
          </cell>
          <cell r="E3090"/>
        </row>
        <row r="3091">
          <cell r="A3091" t="str">
            <v>2630O937</v>
          </cell>
          <cell r="D3091" t="str">
            <v>KBP76</v>
          </cell>
          <cell r="E3091"/>
        </row>
        <row r="3092">
          <cell r="A3092" t="str">
            <v>2630OA37</v>
          </cell>
          <cell r="D3092" t="str">
            <v>KBP76</v>
          </cell>
          <cell r="E3092"/>
        </row>
        <row r="3093">
          <cell r="A3093" t="str">
            <v>2630PT27</v>
          </cell>
          <cell r="D3093" t="str">
            <v>KBP74</v>
          </cell>
          <cell r="E3093"/>
        </row>
        <row r="3094">
          <cell r="A3094" t="str">
            <v>2630L127</v>
          </cell>
          <cell r="D3094" t="str">
            <v>FTW121KR</v>
          </cell>
          <cell r="E3094"/>
        </row>
        <row r="3095">
          <cell r="A3095" t="str">
            <v>2630LC27</v>
          </cell>
          <cell r="D3095" t="str">
            <v>FTW121KR</v>
          </cell>
          <cell r="E3095"/>
        </row>
        <row r="3096">
          <cell r="A3096" t="str">
            <v>2630LN27</v>
          </cell>
          <cell r="D3096" t="str">
            <v>FTW121KR</v>
          </cell>
          <cell r="E3096"/>
        </row>
        <row r="3097">
          <cell r="A3097" t="str">
            <v>2630PS37</v>
          </cell>
          <cell r="D3097" t="str">
            <v>FTW121KR</v>
          </cell>
          <cell r="E3097"/>
        </row>
        <row r="3098">
          <cell r="A3098" t="str">
            <v>2630PU37</v>
          </cell>
          <cell r="D3098" t="str">
            <v>FTW121KR</v>
          </cell>
          <cell r="E3098"/>
        </row>
        <row r="3099">
          <cell r="A3099" t="str">
            <v>2630PV37</v>
          </cell>
          <cell r="D3099" t="str">
            <v>FTW121KR</v>
          </cell>
          <cell r="E3099"/>
        </row>
        <row r="3100">
          <cell r="A3100" t="str">
            <v>2630PW37</v>
          </cell>
          <cell r="D3100" t="str">
            <v>FTW121KR</v>
          </cell>
          <cell r="E3100"/>
        </row>
        <row r="3101">
          <cell r="A3101" t="str">
            <v>2630PY37</v>
          </cell>
          <cell r="D3101" t="str">
            <v>FTW121KR</v>
          </cell>
          <cell r="E3101"/>
        </row>
        <row r="3102">
          <cell r="A3102" t="str">
            <v>2630Q237</v>
          </cell>
          <cell r="D3102" t="str">
            <v>FTW121KR</v>
          </cell>
          <cell r="E3102"/>
        </row>
        <row r="3103">
          <cell r="A3103" t="str">
            <v>2630Q337</v>
          </cell>
          <cell r="D3103" t="str">
            <v>FTW121KR</v>
          </cell>
          <cell r="E3103"/>
        </row>
        <row r="3104">
          <cell r="A3104" t="str">
            <v>2630Q537</v>
          </cell>
          <cell r="D3104" t="str">
            <v>FTW121KR</v>
          </cell>
          <cell r="E3104"/>
        </row>
        <row r="3105">
          <cell r="A3105" t="str">
            <v>2630Q937</v>
          </cell>
          <cell r="D3105" t="str">
            <v>FTW121KR</v>
          </cell>
          <cell r="E3105"/>
        </row>
        <row r="3106">
          <cell r="A3106" t="str">
            <v>2630QD37</v>
          </cell>
          <cell r="D3106" t="str">
            <v>FTW121KR</v>
          </cell>
          <cell r="E3106"/>
        </row>
        <row r="3107">
          <cell r="A3107" t="str">
            <v>2630QE37</v>
          </cell>
          <cell r="D3107" t="str">
            <v>FTW121KR</v>
          </cell>
          <cell r="E3107"/>
        </row>
        <row r="3108">
          <cell r="A3108" t="str">
            <v>2630QG37</v>
          </cell>
          <cell r="D3108" t="str">
            <v>FTW121KR</v>
          </cell>
          <cell r="E3108"/>
        </row>
        <row r="3109">
          <cell r="A3109" t="str">
            <v>2630QI37</v>
          </cell>
          <cell r="D3109" t="str">
            <v>FTW121KR</v>
          </cell>
          <cell r="E3109"/>
        </row>
        <row r="3110">
          <cell r="A3110" t="str">
            <v>2630QJ37</v>
          </cell>
          <cell r="D3110" t="str">
            <v>FTW121KR</v>
          </cell>
          <cell r="E3110"/>
        </row>
        <row r="3111">
          <cell r="A3111" t="str">
            <v>2630QK37</v>
          </cell>
          <cell r="D3111" t="str">
            <v>FTW121KR</v>
          </cell>
          <cell r="E3111"/>
        </row>
        <row r="3112">
          <cell r="A3112" t="str">
            <v>2630QL37</v>
          </cell>
          <cell r="D3112" t="str">
            <v>FTW121KR</v>
          </cell>
          <cell r="E3112"/>
        </row>
        <row r="3113">
          <cell r="A3113" t="str">
            <v>2630OU17</v>
          </cell>
          <cell r="D3113" t="str">
            <v>KBP76</v>
          </cell>
          <cell r="E3113"/>
        </row>
        <row r="3114">
          <cell r="A3114" t="str">
            <v>2630ZI37</v>
          </cell>
          <cell r="D3114" t="str">
            <v>KBP76</v>
          </cell>
          <cell r="E3114"/>
        </row>
        <row r="3115">
          <cell r="A3115" t="str">
            <v>2630QJ17</v>
          </cell>
          <cell r="D3115" t="str">
            <v>TTS80</v>
          </cell>
          <cell r="E3115"/>
        </row>
        <row r="3116">
          <cell r="A3116" t="str">
            <v>2630QM17</v>
          </cell>
          <cell r="D3116" t="str">
            <v>TTS80</v>
          </cell>
          <cell r="E3116"/>
        </row>
        <row r="3117">
          <cell r="A3117" t="str">
            <v>2630Q527</v>
          </cell>
          <cell r="D3117" t="str">
            <v>TTS80</v>
          </cell>
          <cell r="E3117"/>
        </row>
        <row r="3118">
          <cell r="A3118" t="str">
            <v>2630QC27</v>
          </cell>
          <cell r="D3118" t="str">
            <v>TTS80</v>
          </cell>
          <cell r="E3118"/>
        </row>
        <row r="3119">
          <cell r="A3119" t="str">
            <v>2630JT17</v>
          </cell>
          <cell r="D3119" t="str">
            <v>KBP76</v>
          </cell>
          <cell r="E3119"/>
        </row>
        <row r="3120">
          <cell r="A3120" t="str">
            <v>2629QC57</v>
          </cell>
          <cell r="D3120" t="str">
            <v>KBP86</v>
          </cell>
          <cell r="E3120"/>
        </row>
        <row r="3121">
          <cell r="A3121" t="str">
            <v>2630F817</v>
          </cell>
          <cell r="D3121" t="str">
            <v>KBP86</v>
          </cell>
          <cell r="E3121"/>
        </row>
        <row r="3122">
          <cell r="A3122" t="str">
            <v>2630OC27</v>
          </cell>
          <cell r="D3122" t="str">
            <v>KBP52</v>
          </cell>
          <cell r="E3122"/>
        </row>
        <row r="3123">
          <cell r="A3123" t="str">
            <v>2630P827</v>
          </cell>
          <cell r="D3123" t="str">
            <v>KBP76</v>
          </cell>
          <cell r="E3123"/>
        </row>
        <row r="3124">
          <cell r="A3124" t="str">
            <v>2630Q417</v>
          </cell>
          <cell r="D3124" t="str">
            <v>TTS175</v>
          </cell>
          <cell r="E3124"/>
        </row>
        <row r="3125">
          <cell r="A3125" t="str">
            <v>2630Q517</v>
          </cell>
          <cell r="D3125" t="str">
            <v>TTS50</v>
          </cell>
          <cell r="E3125"/>
        </row>
        <row r="3126">
          <cell r="A3126" t="str">
            <v>2630Q617</v>
          </cell>
          <cell r="D3126" t="str">
            <v>TTS50</v>
          </cell>
          <cell r="E3126"/>
        </row>
        <row r="3127">
          <cell r="A3127" t="str">
            <v>2630Q717</v>
          </cell>
          <cell r="D3127" t="str">
            <v>FTP200</v>
          </cell>
          <cell r="E3127"/>
        </row>
        <row r="3128">
          <cell r="A3128" t="str">
            <v>2630QC17</v>
          </cell>
          <cell r="D3128" t="str">
            <v>FTP200</v>
          </cell>
          <cell r="E3128"/>
        </row>
        <row r="3129">
          <cell r="A3129" t="str">
            <v>2630JN27</v>
          </cell>
          <cell r="D3129" t="str">
            <v>FTP150</v>
          </cell>
          <cell r="E3129"/>
        </row>
        <row r="3130">
          <cell r="A3130" t="str">
            <v>2630JP27</v>
          </cell>
          <cell r="D3130" t="str">
            <v>FTP150</v>
          </cell>
          <cell r="E3130"/>
        </row>
        <row r="3131">
          <cell r="A3131" t="str">
            <v>2630JR27</v>
          </cell>
          <cell r="D3131" t="str">
            <v>FTP150</v>
          </cell>
          <cell r="E3131"/>
        </row>
        <row r="3132">
          <cell r="A3132" t="str">
            <v>2630OS27</v>
          </cell>
          <cell r="D3132" t="str">
            <v>S706</v>
          </cell>
          <cell r="E3132"/>
        </row>
        <row r="3133">
          <cell r="A3133" t="str">
            <v>2630SM37</v>
          </cell>
          <cell r="D3133" t="str">
            <v>S706</v>
          </cell>
          <cell r="E3133"/>
        </row>
        <row r="3134">
          <cell r="A3134" t="str">
            <v>2630SW37</v>
          </cell>
          <cell r="D3134" t="str">
            <v>S706</v>
          </cell>
          <cell r="E3134"/>
        </row>
        <row r="3135">
          <cell r="A3135" t="str">
            <v>2629YH57</v>
          </cell>
          <cell r="D3135" t="str">
            <v>TTS40</v>
          </cell>
          <cell r="E3135"/>
        </row>
        <row r="3136">
          <cell r="A3136" t="str">
            <v>2629YI57</v>
          </cell>
          <cell r="D3136" t="str">
            <v>TTS40</v>
          </cell>
          <cell r="E3136"/>
        </row>
        <row r="3137">
          <cell r="A3137" t="str">
            <v>2629YJ57</v>
          </cell>
          <cell r="D3137" t="str">
            <v>TTS40</v>
          </cell>
          <cell r="E3137"/>
        </row>
        <row r="3138">
          <cell r="A3138" t="str">
            <v>2630ZS17</v>
          </cell>
          <cell r="D3138" t="str">
            <v>TTS40</v>
          </cell>
          <cell r="E3138"/>
        </row>
        <row r="3139">
          <cell r="A3139" t="str">
            <v>2629W257</v>
          </cell>
          <cell r="D3139" t="str">
            <v>KBP34</v>
          </cell>
          <cell r="E3139"/>
        </row>
        <row r="3140">
          <cell r="A3140" t="str">
            <v>2630O627</v>
          </cell>
          <cell r="D3140" t="str">
            <v>KBP34</v>
          </cell>
          <cell r="E3140"/>
        </row>
        <row r="3141">
          <cell r="A3141" t="str">
            <v>2630O727</v>
          </cell>
          <cell r="D3141" t="str">
            <v>KBP34</v>
          </cell>
          <cell r="E3141"/>
        </row>
        <row r="3142">
          <cell r="A3142" t="str">
            <v>2630IN17</v>
          </cell>
          <cell r="D3142" t="str">
            <v>TTS50</v>
          </cell>
          <cell r="E3142"/>
        </row>
        <row r="3143">
          <cell r="A3143" t="str">
            <v>2630JD17</v>
          </cell>
          <cell r="D3143" t="str">
            <v>TTS50</v>
          </cell>
          <cell r="E3143"/>
        </row>
        <row r="3144">
          <cell r="A3144" t="str">
            <v>2630JS27</v>
          </cell>
          <cell r="D3144" t="str">
            <v>TTS50</v>
          </cell>
          <cell r="E3144"/>
        </row>
        <row r="3145">
          <cell r="A3145" t="str">
            <v>2630JW27</v>
          </cell>
          <cell r="D3145" t="str">
            <v>TTS50</v>
          </cell>
          <cell r="E3145"/>
        </row>
        <row r="3146">
          <cell r="A3146" t="str">
            <v>2630JX27</v>
          </cell>
          <cell r="D3146" t="str">
            <v>TTS50</v>
          </cell>
          <cell r="E3146"/>
        </row>
        <row r="3147">
          <cell r="A3147" t="str">
            <v>2630K127</v>
          </cell>
          <cell r="D3147" t="str">
            <v>TTS50</v>
          </cell>
          <cell r="E3147"/>
        </row>
        <row r="3148">
          <cell r="A3148" t="str">
            <v>2630K227</v>
          </cell>
          <cell r="D3148" t="str">
            <v>TTS50</v>
          </cell>
          <cell r="E3148"/>
        </row>
        <row r="3149">
          <cell r="A3149" t="str">
            <v>2630KC27</v>
          </cell>
          <cell r="D3149" t="str">
            <v>TTS50</v>
          </cell>
          <cell r="E3149"/>
        </row>
        <row r="3150">
          <cell r="A3150" t="str">
            <v>2630KK27</v>
          </cell>
          <cell r="D3150" t="str">
            <v>TTS50</v>
          </cell>
          <cell r="E3150"/>
        </row>
        <row r="3151">
          <cell r="A3151" t="str">
            <v>2629QT57</v>
          </cell>
          <cell r="D3151" t="str">
            <v>STA156KA</v>
          </cell>
          <cell r="E3151"/>
        </row>
        <row r="3152">
          <cell r="A3152" t="str">
            <v>2629QV57</v>
          </cell>
          <cell r="D3152" t="str">
            <v>STA156KA</v>
          </cell>
          <cell r="E3152"/>
        </row>
        <row r="3153">
          <cell r="A3153" t="str">
            <v>2630PT17</v>
          </cell>
          <cell r="D3153" t="str">
            <v>STA156KA</v>
          </cell>
          <cell r="E3153"/>
        </row>
        <row r="3154">
          <cell r="A3154" t="str">
            <v>2630PW17</v>
          </cell>
          <cell r="D3154" t="str">
            <v>STA156KA</v>
          </cell>
          <cell r="E3154"/>
        </row>
        <row r="3155">
          <cell r="A3155" t="str">
            <v>2630PM27</v>
          </cell>
          <cell r="D3155" t="str">
            <v>STA156KA</v>
          </cell>
          <cell r="E3155"/>
        </row>
        <row r="3156">
          <cell r="A3156" t="str">
            <v>2630PO27</v>
          </cell>
          <cell r="D3156" t="str">
            <v>STA156KA</v>
          </cell>
          <cell r="E3156"/>
        </row>
        <row r="3157">
          <cell r="A3157" t="str">
            <v>2630CR17</v>
          </cell>
          <cell r="D3157" t="str">
            <v>S15MB</v>
          </cell>
          <cell r="E3157"/>
        </row>
        <row r="3158">
          <cell r="A3158" t="str">
            <v>2629FO57</v>
          </cell>
          <cell r="D3158" t="str">
            <v>STA156KA</v>
          </cell>
          <cell r="E3158"/>
        </row>
        <row r="3159">
          <cell r="A3159" t="str">
            <v>2630CQ17</v>
          </cell>
          <cell r="D3159" t="str">
            <v>STA156KA</v>
          </cell>
          <cell r="E3159"/>
        </row>
        <row r="3160">
          <cell r="A3160" t="str">
            <v>2630D127</v>
          </cell>
          <cell r="D3160" t="str">
            <v>STA156KA</v>
          </cell>
          <cell r="E3160"/>
        </row>
        <row r="3161">
          <cell r="A3161" t="str">
            <v>2629G657</v>
          </cell>
          <cell r="D3161" t="str">
            <v>STA156KA</v>
          </cell>
          <cell r="E3161"/>
        </row>
        <row r="3162">
          <cell r="A3162" t="str">
            <v>2629KF57</v>
          </cell>
          <cell r="D3162" t="str">
            <v>FTW121KR</v>
          </cell>
          <cell r="E3162"/>
        </row>
        <row r="3163">
          <cell r="A3163" t="str">
            <v>2630L527</v>
          </cell>
          <cell r="D3163" t="str">
            <v>FTW121KR</v>
          </cell>
          <cell r="E3163"/>
        </row>
        <row r="3164">
          <cell r="A3164" t="str">
            <v>2630LH27</v>
          </cell>
          <cell r="D3164" t="str">
            <v>FTW121KR</v>
          </cell>
          <cell r="E3164"/>
        </row>
        <row r="3165">
          <cell r="A3165" t="str">
            <v>2630LM27</v>
          </cell>
          <cell r="D3165" t="str">
            <v>FTW121KR</v>
          </cell>
          <cell r="E3165"/>
        </row>
        <row r="3166">
          <cell r="A3166" t="str">
            <v>2630FO27</v>
          </cell>
          <cell r="D3166" t="str">
            <v>S15MB</v>
          </cell>
          <cell r="E3166"/>
        </row>
        <row r="3167">
          <cell r="A3167" t="str">
            <v>2630QH17</v>
          </cell>
          <cell r="D3167" t="str">
            <v>TTS80</v>
          </cell>
          <cell r="E3167"/>
        </row>
        <row r="3168">
          <cell r="A3168" t="str">
            <v>2630QV17</v>
          </cell>
          <cell r="D3168" t="str">
            <v>TTS80</v>
          </cell>
          <cell r="E3168"/>
        </row>
        <row r="3169">
          <cell r="A3169" t="str">
            <v>2630QB27</v>
          </cell>
          <cell r="D3169" t="str">
            <v>TTS80</v>
          </cell>
          <cell r="E3169"/>
        </row>
        <row r="3170">
          <cell r="A3170" t="str">
            <v>2629IL57</v>
          </cell>
          <cell r="D3170" t="str">
            <v>KBP86</v>
          </cell>
          <cell r="E3170"/>
        </row>
        <row r="3171">
          <cell r="A3171" t="str">
            <v>2630FM27</v>
          </cell>
          <cell r="D3171" t="str">
            <v>KBP76</v>
          </cell>
          <cell r="E3171"/>
        </row>
        <row r="3172">
          <cell r="A3172" t="str">
            <v>2630FN27</v>
          </cell>
          <cell r="D3172" t="str">
            <v>KBP76</v>
          </cell>
          <cell r="E3172"/>
        </row>
        <row r="3173">
          <cell r="A3173" t="str">
            <v>2629KV57</v>
          </cell>
          <cell r="D3173" t="str">
            <v>KBP86</v>
          </cell>
          <cell r="E3173"/>
        </row>
        <row r="3174">
          <cell r="A3174" t="str">
            <v>2630KT17</v>
          </cell>
          <cell r="D3174" t="str">
            <v>KBP86</v>
          </cell>
          <cell r="E3174"/>
        </row>
        <row r="3175">
          <cell r="A3175" t="str">
            <v>2630KW17</v>
          </cell>
          <cell r="D3175" t="str">
            <v>KBP86</v>
          </cell>
          <cell r="E3175"/>
        </row>
        <row r="3176">
          <cell r="A3176" t="str">
            <v>2629QA57</v>
          </cell>
          <cell r="D3176" t="str">
            <v>KBP86</v>
          </cell>
          <cell r="E3176"/>
        </row>
        <row r="3177">
          <cell r="A3177" t="str">
            <v>2629QB57</v>
          </cell>
          <cell r="D3177" t="str">
            <v>KBP86</v>
          </cell>
          <cell r="E3177"/>
        </row>
        <row r="3178">
          <cell r="A3178" t="str">
            <v>2630QD17</v>
          </cell>
          <cell r="D3178" t="str">
            <v>FTP200</v>
          </cell>
          <cell r="E3178"/>
        </row>
        <row r="3179">
          <cell r="A3179" t="str">
            <v>2630QE17</v>
          </cell>
          <cell r="D3179" t="str">
            <v>FTP200</v>
          </cell>
          <cell r="E3179"/>
        </row>
        <row r="3180">
          <cell r="A3180" t="str">
            <v>2629P847</v>
          </cell>
          <cell r="D3180" t="str">
            <v>FTP200</v>
          </cell>
          <cell r="E3180"/>
        </row>
        <row r="3181">
          <cell r="A3181" t="str">
            <v>2629ZH57</v>
          </cell>
          <cell r="D3181" t="str">
            <v>TTS50</v>
          </cell>
          <cell r="E3181"/>
        </row>
        <row r="3182">
          <cell r="A3182" t="str">
            <v>2629ZZ57</v>
          </cell>
          <cell r="D3182" t="str">
            <v>TTS50</v>
          </cell>
          <cell r="E3182"/>
        </row>
        <row r="3183">
          <cell r="A3183" t="str">
            <v>2630QA17</v>
          </cell>
          <cell r="D3183" t="str">
            <v>TTS50</v>
          </cell>
          <cell r="E3183"/>
        </row>
        <row r="3184">
          <cell r="A3184" t="str">
            <v>2630J617</v>
          </cell>
          <cell r="D3184" t="str">
            <v>TTS50</v>
          </cell>
          <cell r="E3184"/>
        </row>
        <row r="3185">
          <cell r="A3185" t="str">
            <v>2630PB17</v>
          </cell>
          <cell r="D3185" t="str">
            <v>KBP76</v>
          </cell>
          <cell r="E3185"/>
        </row>
        <row r="3186">
          <cell r="A3186" t="str">
            <v>2629I647</v>
          </cell>
          <cell r="D3186" t="str">
            <v>KBP126</v>
          </cell>
          <cell r="E3186"/>
        </row>
        <row r="3187">
          <cell r="A3187" t="str">
            <v>2630AL17</v>
          </cell>
          <cell r="D3187" t="str">
            <v>S805</v>
          </cell>
          <cell r="E3187"/>
        </row>
        <row r="3188">
          <cell r="A3188" t="str">
            <v>2630PX17</v>
          </cell>
          <cell r="D3188" t="str">
            <v>STA156KA</v>
          </cell>
          <cell r="E3188"/>
        </row>
        <row r="3189">
          <cell r="A3189" t="str">
            <v>2630CD17</v>
          </cell>
          <cell r="D3189" t="str">
            <v>KBP126</v>
          </cell>
          <cell r="E3189"/>
        </row>
        <row r="3190">
          <cell r="A3190" t="str">
            <v>2630LA37</v>
          </cell>
          <cell r="D3190" t="str">
            <v>KBP126</v>
          </cell>
          <cell r="E3190"/>
        </row>
        <row r="3191">
          <cell r="A3191" t="str">
            <v>2630LB37</v>
          </cell>
          <cell r="D3191" t="str">
            <v>KBP126</v>
          </cell>
          <cell r="E3191"/>
        </row>
        <row r="3192">
          <cell r="A3192" t="str">
            <v>2630D717</v>
          </cell>
          <cell r="D3192" t="str">
            <v>STA156KA</v>
          </cell>
          <cell r="E3192"/>
        </row>
        <row r="3193">
          <cell r="A3193" t="str">
            <v>2630D817</v>
          </cell>
          <cell r="D3193" t="str">
            <v>STA156KA</v>
          </cell>
          <cell r="E3193"/>
        </row>
        <row r="3194">
          <cell r="A3194" t="str">
            <v>2630DL27</v>
          </cell>
          <cell r="D3194" t="str">
            <v>STA156KA</v>
          </cell>
          <cell r="E3194"/>
        </row>
        <row r="3195">
          <cell r="A3195" t="str">
            <v>2630DM27</v>
          </cell>
          <cell r="D3195" t="str">
            <v>STA156KA</v>
          </cell>
          <cell r="E3195"/>
        </row>
        <row r="3196">
          <cell r="A3196" t="str">
            <v>2630JK27</v>
          </cell>
          <cell r="D3196" t="str">
            <v>KBP76</v>
          </cell>
          <cell r="E3196"/>
        </row>
        <row r="3197">
          <cell r="A3197" t="str">
            <v>2630QH37</v>
          </cell>
          <cell r="D3197" t="str">
            <v>FTW121KR</v>
          </cell>
          <cell r="E3197"/>
        </row>
        <row r="3198">
          <cell r="A3198" t="str">
            <v>2630QM37</v>
          </cell>
          <cell r="D3198" t="str">
            <v>FTW121KR</v>
          </cell>
          <cell r="E3198"/>
        </row>
        <row r="3199">
          <cell r="A3199" t="str">
            <v>2630PN37</v>
          </cell>
          <cell r="D3199" t="str">
            <v>FTW700</v>
          </cell>
          <cell r="E3199"/>
        </row>
        <row r="3200">
          <cell r="A3200" t="str">
            <v>2630PP37</v>
          </cell>
          <cell r="D3200" t="str">
            <v>FTW700</v>
          </cell>
          <cell r="E3200"/>
        </row>
        <row r="3201">
          <cell r="A3201" t="str">
            <v>2630PQ37</v>
          </cell>
          <cell r="D3201" t="str">
            <v>FTW700</v>
          </cell>
          <cell r="E3201"/>
        </row>
        <row r="3202">
          <cell r="A3202" t="str">
            <v>2630PR37</v>
          </cell>
          <cell r="D3202" t="str">
            <v>FTW700</v>
          </cell>
          <cell r="E3202"/>
        </row>
        <row r="3203">
          <cell r="A3203" t="str">
            <v>2630Q327</v>
          </cell>
          <cell r="D3203" t="str">
            <v>TTS80</v>
          </cell>
          <cell r="E3203"/>
        </row>
        <row r="3204">
          <cell r="A3204" t="str">
            <v>2630Q427</v>
          </cell>
          <cell r="D3204" t="str">
            <v>TTS80</v>
          </cell>
          <cell r="E3204"/>
        </row>
        <row r="3205">
          <cell r="A3205" t="str">
            <v>2630Q627</v>
          </cell>
          <cell r="D3205" t="str">
            <v>TTS80</v>
          </cell>
          <cell r="E3205"/>
        </row>
        <row r="3206">
          <cell r="A3206" t="str">
            <v>2630Q727</v>
          </cell>
          <cell r="D3206" t="str">
            <v>TTS80</v>
          </cell>
          <cell r="E3206"/>
        </row>
        <row r="3207">
          <cell r="A3207" t="str">
            <v>2630Q927</v>
          </cell>
          <cell r="D3207" t="str">
            <v>TTS80</v>
          </cell>
          <cell r="E3207"/>
        </row>
        <row r="3208">
          <cell r="A3208" t="str">
            <v>2630QA27</v>
          </cell>
          <cell r="D3208" t="str">
            <v>TTS80</v>
          </cell>
          <cell r="E3208"/>
        </row>
        <row r="3209">
          <cell r="A3209" t="str">
            <v>2630QD27</v>
          </cell>
          <cell r="D3209" t="str">
            <v>TTS80</v>
          </cell>
          <cell r="E3209"/>
        </row>
        <row r="3210">
          <cell r="A3210" t="str">
            <v>2630QF27</v>
          </cell>
          <cell r="D3210" t="str">
            <v>TTS80</v>
          </cell>
          <cell r="E3210"/>
        </row>
        <row r="3211">
          <cell r="A3211" t="str">
            <v>2630QG27</v>
          </cell>
          <cell r="D3211" t="str">
            <v>TTS80</v>
          </cell>
          <cell r="E3211"/>
        </row>
        <row r="3212">
          <cell r="A3212" t="str">
            <v>2630QH27</v>
          </cell>
          <cell r="D3212" t="str">
            <v>TTS80</v>
          </cell>
          <cell r="E3212"/>
        </row>
        <row r="3213">
          <cell r="A3213" t="str">
            <v>2629IZ57</v>
          </cell>
          <cell r="D3213" t="str">
            <v>KBP86</v>
          </cell>
          <cell r="E3213"/>
        </row>
        <row r="3214">
          <cell r="A3214" t="str">
            <v>2630KU17</v>
          </cell>
          <cell r="D3214" t="str">
            <v>KBP86</v>
          </cell>
          <cell r="E3214"/>
        </row>
        <row r="3215">
          <cell r="A3215" t="str">
            <v>2630LU27</v>
          </cell>
          <cell r="D3215" t="str">
            <v>KBP86</v>
          </cell>
          <cell r="E3215"/>
        </row>
        <row r="3216">
          <cell r="A3216" t="str">
            <v>2630QR37</v>
          </cell>
          <cell r="D3216" t="str">
            <v>KBP86</v>
          </cell>
          <cell r="E3216"/>
        </row>
        <row r="3217">
          <cell r="A3217" t="str">
            <v>2629PX47</v>
          </cell>
          <cell r="D3217" t="str">
            <v>TTS80</v>
          </cell>
          <cell r="E3217"/>
        </row>
        <row r="3218">
          <cell r="A3218" t="str">
            <v>2629LH57</v>
          </cell>
          <cell r="D3218" t="str">
            <v>TTS80</v>
          </cell>
          <cell r="E3218"/>
        </row>
        <row r="3219">
          <cell r="A3219" t="str">
            <v>2629LI57</v>
          </cell>
          <cell r="D3219" t="str">
            <v>TTS80</v>
          </cell>
          <cell r="E3219"/>
        </row>
        <row r="3220">
          <cell r="A3220" t="str">
            <v>2630LZ17</v>
          </cell>
          <cell r="D3220" t="str">
            <v>TTS80</v>
          </cell>
          <cell r="E3220"/>
        </row>
        <row r="3221">
          <cell r="A3221" t="str">
            <v>2630O217</v>
          </cell>
          <cell r="D3221" t="str">
            <v>TTS80</v>
          </cell>
          <cell r="E3221"/>
        </row>
        <row r="3222">
          <cell r="A3222" t="str">
            <v>2630O317</v>
          </cell>
          <cell r="D3222" t="str">
            <v>TTS80</v>
          </cell>
          <cell r="E3222"/>
        </row>
        <row r="3223">
          <cell r="A3223" t="str">
            <v>2630O417</v>
          </cell>
          <cell r="D3223" t="str">
            <v>TTS80</v>
          </cell>
          <cell r="E3223"/>
        </row>
        <row r="3224">
          <cell r="A3224" t="str">
            <v>2630OF27</v>
          </cell>
          <cell r="D3224" t="str">
            <v>TTS80</v>
          </cell>
          <cell r="E3224"/>
        </row>
        <row r="3225">
          <cell r="A3225" t="str">
            <v>2630OH27</v>
          </cell>
          <cell r="D3225" t="str">
            <v>TTS80</v>
          </cell>
          <cell r="E3225"/>
        </row>
        <row r="3226">
          <cell r="A3226" t="str">
            <v>2630OI27</v>
          </cell>
          <cell r="D3226" t="str">
            <v>TTS80</v>
          </cell>
          <cell r="E3226"/>
        </row>
        <row r="3227">
          <cell r="A3227" t="str">
            <v>2629S657</v>
          </cell>
          <cell r="D3227" t="str">
            <v>FTP200</v>
          </cell>
          <cell r="E3227"/>
        </row>
        <row r="3228">
          <cell r="A3228" t="str">
            <v>2630JM27</v>
          </cell>
          <cell r="D3228" t="str">
            <v>FTP150</v>
          </cell>
          <cell r="E3228"/>
        </row>
        <row r="3229">
          <cell r="A3229" t="str">
            <v>2630OH37</v>
          </cell>
          <cell r="D3229" t="str">
            <v>FTP150</v>
          </cell>
          <cell r="E3229"/>
        </row>
        <row r="3230">
          <cell r="A3230" t="str">
            <v>2630OT27</v>
          </cell>
          <cell r="D3230" t="str">
            <v>S706</v>
          </cell>
          <cell r="E3230"/>
        </row>
        <row r="3231">
          <cell r="A3231" t="str">
            <v>2630SL37</v>
          </cell>
          <cell r="D3231" t="str">
            <v>S706</v>
          </cell>
          <cell r="E3231"/>
        </row>
        <row r="3232">
          <cell r="A3232" t="str">
            <v>2630SO37</v>
          </cell>
          <cell r="D3232" t="str">
            <v>S706</v>
          </cell>
          <cell r="E3232"/>
        </row>
        <row r="3233">
          <cell r="A3233" t="str">
            <v>2630SU37</v>
          </cell>
          <cell r="D3233" t="str">
            <v>S706</v>
          </cell>
          <cell r="E3233"/>
        </row>
        <row r="3234">
          <cell r="A3234" t="str">
            <v>2630KT27</v>
          </cell>
          <cell r="D3234" t="str">
            <v>TTS50</v>
          </cell>
          <cell r="E3234"/>
        </row>
        <row r="3235">
          <cell r="A3235" t="str">
            <v>2630PL37</v>
          </cell>
          <cell r="D3235" t="str">
            <v>TTS50</v>
          </cell>
          <cell r="E3235"/>
        </row>
        <row r="3236">
          <cell r="A3236" t="str">
            <v>2630IS17</v>
          </cell>
          <cell r="D3236" t="str">
            <v>TTS50</v>
          </cell>
          <cell r="E3236"/>
        </row>
        <row r="3237">
          <cell r="A3237" t="str">
            <v>2630IZ17</v>
          </cell>
          <cell r="D3237" t="str">
            <v>TTS50</v>
          </cell>
          <cell r="E3237"/>
        </row>
        <row r="3238">
          <cell r="A3238" t="str">
            <v>2630J717</v>
          </cell>
          <cell r="D3238" t="str">
            <v>TTS50</v>
          </cell>
          <cell r="E3238"/>
        </row>
        <row r="3239">
          <cell r="A3239" t="str">
            <v>2630JT27</v>
          </cell>
          <cell r="D3239" t="str">
            <v>TTS50</v>
          </cell>
          <cell r="E3239"/>
        </row>
        <row r="3240">
          <cell r="A3240" t="str">
            <v>2630JU27</v>
          </cell>
          <cell r="D3240" t="str">
            <v>TTS50</v>
          </cell>
          <cell r="E3240"/>
        </row>
        <row r="3241">
          <cell r="A3241" t="str">
            <v>2630JZ27</v>
          </cell>
          <cell r="D3241" t="str">
            <v>TTS50</v>
          </cell>
          <cell r="E3241"/>
        </row>
        <row r="3242">
          <cell r="A3242" t="str">
            <v>2630K327</v>
          </cell>
          <cell r="D3242" t="str">
            <v>TTS50</v>
          </cell>
          <cell r="E3242"/>
        </row>
        <row r="3243">
          <cell r="A3243" t="str">
            <v>2630K827</v>
          </cell>
          <cell r="D3243" t="str">
            <v>TTS50</v>
          </cell>
          <cell r="E3243"/>
        </row>
        <row r="3244">
          <cell r="A3244" t="str">
            <v>2630KI27</v>
          </cell>
          <cell r="D3244" t="str">
            <v>TTS50</v>
          </cell>
          <cell r="E3244"/>
        </row>
        <row r="3245">
          <cell r="A3245" t="str">
            <v>2630OU37</v>
          </cell>
          <cell r="D3245" t="str">
            <v>TTS50</v>
          </cell>
          <cell r="E3245"/>
        </row>
        <row r="3246">
          <cell r="A3246" t="str">
            <v>2630PA37</v>
          </cell>
          <cell r="D3246" t="str">
            <v>TTS50</v>
          </cell>
          <cell r="E3246"/>
        </row>
        <row r="3247">
          <cell r="A3247" t="str">
            <v>2630PH37</v>
          </cell>
          <cell r="D3247" t="str">
            <v>TTS50</v>
          </cell>
          <cell r="E3247"/>
        </row>
        <row r="3248">
          <cell r="A3248" t="str">
            <v>2629OR57</v>
          </cell>
          <cell r="D3248" t="str">
            <v>KBP76</v>
          </cell>
          <cell r="E3248"/>
        </row>
        <row r="3249">
          <cell r="A3249" t="str">
            <v>2630PH17</v>
          </cell>
          <cell r="D3249" t="str">
            <v>KBP76</v>
          </cell>
          <cell r="E3249"/>
        </row>
        <row r="3250">
          <cell r="A3250" t="str">
            <v>2630PE27</v>
          </cell>
          <cell r="D3250" t="str">
            <v>KBP76</v>
          </cell>
          <cell r="E3250"/>
        </row>
        <row r="3251">
          <cell r="A3251" t="str">
            <v>2630JY27</v>
          </cell>
          <cell r="D3251" t="str">
            <v>TTS50</v>
          </cell>
          <cell r="E3251"/>
        </row>
        <row r="3252">
          <cell r="A3252" t="str">
            <v>2301E417</v>
          </cell>
          <cell r="D3252" t="str">
            <v>STA156KA</v>
          </cell>
          <cell r="E3252"/>
        </row>
        <row r="3253">
          <cell r="A3253" t="str">
            <v>2446GT30</v>
          </cell>
          <cell r="D3253" t="str">
            <v xml:space="preserve">TTS125    </v>
          </cell>
          <cell r="E3253"/>
        </row>
        <row r="3254">
          <cell r="A3254" t="str">
            <v>2517DG30</v>
          </cell>
          <cell r="D3254" t="str">
            <v xml:space="preserve">FTP150    </v>
          </cell>
          <cell r="E3254"/>
        </row>
        <row r="3255">
          <cell r="A3255" t="str">
            <v>2626Z337</v>
          </cell>
          <cell r="D3255" t="str">
            <v>FTW121KR</v>
          </cell>
          <cell r="E3255">
            <v>46238</v>
          </cell>
        </row>
        <row r="3256">
          <cell r="A3256" t="str">
            <v>2611Z727</v>
          </cell>
          <cell r="D3256" t="str">
            <v>KBP86</v>
          </cell>
          <cell r="E3256">
            <v>46238</v>
          </cell>
        </row>
        <row r="3257">
          <cell r="A3257" t="str">
            <v>2626Z237</v>
          </cell>
          <cell r="D3257" t="str">
            <v>FTW121KR</v>
          </cell>
          <cell r="E3257">
            <v>46237</v>
          </cell>
        </row>
        <row r="3258">
          <cell r="A3258" t="str">
            <v>2626Z137</v>
          </cell>
          <cell r="D3258" t="str">
            <v>FTW121KR</v>
          </cell>
          <cell r="E3258">
            <v>46237</v>
          </cell>
        </row>
        <row r="3259">
          <cell r="A3259" t="str">
            <v>2623Z827</v>
          </cell>
          <cell r="D3259" t="str">
            <v>STA156KA</v>
          </cell>
          <cell r="E3259">
            <v>46236</v>
          </cell>
        </row>
        <row r="3260">
          <cell r="A3260" t="str">
            <v>2614ZS17</v>
          </cell>
          <cell r="D3260" t="str">
            <v>KBP34</v>
          </cell>
          <cell r="E3260">
            <v>46236</v>
          </cell>
        </row>
        <row r="3261">
          <cell r="A3261" t="str">
            <v>2614ZT17</v>
          </cell>
          <cell r="D3261" t="str">
            <v>KBP34</v>
          </cell>
          <cell r="E3261">
            <v>46234</v>
          </cell>
        </row>
        <row r="3262">
          <cell r="A3262" t="str">
            <v>2628Z617</v>
          </cell>
          <cell r="D3262" t="str">
            <v>S805X</v>
          </cell>
          <cell r="E3262">
            <v>46234</v>
          </cell>
        </row>
        <row r="3263">
          <cell r="A3263" t="str">
            <v>2628Z717</v>
          </cell>
          <cell r="D3263" t="str">
            <v>S805X</v>
          </cell>
          <cell r="E3263">
            <v>46234</v>
          </cell>
        </row>
        <row r="3264">
          <cell r="A3264" t="str">
            <v>2546ZW47</v>
          </cell>
          <cell r="D3264" t="str">
            <v>KBP34</v>
          </cell>
          <cell r="E3264">
            <v>46233</v>
          </cell>
        </row>
        <row r="3265">
          <cell r="A3265" t="str">
            <v>2628Z817</v>
          </cell>
          <cell r="D3265" t="str">
            <v>KBP34</v>
          </cell>
          <cell r="E3265">
            <v>46233</v>
          </cell>
        </row>
        <row r="3266">
          <cell r="A3266" t="str">
            <v>2625Z317</v>
          </cell>
          <cell r="D3266" t="str">
            <v>S706</v>
          </cell>
          <cell r="E3266">
            <v>46233</v>
          </cell>
        </row>
        <row r="3267">
          <cell r="A3267" t="str">
            <v>2623Y357</v>
          </cell>
          <cell r="D3267" t="str">
            <v>S706</v>
          </cell>
          <cell r="E3267">
            <v>46232</v>
          </cell>
        </row>
        <row r="3268">
          <cell r="A3268" t="str">
            <v>2623Y757</v>
          </cell>
          <cell r="D3268" t="str">
            <v>S706</v>
          </cell>
          <cell r="E3268">
            <v>46232</v>
          </cell>
        </row>
        <row r="3269">
          <cell r="A3269" t="str">
            <v>2618Z527</v>
          </cell>
          <cell r="D3269" t="str">
            <v>S706</v>
          </cell>
          <cell r="E3269">
            <v>46231</v>
          </cell>
        </row>
        <row r="3270">
          <cell r="A3270" t="str">
            <v>2623Y257</v>
          </cell>
          <cell r="D3270" t="str">
            <v>S706</v>
          </cell>
          <cell r="E3270">
            <v>46231</v>
          </cell>
        </row>
        <row r="3271">
          <cell r="A3271" t="str">
            <v>2626PR47</v>
          </cell>
          <cell r="D3271" t="str">
            <v>TTS80</v>
          </cell>
          <cell r="E3271">
            <v>46230</v>
          </cell>
        </row>
        <row r="3272">
          <cell r="A3272" t="str">
            <v>2608Z127</v>
          </cell>
          <cell r="D3272" t="str">
            <v>S706</v>
          </cell>
          <cell r="E3272">
            <v>46230</v>
          </cell>
        </row>
        <row r="3273">
          <cell r="A3273" t="str">
            <v>2608Z227</v>
          </cell>
          <cell r="D3273" t="str">
            <v>S706</v>
          </cell>
          <cell r="E3273">
            <v>46230</v>
          </cell>
        </row>
        <row r="3274">
          <cell r="A3274" t="str">
            <v>2608Z327</v>
          </cell>
          <cell r="D3274" t="str">
            <v>S706</v>
          </cell>
          <cell r="E3274">
            <v>46230</v>
          </cell>
        </row>
        <row r="3275">
          <cell r="A3275" t="str">
            <v>2610Y137</v>
          </cell>
          <cell r="D3275" t="str">
            <v>S706</v>
          </cell>
          <cell r="E3275">
            <v>46230</v>
          </cell>
        </row>
        <row r="3276">
          <cell r="A3276" t="str">
            <v>2618Z427</v>
          </cell>
          <cell r="D3276" t="str">
            <v>S706</v>
          </cell>
          <cell r="E3276">
            <v>46230</v>
          </cell>
        </row>
        <row r="3277">
          <cell r="A3277" t="str">
            <v>2626CA27</v>
          </cell>
          <cell r="D3277" t="str">
            <v>S15MB</v>
          </cell>
          <cell r="E3277">
            <v>46230</v>
          </cell>
        </row>
        <row r="3278">
          <cell r="A3278" t="str">
            <v>2628HI67</v>
          </cell>
          <cell r="D3278" t="str">
            <v>KBP76</v>
          </cell>
          <cell r="E3278">
            <v>46230</v>
          </cell>
        </row>
        <row r="3279">
          <cell r="A3279" t="str">
            <v>2627QW17</v>
          </cell>
          <cell r="D3279" t="str">
            <v>FTP200</v>
          </cell>
          <cell r="E3279">
            <v>46230</v>
          </cell>
        </row>
        <row r="3280">
          <cell r="A3280" t="str">
            <v>2627E357</v>
          </cell>
          <cell r="D3280" t="str">
            <v>FTW121KR</v>
          </cell>
          <cell r="E3280">
            <v>46230</v>
          </cell>
        </row>
        <row r="3281">
          <cell r="A3281" t="str">
            <v>2626SF57</v>
          </cell>
          <cell r="D3281" t="str">
            <v>FTW503</v>
          </cell>
          <cell r="E3281">
            <v>46230</v>
          </cell>
        </row>
        <row r="3282">
          <cell r="A3282" t="str">
            <v>2624A157</v>
          </cell>
          <cell r="D3282" t="str">
            <v>STA156KA</v>
          </cell>
          <cell r="E3282">
            <v>46230</v>
          </cell>
        </row>
        <row r="3283">
          <cell r="A3283" t="str">
            <v>2627FQ60</v>
          </cell>
          <cell r="D3283" t="str">
            <v>TTS125</v>
          </cell>
          <cell r="E3283">
            <v>46230</v>
          </cell>
        </row>
        <row r="3284">
          <cell r="A3284" t="str">
            <v>2628HB27</v>
          </cell>
          <cell r="D3284" t="str">
            <v>TTS50</v>
          </cell>
          <cell r="E3284">
            <v>46230</v>
          </cell>
        </row>
        <row r="3285">
          <cell r="A3285" t="str">
            <v>2627H267</v>
          </cell>
          <cell r="D3285" t="str">
            <v>FTW121KR</v>
          </cell>
          <cell r="E3285">
            <v>46230</v>
          </cell>
        </row>
        <row r="3286">
          <cell r="A3286" t="str">
            <v>2624CP67</v>
          </cell>
          <cell r="D3286" t="str">
            <v>KBP86</v>
          </cell>
          <cell r="E3286">
            <v>46230</v>
          </cell>
        </row>
        <row r="3287">
          <cell r="A3287" t="str">
            <v>2619A157</v>
          </cell>
          <cell r="D3287" t="str">
            <v>FTW102K</v>
          </cell>
          <cell r="E3287">
            <v>46230</v>
          </cell>
        </row>
        <row r="3288">
          <cell r="A3288" t="str">
            <v>2624EG27</v>
          </cell>
          <cell r="D3288" t="str">
            <v>KBP86</v>
          </cell>
          <cell r="E3288">
            <v>46230</v>
          </cell>
        </row>
        <row r="3289">
          <cell r="A3289" t="str">
            <v>2628HD47</v>
          </cell>
          <cell r="D3289" t="str">
            <v>FTP150</v>
          </cell>
          <cell r="E3289">
            <v>46230</v>
          </cell>
        </row>
        <row r="3290">
          <cell r="A3290" t="str">
            <v>2628H167</v>
          </cell>
          <cell r="D3290" t="str">
            <v>KBP76</v>
          </cell>
          <cell r="E3290">
            <v>46230</v>
          </cell>
        </row>
        <row r="3291">
          <cell r="A3291" t="str">
            <v>2609IY27</v>
          </cell>
          <cell r="D3291" t="str">
            <v>KBP52</v>
          </cell>
          <cell r="E3291">
            <v>46230</v>
          </cell>
        </row>
        <row r="3292">
          <cell r="A3292" t="str">
            <v>2627OK67</v>
          </cell>
          <cell r="D3292" t="str">
            <v>KBP76</v>
          </cell>
          <cell r="E3292">
            <v>46230</v>
          </cell>
        </row>
        <row r="3293">
          <cell r="A3293" t="str">
            <v>2627E957</v>
          </cell>
          <cell r="D3293" t="str">
            <v>FTW121KR</v>
          </cell>
          <cell r="E3293">
            <v>46230</v>
          </cell>
        </row>
        <row r="3294">
          <cell r="A3294" t="str">
            <v>2628H767</v>
          </cell>
          <cell r="D3294" t="str">
            <v>KBP76</v>
          </cell>
          <cell r="E3294">
            <v>46230</v>
          </cell>
        </row>
        <row r="3295">
          <cell r="A3295" t="str">
            <v>2628HB67</v>
          </cell>
          <cell r="D3295" t="str">
            <v>KBP76</v>
          </cell>
          <cell r="E3295">
            <v>46230</v>
          </cell>
        </row>
        <row r="3296">
          <cell r="A3296" t="str">
            <v>2628PZ17</v>
          </cell>
          <cell r="D3296" t="str">
            <v>TTS50</v>
          </cell>
          <cell r="E3296">
            <v>46230</v>
          </cell>
        </row>
        <row r="3297">
          <cell r="A3297" t="str">
            <v>2627I247</v>
          </cell>
          <cell r="D3297" t="str">
            <v>FTW121KR</v>
          </cell>
          <cell r="E3297">
            <v>46230</v>
          </cell>
        </row>
        <row r="3298">
          <cell r="A3298" t="str">
            <v>2628Q147</v>
          </cell>
          <cell r="D3298" t="str">
            <v>TTS80</v>
          </cell>
          <cell r="E3298">
            <v>46230</v>
          </cell>
        </row>
        <row r="3299">
          <cell r="A3299" t="str">
            <v>2628GM67</v>
          </cell>
          <cell r="D3299" t="str">
            <v>S706</v>
          </cell>
          <cell r="E3299">
            <v>46230</v>
          </cell>
        </row>
        <row r="3300">
          <cell r="A3300" t="str">
            <v>2624DB67</v>
          </cell>
          <cell r="D3300" t="str">
            <v>KBP86</v>
          </cell>
          <cell r="E3300">
            <v>46230</v>
          </cell>
        </row>
        <row r="3301">
          <cell r="A3301" t="str">
            <v>2623KX47</v>
          </cell>
          <cell r="D3301" t="str">
            <v>KBP86</v>
          </cell>
          <cell r="E3301">
            <v>46230</v>
          </cell>
        </row>
        <row r="3302">
          <cell r="A3302" t="str">
            <v>2628QV17</v>
          </cell>
          <cell r="D3302" t="str">
            <v>FTW102K</v>
          </cell>
          <cell r="E3302">
            <v>46230</v>
          </cell>
        </row>
        <row r="3303">
          <cell r="A3303" t="str">
            <v>2627QJ67</v>
          </cell>
          <cell r="D3303" t="str">
            <v>TTS80</v>
          </cell>
          <cell r="E3303">
            <v>46230</v>
          </cell>
        </row>
        <row r="3304">
          <cell r="A3304" t="str">
            <v>2625A757</v>
          </cell>
          <cell r="D3304" t="str">
            <v>KBP126</v>
          </cell>
          <cell r="E3304">
            <v>46230</v>
          </cell>
        </row>
        <row r="3305">
          <cell r="A3305" t="str">
            <v>2627GU67</v>
          </cell>
          <cell r="D3305" t="str">
            <v>FTW121KR</v>
          </cell>
          <cell r="E3305">
            <v>46230</v>
          </cell>
        </row>
        <row r="3306">
          <cell r="A3306" t="str">
            <v>2628Q437</v>
          </cell>
          <cell r="D3306" t="str">
            <v>TTS80</v>
          </cell>
          <cell r="E3306">
            <v>46230</v>
          </cell>
        </row>
        <row r="3307">
          <cell r="A3307" t="str">
            <v>2628GY27</v>
          </cell>
          <cell r="D3307" t="str">
            <v>TTS50</v>
          </cell>
          <cell r="E3307">
            <v>46230</v>
          </cell>
        </row>
        <row r="3308">
          <cell r="A3308" t="str">
            <v>2614Q747</v>
          </cell>
          <cell r="D3308" t="str">
            <v>KBP76</v>
          </cell>
          <cell r="E3308">
            <v>46230</v>
          </cell>
        </row>
        <row r="3309">
          <cell r="A3309" t="str">
            <v>2627J867</v>
          </cell>
          <cell r="D3309" t="str">
            <v>STA156KA</v>
          </cell>
          <cell r="E3309">
            <v>46230</v>
          </cell>
        </row>
        <row r="3310">
          <cell r="A3310" t="str">
            <v>2626IU37</v>
          </cell>
          <cell r="D3310" t="str">
            <v>KBP86</v>
          </cell>
          <cell r="E3310">
            <v>46230</v>
          </cell>
        </row>
        <row r="3311">
          <cell r="A3311" t="str">
            <v>2627S767</v>
          </cell>
          <cell r="D3311" t="str">
            <v>TTS80</v>
          </cell>
          <cell r="E3311">
            <v>46230</v>
          </cell>
        </row>
        <row r="3312">
          <cell r="A3312" t="str">
            <v>2628CX17</v>
          </cell>
          <cell r="D3312" t="str">
            <v>KBP76</v>
          </cell>
          <cell r="E3312">
            <v>46230</v>
          </cell>
        </row>
        <row r="3313">
          <cell r="A3313" t="str">
            <v>2628G657</v>
          </cell>
          <cell r="D3313" t="str">
            <v>FTP200</v>
          </cell>
          <cell r="E3313">
            <v>46230</v>
          </cell>
        </row>
        <row r="3314">
          <cell r="A3314" t="str">
            <v>2628SG17</v>
          </cell>
          <cell r="D3314" t="str">
            <v>FTW121KR</v>
          </cell>
          <cell r="E3314">
            <v>46230</v>
          </cell>
        </row>
        <row r="3315">
          <cell r="A3315" t="str">
            <v>2628SL27</v>
          </cell>
          <cell r="D3315" t="str">
            <v>TTS80</v>
          </cell>
          <cell r="E3315">
            <v>46230</v>
          </cell>
        </row>
        <row r="3316">
          <cell r="A3316" t="str">
            <v>2628B117</v>
          </cell>
          <cell r="D3316" t="str">
            <v>KBP126</v>
          </cell>
          <cell r="E3316">
            <v>46230</v>
          </cell>
        </row>
        <row r="3317">
          <cell r="A3317" t="str">
            <v>2628U957</v>
          </cell>
          <cell r="D3317" t="str">
            <v>KBP86</v>
          </cell>
          <cell r="E3317">
            <v>46230</v>
          </cell>
        </row>
        <row r="3318">
          <cell r="A3318" t="str">
            <v>2628QA17</v>
          </cell>
          <cell r="D3318" t="str">
            <v>TTS50</v>
          </cell>
          <cell r="E3318">
            <v>46230</v>
          </cell>
        </row>
        <row r="3319">
          <cell r="A3319" t="str">
            <v>2625AM67</v>
          </cell>
          <cell r="D3319" t="str">
            <v>FTW503</v>
          </cell>
          <cell r="E3319">
            <v>46230</v>
          </cell>
        </row>
        <row r="3320">
          <cell r="A3320" t="str">
            <v>2624FD90</v>
          </cell>
          <cell r="D3320" t="str">
            <v>TTS125</v>
          </cell>
          <cell r="E3320">
            <v>46230</v>
          </cell>
        </row>
        <row r="3321">
          <cell r="A3321" t="str">
            <v>2614PZ47</v>
          </cell>
          <cell r="D3321" t="str">
            <v>KBP76</v>
          </cell>
          <cell r="E3321">
            <v>46230</v>
          </cell>
        </row>
        <row r="3322">
          <cell r="A3322" t="str">
            <v>2626LX67</v>
          </cell>
          <cell r="D3322" t="str">
            <v>TTS40</v>
          </cell>
          <cell r="E3322">
            <v>46230</v>
          </cell>
        </row>
        <row r="3323">
          <cell r="A3323" t="str">
            <v>2627OK37</v>
          </cell>
          <cell r="D3323" t="str">
            <v>FTW102K</v>
          </cell>
          <cell r="E3323">
            <v>46230</v>
          </cell>
        </row>
        <row r="3324">
          <cell r="A3324" t="str">
            <v>2628L947</v>
          </cell>
          <cell r="D3324" t="str">
            <v>KBP86</v>
          </cell>
          <cell r="E3324">
            <v>46230</v>
          </cell>
        </row>
        <row r="3325">
          <cell r="A3325" t="str">
            <v>2628P137</v>
          </cell>
          <cell r="D3325" t="str">
            <v>S706</v>
          </cell>
          <cell r="E3325">
            <v>46230</v>
          </cell>
        </row>
        <row r="3326">
          <cell r="A3326" t="str">
            <v>2628GW27</v>
          </cell>
          <cell r="D3326" t="str">
            <v>FTP150</v>
          </cell>
          <cell r="E3326">
            <v>46230</v>
          </cell>
        </row>
        <row r="3327">
          <cell r="A3327" t="str">
            <v>2627GW67</v>
          </cell>
          <cell r="D3327" t="str">
            <v>FTW121KR</v>
          </cell>
          <cell r="E3327">
            <v>46230</v>
          </cell>
        </row>
        <row r="3328">
          <cell r="A3328" t="str">
            <v>2627EQ67</v>
          </cell>
          <cell r="D3328" t="str">
            <v>FTW102K</v>
          </cell>
          <cell r="E3328">
            <v>46230</v>
          </cell>
        </row>
        <row r="3329">
          <cell r="A3329" t="str">
            <v>2628LQ67</v>
          </cell>
          <cell r="D3329" t="str">
            <v>KBP55</v>
          </cell>
          <cell r="E3329">
            <v>46230</v>
          </cell>
        </row>
        <row r="3330">
          <cell r="A3330" t="str">
            <v>2625LZ57</v>
          </cell>
          <cell r="D3330" t="str">
            <v>KBP55</v>
          </cell>
          <cell r="E3330">
            <v>46230</v>
          </cell>
        </row>
        <row r="3331">
          <cell r="A3331" t="str">
            <v>2628JV67</v>
          </cell>
          <cell r="D3331" t="str">
            <v>TTS80</v>
          </cell>
          <cell r="E3331">
            <v>46230</v>
          </cell>
        </row>
        <row r="3332">
          <cell r="A3332" t="str">
            <v>2625IC47</v>
          </cell>
          <cell r="D3332" t="str">
            <v>S805</v>
          </cell>
          <cell r="E3332">
            <v>46230</v>
          </cell>
        </row>
        <row r="3333">
          <cell r="A3333" t="str">
            <v>2624C917</v>
          </cell>
          <cell r="D3333" t="str">
            <v>KBP86</v>
          </cell>
          <cell r="E3333">
            <v>46230</v>
          </cell>
        </row>
        <row r="3334">
          <cell r="A3334" t="str">
            <v>2627H467</v>
          </cell>
          <cell r="D3334" t="str">
            <v>FTW121KR</v>
          </cell>
          <cell r="E3334">
            <v>46230</v>
          </cell>
        </row>
        <row r="3335">
          <cell r="A3335" t="str">
            <v>2625P727</v>
          </cell>
          <cell r="D3335" t="str">
            <v>KBP86</v>
          </cell>
          <cell r="E3335">
            <v>46230</v>
          </cell>
        </row>
        <row r="3336">
          <cell r="A3336" t="str">
            <v>2627P337</v>
          </cell>
          <cell r="D3336" t="str">
            <v>FTW121KR</v>
          </cell>
          <cell r="E3336">
            <v>46230</v>
          </cell>
        </row>
        <row r="3337">
          <cell r="A3337" t="str">
            <v>2628QB17</v>
          </cell>
          <cell r="D3337" t="str">
            <v>TTS50</v>
          </cell>
          <cell r="E3337">
            <v>46230</v>
          </cell>
        </row>
        <row r="3338">
          <cell r="A3338" t="str">
            <v>2624EJ37</v>
          </cell>
          <cell r="D3338" t="str">
            <v>KBP86</v>
          </cell>
          <cell r="E3338">
            <v>46230</v>
          </cell>
        </row>
        <row r="3339">
          <cell r="A3339" t="str">
            <v>2627JB67</v>
          </cell>
          <cell r="D3339" t="str">
            <v>KBP76</v>
          </cell>
          <cell r="E3339">
            <v>46230</v>
          </cell>
        </row>
        <row r="3340">
          <cell r="A3340" t="str">
            <v>2627JM67</v>
          </cell>
          <cell r="D3340" t="str">
            <v>KBP76</v>
          </cell>
          <cell r="E3340">
            <v>46230</v>
          </cell>
        </row>
        <row r="3341">
          <cell r="A3341" t="str">
            <v>2629U817</v>
          </cell>
          <cell r="D3341" t="str">
            <v>TTS80</v>
          </cell>
          <cell r="E3341">
            <v>46230</v>
          </cell>
        </row>
        <row r="3342">
          <cell r="A3342" t="str">
            <v>2626CI47</v>
          </cell>
          <cell r="D3342" t="str">
            <v>S15MB</v>
          </cell>
          <cell r="E3342">
            <v>46230</v>
          </cell>
        </row>
        <row r="3343">
          <cell r="A3343" t="str">
            <v>2626JQ47</v>
          </cell>
          <cell r="D3343" t="str">
            <v>FTW503</v>
          </cell>
          <cell r="E3343">
            <v>46230</v>
          </cell>
        </row>
        <row r="3344">
          <cell r="A3344" t="str">
            <v>2628IO27</v>
          </cell>
          <cell r="D3344" t="str">
            <v>FTW121KR</v>
          </cell>
          <cell r="E3344">
            <v>46230</v>
          </cell>
        </row>
        <row r="3345">
          <cell r="A3345" t="str">
            <v>2628GZ67</v>
          </cell>
          <cell r="D3345" t="str">
            <v>KBP76</v>
          </cell>
          <cell r="E3345">
            <v>46230</v>
          </cell>
        </row>
        <row r="3346">
          <cell r="A3346" t="str">
            <v>2625XT57</v>
          </cell>
          <cell r="D3346" t="str">
            <v>KBP76</v>
          </cell>
          <cell r="E3346">
            <v>46230</v>
          </cell>
        </row>
        <row r="3347">
          <cell r="A3347" t="str">
            <v>2628DP57</v>
          </cell>
          <cell r="D3347" t="str">
            <v>FTP150</v>
          </cell>
          <cell r="E3347">
            <v>46230</v>
          </cell>
        </row>
        <row r="3348">
          <cell r="A3348" t="str">
            <v>2627U467</v>
          </cell>
          <cell r="D3348" t="str">
            <v>KBP86</v>
          </cell>
          <cell r="E3348">
            <v>46230</v>
          </cell>
        </row>
        <row r="3349">
          <cell r="A3349" t="str">
            <v>2626IY57</v>
          </cell>
          <cell r="D3349" t="str">
            <v>TTS80</v>
          </cell>
          <cell r="E3349">
            <v>46230</v>
          </cell>
        </row>
        <row r="3350">
          <cell r="A3350" t="str">
            <v>2626IZ57</v>
          </cell>
          <cell r="D3350" t="str">
            <v>TTS80</v>
          </cell>
          <cell r="E3350">
            <v>46230</v>
          </cell>
        </row>
        <row r="3351">
          <cell r="A3351" t="str">
            <v>2626J157</v>
          </cell>
          <cell r="D3351" t="str">
            <v>TTS80</v>
          </cell>
          <cell r="E3351">
            <v>46230</v>
          </cell>
        </row>
        <row r="3352">
          <cell r="A3352" t="str">
            <v>2626J257</v>
          </cell>
          <cell r="D3352" t="str">
            <v>TTS80</v>
          </cell>
          <cell r="E3352">
            <v>46230</v>
          </cell>
        </row>
        <row r="3353">
          <cell r="A3353" t="str">
            <v>2626J357</v>
          </cell>
          <cell r="D3353" t="str">
            <v>TTS80</v>
          </cell>
          <cell r="E3353">
            <v>46230</v>
          </cell>
        </row>
        <row r="3354">
          <cell r="A3354" t="str">
            <v>2627LE17</v>
          </cell>
          <cell r="D3354" t="str">
            <v>FTW503</v>
          </cell>
          <cell r="E3354">
            <v>46230</v>
          </cell>
        </row>
        <row r="3355">
          <cell r="A3355" t="str">
            <v>2628I347</v>
          </cell>
          <cell r="D3355" t="str">
            <v>TTS50</v>
          </cell>
          <cell r="E3355">
            <v>46230</v>
          </cell>
        </row>
        <row r="3356">
          <cell r="A3356" t="str">
            <v>2628K737</v>
          </cell>
          <cell r="D3356" t="str">
            <v>TTS50</v>
          </cell>
          <cell r="E3356">
            <v>46230</v>
          </cell>
        </row>
        <row r="3357">
          <cell r="A3357" t="str">
            <v>2625U557</v>
          </cell>
          <cell r="D3357" t="str">
            <v>TTS50</v>
          </cell>
          <cell r="E3357">
            <v>46230</v>
          </cell>
        </row>
        <row r="3358">
          <cell r="A3358" t="str">
            <v>2610ZH37</v>
          </cell>
          <cell r="D3358" t="str">
            <v>S706</v>
          </cell>
          <cell r="E3358">
            <v>46230</v>
          </cell>
        </row>
        <row r="3359">
          <cell r="A3359" t="str">
            <v>2627ZY67</v>
          </cell>
          <cell r="D3359" t="str">
            <v>FTW503</v>
          </cell>
          <cell r="E3359">
            <v>46230</v>
          </cell>
        </row>
        <row r="3360">
          <cell r="A3360" t="str">
            <v>2624J517</v>
          </cell>
          <cell r="D3360" t="str">
            <v>KBP55</v>
          </cell>
          <cell r="E3360">
            <v>46230</v>
          </cell>
        </row>
        <row r="3361">
          <cell r="A3361" t="str">
            <v>2627SS27</v>
          </cell>
          <cell r="D3361" t="str">
            <v>S706</v>
          </cell>
          <cell r="E3361">
            <v>46230</v>
          </cell>
        </row>
        <row r="3362">
          <cell r="A3362" t="str">
            <v>2628OU47</v>
          </cell>
          <cell r="D3362" t="str">
            <v>S706</v>
          </cell>
          <cell r="E3362">
            <v>46230</v>
          </cell>
        </row>
        <row r="3363">
          <cell r="A3363" t="str">
            <v>2629S217</v>
          </cell>
          <cell r="D3363" t="str">
            <v>S706</v>
          </cell>
          <cell r="E3363">
            <v>46230</v>
          </cell>
        </row>
        <row r="3364">
          <cell r="A3364" t="str">
            <v>2628Q357</v>
          </cell>
          <cell r="D3364" t="str">
            <v>KBP76</v>
          </cell>
          <cell r="E3364">
            <v>46230</v>
          </cell>
        </row>
        <row r="3365">
          <cell r="A3365" t="str">
            <v>2628XM17</v>
          </cell>
          <cell r="D3365" t="str">
            <v>TTS80</v>
          </cell>
          <cell r="E3365">
            <v>46230</v>
          </cell>
        </row>
        <row r="3366">
          <cell r="A3366" t="str">
            <v>2628BF37</v>
          </cell>
          <cell r="D3366" t="str">
            <v>S15MB</v>
          </cell>
          <cell r="E3366">
            <v>46230</v>
          </cell>
        </row>
        <row r="3367">
          <cell r="A3367" t="str">
            <v>2627ZA57</v>
          </cell>
          <cell r="D3367" t="str">
            <v>FTW503</v>
          </cell>
          <cell r="E3367">
            <v>46230</v>
          </cell>
        </row>
        <row r="3368">
          <cell r="A3368" t="str">
            <v>2625Q517</v>
          </cell>
          <cell r="D3368" t="str">
            <v>STA156KA</v>
          </cell>
          <cell r="E3368">
            <v>46230</v>
          </cell>
        </row>
        <row r="3369">
          <cell r="A3369" t="str">
            <v>2627PO37</v>
          </cell>
          <cell r="D3369" t="str">
            <v>FTW121KR</v>
          </cell>
          <cell r="E3369">
            <v>46230</v>
          </cell>
        </row>
        <row r="3370">
          <cell r="A3370" t="str">
            <v>2625PY57</v>
          </cell>
          <cell r="D3370" t="str">
            <v>S805</v>
          </cell>
          <cell r="E3370">
            <v>46230</v>
          </cell>
        </row>
        <row r="3371">
          <cell r="A3371" t="str">
            <v>2628HJ67</v>
          </cell>
          <cell r="D3371" t="str">
            <v>KBP76</v>
          </cell>
          <cell r="E3371">
            <v>46230</v>
          </cell>
        </row>
        <row r="3372">
          <cell r="A3372" t="str">
            <v>2627PQ17</v>
          </cell>
          <cell r="D3372" t="str">
            <v>FTW121KR</v>
          </cell>
          <cell r="E3372">
            <v>46230</v>
          </cell>
        </row>
        <row r="3373">
          <cell r="A3373" t="str">
            <v>2627QI27</v>
          </cell>
          <cell r="D3373" t="str">
            <v>FTW121KR</v>
          </cell>
          <cell r="E3373">
            <v>46230</v>
          </cell>
        </row>
        <row r="3374">
          <cell r="A3374" t="str">
            <v>2627LK47</v>
          </cell>
          <cell r="D3374" t="str">
            <v>TTS80</v>
          </cell>
          <cell r="E3374">
            <v>46230</v>
          </cell>
        </row>
        <row r="3375">
          <cell r="A3375" t="str">
            <v>2618QO17</v>
          </cell>
          <cell r="D3375" t="str">
            <v>KBP76</v>
          </cell>
          <cell r="E3375">
            <v>46230</v>
          </cell>
        </row>
        <row r="3376">
          <cell r="A3376" t="str">
            <v>2628SV27</v>
          </cell>
          <cell r="D3376" t="str">
            <v>TTS80</v>
          </cell>
          <cell r="E3376">
            <v>46230</v>
          </cell>
        </row>
        <row r="3377">
          <cell r="A3377" t="str">
            <v>2625U857</v>
          </cell>
          <cell r="D3377" t="str">
            <v>TTS50</v>
          </cell>
          <cell r="E3377">
            <v>46230</v>
          </cell>
        </row>
        <row r="3378">
          <cell r="A3378" t="str">
            <v>2628GL67</v>
          </cell>
          <cell r="D3378" t="str">
            <v>S706</v>
          </cell>
          <cell r="E3378">
            <v>46230</v>
          </cell>
        </row>
        <row r="3379">
          <cell r="A3379" t="str">
            <v>2628CA47</v>
          </cell>
          <cell r="D3379" t="str">
            <v>KBP126</v>
          </cell>
          <cell r="E3379">
            <v>46230</v>
          </cell>
        </row>
        <row r="3380">
          <cell r="A3380" t="str">
            <v>2625FM20</v>
          </cell>
          <cell r="D3380" t="str">
            <v>TTS125</v>
          </cell>
          <cell r="E3380">
            <v>46230</v>
          </cell>
        </row>
        <row r="3381">
          <cell r="A3381" t="str">
            <v>2627XQ57</v>
          </cell>
          <cell r="D3381" t="str">
            <v>KBP76</v>
          </cell>
          <cell r="E3381">
            <v>46230</v>
          </cell>
        </row>
        <row r="3382">
          <cell r="A3382" t="str">
            <v>2623HB27</v>
          </cell>
          <cell r="D3382" t="str">
            <v>KBP86</v>
          </cell>
          <cell r="E3382">
            <v>46230</v>
          </cell>
        </row>
        <row r="3383">
          <cell r="A3383" t="str">
            <v>2622U457</v>
          </cell>
          <cell r="D3383" t="str">
            <v>KBP86</v>
          </cell>
          <cell r="E3383">
            <v>46230</v>
          </cell>
        </row>
        <row r="3384">
          <cell r="A3384" t="str">
            <v>2625KY57</v>
          </cell>
          <cell r="D3384" t="str">
            <v>S706</v>
          </cell>
          <cell r="E3384">
            <v>46230</v>
          </cell>
        </row>
        <row r="3385">
          <cell r="A3385" t="str">
            <v>2626PS57</v>
          </cell>
          <cell r="D3385" t="str">
            <v>S15MB</v>
          </cell>
          <cell r="E3385">
            <v>46230</v>
          </cell>
        </row>
        <row r="3386">
          <cell r="A3386" t="str">
            <v>2625VP57</v>
          </cell>
          <cell r="D3386" t="str">
            <v>S15MB</v>
          </cell>
          <cell r="E3386">
            <v>46230</v>
          </cell>
        </row>
        <row r="3387">
          <cell r="A3387" t="str">
            <v>2619A457</v>
          </cell>
          <cell r="D3387" t="str">
            <v>FTW102K</v>
          </cell>
          <cell r="E3387">
            <v>46230</v>
          </cell>
        </row>
        <row r="3388">
          <cell r="A3388" t="str">
            <v>2628HF47</v>
          </cell>
          <cell r="D3388" t="str">
            <v>FTP150</v>
          </cell>
          <cell r="E3388">
            <v>46230</v>
          </cell>
        </row>
        <row r="3389">
          <cell r="A3389" t="str">
            <v>2625K827</v>
          </cell>
          <cell r="D3389" t="str">
            <v>KBP86</v>
          </cell>
          <cell r="E3389">
            <v>46230</v>
          </cell>
        </row>
        <row r="3390">
          <cell r="A3390" t="str">
            <v>2627FR40</v>
          </cell>
          <cell r="D3390" t="str">
            <v>TTS125</v>
          </cell>
          <cell r="E3390">
            <v>46230</v>
          </cell>
        </row>
        <row r="3391">
          <cell r="A3391" t="str">
            <v>2626LM47</v>
          </cell>
          <cell r="D3391" t="str">
            <v>FTW121KR</v>
          </cell>
          <cell r="E3391">
            <v>46230</v>
          </cell>
        </row>
        <row r="3392">
          <cell r="A3392" t="str">
            <v>2625BU67</v>
          </cell>
          <cell r="D3392" t="str">
            <v>KBP86</v>
          </cell>
          <cell r="E3392">
            <v>46230</v>
          </cell>
        </row>
        <row r="3393">
          <cell r="A3393" t="str">
            <v>2625K337</v>
          </cell>
          <cell r="D3393" t="str">
            <v>KBP86</v>
          </cell>
          <cell r="E3393">
            <v>46230</v>
          </cell>
        </row>
        <row r="3394">
          <cell r="A3394" t="str">
            <v>2625XO57</v>
          </cell>
          <cell r="D3394" t="str">
            <v>KBP86</v>
          </cell>
          <cell r="E3394">
            <v>46230</v>
          </cell>
        </row>
        <row r="3395">
          <cell r="A3395" t="str">
            <v>2627U167</v>
          </cell>
          <cell r="D3395" t="str">
            <v>KBP86</v>
          </cell>
          <cell r="E3395">
            <v>46230</v>
          </cell>
        </row>
        <row r="3396">
          <cell r="A3396" t="str">
            <v>2627LW17</v>
          </cell>
          <cell r="D3396" t="str">
            <v>FTW503</v>
          </cell>
          <cell r="E3396">
            <v>46230</v>
          </cell>
        </row>
        <row r="3397">
          <cell r="A3397" t="str">
            <v>2625JM47</v>
          </cell>
          <cell r="D3397" t="str">
            <v>KBP86</v>
          </cell>
          <cell r="E3397">
            <v>46230</v>
          </cell>
        </row>
        <row r="3398">
          <cell r="A3398" t="str">
            <v>2614Q347</v>
          </cell>
          <cell r="D3398" t="str">
            <v>KBP76</v>
          </cell>
          <cell r="E3398">
            <v>46230</v>
          </cell>
        </row>
        <row r="3399">
          <cell r="A3399" t="str">
            <v>2628JN67</v>
          </cell>
          <cell r="D3399" t="str">
            <v>TTS80</v>
          </cell>
          <cell r="E3399">
            <v>46230</v>
          </cell>
        </row>
        <row r="3400">
          <cell r="A3400" t="str">
            <v>2627XK17</v>
          </cell>
          <cell r="D3400" t="str">
            <v>KBP55</v>
          </cell>
          <cell r="E3400">
            <v>46230</v>
          </cell>
        </row>
        <row r="3401">
          <cell r="A3401" t="str">
            <v>2628G757</v>
          </cell>
          <cell r="D3401" t="str">
            <v>FTP200</v>
          </cell>
          <cell r="E3401">
            <v>46230</v>
          </cell>
        </row>
        <row r="3402">
          <cell r="A3402" t="str">
            <v>2626CH37</v>
          </cell>
          <cell r="D3402" t="str">
            <v>S15MB</v>
          </cell>
          <cell r="E3402">
            <v>46230</v>
          </cell>
        </row>
        <row r="3403">
          <cell r="A3403" t="str">
            <v>2629QX17</v>
          </cell>
          <cell r="D3403" t="str">
            <v>S706</v>
          </cell>
          <cell r="E3403">
            <v>46230</v>
          </cell>
        </row>
        <row r="3404">
          <cell r="A3404" t="str">
            <v>2624D767</v>
          </cell>
          <cell r="D3404" t="str">
            <v>KBP86</v>
          </cell>
          <cell r="E3404">
            <v>46230</v>
          </cell>
        </row>
        <row r="3405">
          <cell r="A3405" t="str">
            <v>2628XE17</v>
          </cell>
          <cell r="D3405" t="str">
            <v>TTS80</v>
          </cell>
          <cell r="E3405">
            <v>46230</v>
          </cell>
        </row>
        <row r="3406">
          <cell r="A3406" t="str">
            <v>2616DP60</v>
          </cell>
          <cell r="D3406" t="str">
            <v>TTS125</v>
          </cell>
          <cell r="E3406">
            <v>46230</v>
          </cell>
        </row>
        <row r="3407">
          <cell r="A3407" t="str">
            <v>2627HH47</v>
          </cell>
          <cell r="D3407" t="str">
            <v>FTW121KR</v>
          </cell>
          <cell r="E3407">
            <v>46230</v>
          </cell>
        </row>
        <row r="3408">
          <cell r="A3408" t="str">
            <v>2628Q237</v>
          </cell>
          <cell r="D3408" t="str">
            <v>TTS80</v>
          </cell>
          <cell r="E3408">
            <v>46230</v>
          </cell>
        </row>
        <row r="3409">
          <cell r="A3409" t="str">
            <v>2628KB37</v>
          </cell>
          <cell r="D3409" t="str">
            <v>TTS50</v>
          </cell>
          <cell r="E3409">
            <v>46230</v>
          </cell>
        </row>
        <row r="3410">
          <cell r="A3410" t="str">
            <v>2628GN67</v>
          </cell>
          <cell r="D3410" t="str">
            <v>S706</v>
          </cell>
          <cell r="E3410">
            <v>46230</v>
          </cell>
        </row>
        <row r="3411">
          <cell r="A3411" t="str">
            <v>2628H527</v>
          </cell>
          <cell r="D3411" t="str">
            <v>TTS50</v>
          </cell>
          <cell r="E3411">
            <v>46230</v>
          </cell>
        </row>
        <row r="3412">
          <cell r="A3412" t="str">
            <v>2627G267</v>
          </cell>
          <cell r="D3412" t="str">
            <v>FTW121KR</v>
          </cell>
          <cell r="E3412">
            <v>46230</v>
          </cell>
        </row>
        <row r="3413">
          <cell r="A3413" t="str">
            <v>2628DD67</v>
          </cell>
          <cell r="D3413" t="str">
            <v>FTW102K</v>
          </cell>
          <cell r="E3413">
            <v>46230</v>
          </cell>
        </row>
        <row r="3414">
          <cell r="A3414" t="str">
            <v>2628DF67</v>
          </cell>
          <cell r="D3414" t="str">
            <v>FTP150</v>
          </cell>
          <cell r="E3414">
            <v>46230</v>
          </cell>
        </row>
        <row r="3415">
          <cell r="A3415" t="str">
            <v>2628GJ57</v>
          </cell>
          <cell r="D3415" t="str">
            <v>KBP76</v>
          </cell>
          <cell r="E3415">
            <v>46230</v>
          </cell>
        </row>
        <row r="3416">
          <cell r="A3416" t="str">
            <v>2627QG37</v>
          </cell>
          <cell r="D3416" t="str">
            <v>KBP52</v>
          </cell>
          <cell r="E3416">
            <v>46230</v>
          </cell>
        </row>
        <row r="3417">
          <cell r="A3417" t="str">
            <v>2625SG57</v>
          </cell>
          <cell r="D3417" t="str">
            <v>KBP86</v>
          </cell>
          <cell r="E3417">
            <v>46230</v>
          </cell>
        </row>
        <row r="3418">
          <cell r="A3418" t="str">
            <v>2627YE47</v>
          </cell>
          <cell r="D3418" t="str">
            <v>FTW503</v>
          </cell>
          <cell r="E3418">
            <v>46230</v>
          </cell>
        </row>
        <row r="3419">
          <cell r="A3419" t="str">
            <v>2610ZD37</v>
          </cell>
          <cell r="D3419" t="str">
            <v>S706</v>
          </cell>
          <cell r="E3419">
            <v>46230</v>
          </cell>
        </row>
        <row r="3420">
          <cell r="A3420" t="str">
            <v>2625HY57</v>
          </cell>
          <cell r="D3420" t="str">
            <v>KBP76</v>
          </cell>
          <cell r="E3420">
            <v>46230</v>
          </cell>
        </row>
        <row r="3421">
          <cell r="A3421" t="str">
            <v>2627YN17</v>
          </cell>
          <cell r="D3421" t="str">
            <v>FTW503</v>
          </cell>
          <cell r="E3421">
            <v>46230</v>
          </cell>
        </row>
        <row r="3422">
          <cell r="A3422" t="str">
            <v>2629K827</v>
          </cell>
          <cell r="D3422" t="str">
            <v>S706</v>
          </cell>
          <cell r="E3422">
            <v>46230</v>
          </cell>
        </row>
        <row r="3423">
          <cell r="A3423" t="str">
            <v>2610ZF27</v>
          </cell>
          <cell r="D3423" t="str">
            <v>S706</v>
          </cell>
          <cell r="E3423">
            <v>46230</v>
          </cell>
        </row>
        <row r="3424">
          <cell r="A3424" t="str">
            <v>2628P237</v>
          </cell>
          <cell r="D3424" t="str">
            <v>S706</v>
          </cell>
          <cell r="E3424">
            <v>46230</v>
          </cell>
        </row>
        <row r="3425">
          <cell r="A3425" t="str">
            <v>2628GZ27</v>
          </cell>
          <cell r="D3425" t="str">
            <v>TTS50</v>
          </cell>
          <cell r="E3425">
            <v>46230</v>
          </cell>
        </row>
        <row r="3426">
          <cell r="A3426" t="str">
            <v>2628OR47</v>
          </cell>
          <cell r="D3426" t="str">
            <v>S706</v>
          </cell>
          <cell r="E3426">
            <v>46230</v>
          </cell>
        </row>
        <row r="3427">
          <cell r="A3427" t="str">
            <v>2628H457</v>
          </cell>
          <cell r="D3427" t="str">
            <v>S706</v>
          </cell>
          <cell r="E3427">
            <v>46230</v>
          </cell>
        </row>
        <row r="3428">
          <cell r="A3428" t="str">
            <v>2628SL17</v>
          </cell>
          <cell r="D3428" t="str">
            <v>FTW121KR</v>
          </cell>
          <cell r="E3428">
            <v>46230</v>
          </cell>
        </row>
        <row r="3429">
          <cell r="A3429" t="str">
            <v>2627OX37</v>
          </cell>
          <cell r="D3429" t="str">
            <v>FTW121KR</v>
          </cell>
          <cell r="E3429">
            <v>46230</v>
          </cell>
        </row>
        <row r="3430">
          <cell r="A3430" t="str">
            <v>2619A557</v>
          </cell>
          <cell r="D3430" t="str">
            <v>FTW102K</v>
          </cell>
          <cell r="E3430">
            <v>46230</v>
          </cell>
        </row>
        <row r="3431">
          <cell r="A3431" t="str">
            <v>2626PT57</v>
          </cell>
          <cell r="D3431" t="str">
            <v>S15MB</v>
          </cell>
          <cell r="E3431">
            <v>46230</v>
          </cell>
        </row>
        <row r="3432">
          <cell r="A3432" t="str">
            <v>2627HC67</v>
          </cell>
          <cell r="D3432" t="str">
            <v>FTW121KR</v>
          </cell>
          <cell r="E3432">
            <v>46230</v>
          </cell>
        </row>
        <row r="3433">
          <cell r="A3433" t="str">
            <v>2628PH17</v>
          </cell>
          <cell r="D3433" t="str">
            <v>TTS50</v>
          </cell>
          <cell r="E3433">
            <v>46230</v>
          </cell>
        </row>
        <row r="3434">
          <cell r="A3434" t="str">
            <v>2627QI17</v>
          </cell>
          <cell r="D3434" t="str">
            <v>FTW121KR</v>
          </cell>
          <cell r="E3434">
            <v>46230</v>
          </cell>
        </row>
        <row r="3435">
          <cell r="A3435" t="str">
            <v>2627UD17</v>
          </cell>
          <cell r="D3435" t="str">
            <v>KBP52</v>
          </cell>
          <cell r="E3435">
            <v>46230</v>
          </cell>
        </row>
        <row r="3436">
          <cell r="A3436" t="str">
            <v>2625PE27</v>
          </cell>
          <cell r="D3436" t="str">
            <v>KBP86</v>
          </cell>
          <cell r="E3436">
            <v>46230</v>
          </cell>
        </row>
        <row r="3437">
          <cell r="A3437" t="str">
            <v>2627GL67</v>
          </cell>
          <cell r="D3437" t="str">
            <v>FTW121KR</v>
          </cell>
          <cell r="E3437">
            <v>46230</v>
          </cell>
        </row>
        <row r="3438">
          <cell r="A3438" t="str">
            <v>2626O117</v>
          </cell>
          <cell r="D3438" t="str">
            <v>S706</v>
          </cell>
          <cell r="E3438">
            <v>46230</v>
          </cell>
        </row>
        <row r="3439">
          <cell r="A3439" t="str">
            <v>2613ZW47</v>
          </cell>
          <cell r="D3439" t="str">
            <v>S706</v>
          </cell>
          <cell r="E3439">
            <v>46230</v>
          </cell>
        </row>
        <row r="3440">
          <cell r="A3440" t="str">
            <v>2627LH47</v>
          </cell>
          <cell r="D3440" t="str">
            <v>FTP200</v>
          </cell>
          <cell r="E3440">
            <v>46230</v>
          </cell>
        </row>
        <row r="3441">
          <cell r="A3441" t="str">
            <v>2626JO47</v>
          </cell>
          <cell r="D3441" t="str">
            <v>FTW503</v>
          </cell>
          <cell r="E3441">
            <v>46230</v>
          </cell>
        </row>
        <row r="3442">
          <cell r="A3442" t="str">
            <v>2627OR67</v>
          </cell>
          <cell r="D3442" t="str">
            <v>KBP76</v>
          </cell>
          <cell r="E3442">
            <v>46230</v>
          </cell>
        </row>
        <row r="3443">
          <cell r="A3443" t="str">
            <v>2628H227</v>
          </cell>
          <cell r="D3443" t="str">
            <v>TTS50</v>
          </cell>
          <cell r="E3443">
            <v>46230</v>
          </cell>
        </row>
        <row r="3444">
          <cell r="A3444" t="str">
            <v>2626PD17</v>
          </cell>
          <cell r="D3444" t="str">
            <v>KBP55</v>
          </cell>
          <cell r="E3444">
            <v>46230</v>
          </cell>
        </row>
        <row r="3445">
          <cell r="A3445" t="str">
            <v>2627SP67</v>
          </cell>
          <cell r="D3445" t="str">
            <v>TTS80</v>
          </cell>
          <cell r="E3445">
            <v>46230</v>
          </cell>
        </row>
        <row r="3446">
          <cell r="A3446" t="str">
            <v>2628CT47</v>
          </cell>
          <cell r="D3446" t="str">
            <v>S15MB</v>
          </cell>
          <cell r="E3446">
            <v>46230</v>
          </cell>
        </row>
        <row r="3447">
          <cell r="A3447" t="str">
            <v>2624ZE47</v>
          </cell>
          <cell r="D3447" t="str">
            <v>TTS80</v>
          </cell>
          <cell r="E3447">
            <v>46230</v>
          </cell>
        </row>
        <row r="3448">
          <cell r="A3448" t="str">
            <v>2628WR17</v>
          </cell>
          <cell r="D3448" t="str">
            <v>KBP76</v>
          </cell>
          <cell r="E3448">
            <v>46229</v>
          </cell>
        </row>
        <row r="3449">
          <cell r="A3449" t="str">
            <v>2626FP40</v>
          </cell>
          <cell r="D3449" t="str">
            <v>HV200</v>
          </cell>
          <cell r="E3449">
            <v>46229</v>
          </cell>
        </row>
        <row r="3450">
          <cell r="A3450" t="str">
            <v>2626JL47</v>
          </cell>
          <cell r="D3450" t="str">
            <v>FTW503</v>
          </cell>
          <cell r="E3450">
            <v>46229</v>
          </cell>
        </row>
        <row r="3451">
          <cell r="A3451" t="str">
            <v>2625YK17</v>
          </cell>
          <cell r="D3451" t="str">
            <v>TTS80</v>
          </cell>
          <cell r="E3451">
            <v>46229</v>
          </cell>
        </row>
        <row r="3452">
          <cell r="A3452" t="str">
            <v>2628DC67</v>
          </cell>
          <cell r="D3452" t="str">
            <v>FTW102K</v>
          </cell>
          <cell r="E3452">
            <v>46229</v>
          </cell>
        </row>
        <row r="3453">
          <cell r="A3453" t="str">
            <v>2625ZW27</v>
          </cell>
          <cell r="D3453" t="str">
            <v>TTS80</v>
          </cell>
          <cell r="E3453">
            <v>46229</v>
          </cell>
        </row>
        <row r="3454">
          <cell r="A3454" t="str">
            <v>2628K267</v>
          </cell>
          <cell r="D3454" t="str">
            <v>TTS80</v>
          </cell>
          <cell r="E3454">
            <v>46229</v>
          </cell>
        </row>
        <row r="3455">
          <cell r="A3455" t="str">
            <v>2628GK67</v>
          </cell>
          <cell r="D3455" t="str">
            <v>S706</v>
          </cell>
          <cell r="E3455">
            <v>46229</v>
          </cell>
        </row>
        <row r="3456">
          <cell r="A3456" t="str">
            <v>2623OD17</v>
          </cell>
          <cell r="D3456" t="str">
            <v>KBP86</v>
          </cell>
          <cell r="E3456">
            <v>46229</v>
          </cell>
        </row>
        <row r="3457">
          <cell r="A3457" t="str">
            <v>2627E457</v>
          </cell>
          <cell r="D3457" t="str">
            <v>FTW121KR</v>
          </cell>
          <cell r="E3457">
            <v>46229</v>
          </cell>
        </row>
        <row r="3458">
          <cell r="A3458" t="str">
            <v>2624DS47</v>
          </cell>
          <cell r="D3458" t="str">
            <v>STA156KA</v>
          </cell>
          <cell r="E3458">
            <v>46229</v>
          </cell>
        </row>
        <row r="3459">
          <cell r="A3459" t="str">
            <v>2624E367</v>
          </cell>
          <cell r="D3459" t="str">
            <v>KBP86</v>
          </cell>
          <cell r="E3459">
            <v>46229</v>
          </cell>
        </row>
        <row r="3460">
          <cell r="A3460" t="str">
            <v>2627HE47</v>
          </cell>
          <cell r="D3460" t="str">
            <v>FTW121KR</v>
          </cell>
          <cell r="E3460">
            <v>46229</v>
          </cell>
        </row>
        <row r="3461">
          <cell r="A3461" t="str">
            <v>2628SV17</v>
          </cell>
          <cell r="D3461" t="str">
            <v>FTW121KR</v>
          </cell>
          <cell r="E3461">
            <v>46229</v>
          </cell>
        </row>
        <row r="3462">
          <cell r="A3462" t="str">
            <v>2615ZG27</v>
          </cell>
          <cell r="D3462" t="str">
            <v>S706</v>
          </cell>
          <cell r="E3462">
            <v>46229</v>
          </cell>
        </row>
        <row r="3463">
          <cell r="A3463" t="str">
            <v>2626SY37</v>
          </cell>
          <cell r="D3463" t="str">
            <v>KBP55</v>
          </cell>
          <cell r="E3463">
            <v>46229</v>
          </cell>
        </row>
        <row r="3464">
          <cell r="A3464" t="str">
            <v>2625FA67</v>
          </cell>
          <cell r="D3464" t="str">
            <v>KBP55</v>
          </cell>
          <cell r="E3464">
            <v>46229</v>
          </cell>
        </row>
        <row r="3465">
          <cell r="A3465" t="str">
            <v>2610ZF37</v>
          </cell>
          <cell r="D3465" t="str">
            <v>S706</v>
          </cell>
          <cell r="E3465">
            <v>46229</v>
          </cell>
        </row>
        <row r="3466">
          <cell r="A3466" t="str">
            <v>2626JT27</v>
          </cell>
          <cell r="D3466" t="str">
            <v>FTW503</v>
          </cell>
          <cell r="E3466">
            <v>46229</v>
          </cell>
        </row>
        <row r="3467">
          <cell r="A3467" t="str">
            <v>2627O867</v>
          </cell>
          <cell r="D3467" t="str">
            <v>KBP76</v>
          </cell>
          <cell r="E3467">
            <v>46229</v>
          </cell>
        </row>
        <row r="3468">
          <cell r="A3468" t="str">
            <v>2627G467</v>
          </cell>
          <cell r="D3468" t="str">
            <v>FTW121KR</v>
          </cell>
          <cell r="E3468">
            <v>46229</v>
          </cell>
        </row>
        <row r="3469">
          <cell r="A3469" t="str">
            <v>2625IL17</v>
          </cell>
          <cell r="D3469" t="str">
            <v>KBP86</v>
          </cell>
          <cell r="E3469">
            <v>46229</v>
          </cell>
        </row>
        <row r="3470">
          <cell r="A3470" t="str">
            <v>2628SH17</v>
          </cell>
          <cell r="D3470" t="str">
            <v>FTW121KR</v>
          </cell>
          <cell r="E3470">
            <v>46229</v>
          </cell>
        </row>
        <row r="3471">
          <cell r="A3471" t="str">
            <v>2628L667</v>
          </cell>
          <cell r="D3471" t="str">
            <v>STA156KA</v>
          </cell>
          <cell r="E3471">
            <v>46229</v>
          </cell>
        </row>
        <row r="3472">
          <cell r="A3472" t="str">
            <v>2627S367</v>
          </cell>
          <cell r="D3472" t="str">
            <v>TTS80</v>
          </cell>
          <cell r="E3472">
            <v>46229</v>
          </cell>
        </row>
        <row r="3473">
          <cell r="A3473" t="str">
            <v>2628H927</v>
          </cell>
          <cell r="D3473" t="str">
            <v>TTS50</v>
          </cell>
          <cell r="E3473">
            <v>46229</v>
          </cell>
        </row>
        <row r="3474">
          <cell r="A3474" t="str">
            <v>2628SD17</v>
          </cell>
          <cell r="D3474" t="str">
            <v>FTW121KR</v>
          </cell>
          <cell r="E3474">
            <v>46229</v>
          </cell>
        </row>
        <row r="3475">
          <cell r="A3475" t="str">
            <v>2627SJ67</v>
          </cell>
          <cell r="D3475" t="str">
            <v>TTS80</v>
          </cell>
          <cell r="E3475">
            <v>46229</v>
          </cell>
        </row>
        <row r="3476">
          <cell r="A3476" t="str">
            <v>2626CK27</v>
          </cell>
          <cell r="D3476" t="str">
            <v>S15MB</v>
          </cell>
          <cell r="E3476">
            <v>46229</v>
          </cell>
        </row>
        <row r="3477">
          <cell r="A3477" t="str">
            <v>2628CV47</v>
          </cell>
          <cell r="D3477" t="str">
            <v>S15MB</v>
          </cell>
          <cell r="E3477">
            <v>46229</v>
          </cell>
        </row>
        <row r="3478">
          <cell r="A3478" t="str">
            <v>2628HL67</v>
          </cell>
          <cell r="D3478" t="str">
            <v>KBP76</v>
          </cell>
          <cell r="E3478">
            <v>46229</v>
          </cell>
        </row>
        <row r="3479">
          <cell r="A3479" t="str">
            <v>2628Q347</v>
          </cell>
          <cell r="D3479" t="str">
            <v>TTS80</v>
          </cell>
          <cell r="E3479">
            <v>46229</v>
          </cell>
        </row>
        <row r="3480">
          <cell r="A3480" t="str">
            <v>2627XR57</v>
          </cell>
          <cell r="D3480" t="str">
            <v>KBP76</v>
          </cell>
          <cell r="E3480">
            <v>46229</v>
          </cell>
        </row>
        <row r="3481">
          <cell r="A3481" t="str">
            <v>2627II67</v>
          </cell>
          <cell r="D3481" t="str">
            <v>S706</v>
          </cell>
          <cell r="E3481">
            <v>46229</v>
          </cell>
        </row>
        <row r="3482">
          <cell r="A3482" t="str">
            <v>2627J467</v>
          </cell>
          <cell r="D3482" t="str">
            <v>S706</v>
          </cell>
          <cell r="E3482">
            <v>46229</v>
          </cell>
        </row>
        <row r="3483">
          <cell r="A3483" t="str">
            <v>2627SM67</v>
          </cell>
          <cell r="D3483" t="str">
            <v>TTS80</v>
          </cell>
          <cell r="E3483">
            <v>46229</v>
          </cell>
        </row>
        <row r="3484">
          <cell r="A3484" t="str">
            <v>2627E467</v>
          </cell>
          <cell r="D3484" t="str">
            <v>TTS50</v>
          </cell>
          <cell r="E3484">
            <v>46229</v>
          </cell>
        </row>
        <row r="3485">
          <cell r="A3485" t="str">
            <v>2627JP67</v>
          </cell>
          <cell r="D3485" t="str">
            <v>KBP76</v>
          </cell>
          <cell r="E3485">
            <v>46229</v>
          </cell>
        </row>
        <row r="3486">
          <cell r="A3486" t="str">
            <v>2628CR47</v>
          </cell>
          <cell r="D3486" t="str">
            <v>STA156KA</v>
          </cell>
          <cell r="E3486">
            <v>46229</v>
          </cell>
        </row>
        <row r="3487">
          <cell r="A3487" t="str">
            <v>2628J467</v>
          </cell>
          <cell r="D3487" t="str">
            <v>TTS80</v>
          </cell>
          <cell r="E3487">
            <v>46229</v>
          </cell>
        </row>
        <row r="3488">
          <cell r="A3488" t="str">
            <v>2627Q547</v>
          </cell>
          <cell r="D3488" t="str">
            <v>KBP126</v>
          </cell>
          <cell r="E3488">
            <v>46229</v>
          </cell>
        </row>
        <row r="3489">
          <cell r="A3489" t="str">
            <v>2628IU67</v>
          </cell>
          <cell r="D3489" t="str">
            <v>TTS80</v>
          </cell>
          <cell r="E3489">
            <v>46229</v>
          </cell>
        </row>
        <row r="3490">
          <cell r="A3490" t="str">
            <v>2629OY17</v>
          </cell>
          <cell r="D3490" t="str">
            <v>KBP76</v>
          </cell>
          <cell r="E3490">
            <v>46229</v>
          </cell>
        </row>
        <row r="3491">
          <cell r="A3491" t="str">
            <v>2626JP67</v>
          </cell>
          <cell r="D3491" t="str">
            <v>KBP52</v>
          </cell>
          <cell r="E3491">
            <v>46229</v>
          </cell>
        </row>
        <row r="3492">
          <cell r="A3492" t="str">
            <v>2627L357</v>
          </cell>
          <cell r="D3492" t="str">
            <v>STA156KA</v>
          </cell>
          <cell r="E3492">
            <v>46229</v>
          </cell>
        </row>
        <row r="3493">
          <cell r="A3493" t="str">
            <v>2626IV37</v>
          </cell>
          <cell r="D3493" t="str">
            <v>KBP76</v>
          </cell>
          <cell r="E3493">
            <v>46229</v>
          </cell>
        </row>
        <row r="3494">
          <cell r="A3494" t="str">
            <v>2627GF67</v>
          </cell>
          <cell r="D3494" t="str">
            <v>FTW121KR</v>
          </cell>
          <cell r="E3494">
            <v>46229</v>
          </cell>
        </row>
        <row r="3495">
          <cell r="A3495" t="str">
            <v>2627GR67</v>
          </cell>
          <cell r="D3495" t="str">
            <v>FTW121KR</v>
          </cell>
          <cell r="E3495">
            <v>46229</v>
          </cell>
        </row>
        <row r="3496">
          <cell r="A3496" t="str">
            <v>2623OZ37</v>
          </cell>
          <cell r="D3496" t="str">
            <v>KBP86</v>
          </cell>
          <cell r="E3496">
            <v>46229</v>
          </cell>
        </row>
        <row r="3497">
          <cell r="A3497" t="str">
            <v>2628I927</v>
          </cell>
          <cell r="D3497" t="str">
            <v>TTS50</v>
          </cell>
          <cell r="E3497">
            <v>46229</v>
          </cell>
        </row>
        <row r="3498">
          <cell r="A3498" t="str">
            <v>2628SZ17</v>
          </cell>
          <cell r="D3498" t="str">
            <v>FTW121KR</v>
          </cell>
          <cell r="E3498">
            <v>46229</v>
          </cell>
        </row>
        <row r="3499">
          <cell r="A3499" t="str">
            <v>2628LJ47</v>
          </cell>
          <cell r="D3499" t="str">
            <v>TTS50</v>
          </cell>
          <cell r="E3499">
            <v>46229</v>
          </cell>
        </row>
        <row r="3500">
          <cell r="A3500" t="str">
            <v>2626JH47</v>
          </cell>
          <cell r="D3500" t="str">
            <v>FTW503</v>
          </cell>
          <cell r="E3500">
            <v>46229</v>
          </cell>
        </row>
        <row r="3501">
          <cell r="A3501" t="str">
            <v>2627PO27</v>
          </cell>
          <cell r="D3501" t="str">
            <v>FTW503</v>
          </cell>
          <cell r="E3501">
            <v>46229</v>
          </cell>
        </row>
        <row r="3502">
          <cell r="A3502" t="str">
            <v>2627JB57</v>
          </cell>
          <cell r="D3502" t="str">
            <v>KBP126</v>
          </cell>
          <cell r="E3502">
            <v>46229</v>
          </cell>
        </row>
        <row r="3503">
          <cell r="A3503" t="str">
            <v>2627ZE67</v>
          </cell>
          <cell r="D3503" t="str">
            <v>FTW503</v>
          </cell>
          <cell r="E3503">
            <v>46229</v>
          </cell>
        </row>
        <row r="3504">
          <cell r="A3504" t="str">
            <v>2628QL27</v>
          </cell>
          <cell r="D3504" t="str">
            <v>S706</v>
          </cell>
          <cell r="E3504">
            <v>46229</v>
          </cell>
        </row>
        <row r="3505">
          <cell r="A3505" t="str">
            <v>2627Y357</v>
          </cell>
          <cell r="D3505" t="str">
            <v>FTW503</v>
          </cell>
          <cell r="E3505">
            <v>46229</v>
          </cell>
        </row>
        <row r="3506">
          <cell r="A3506" t="str">
            <v>2623F147</v>
          </cell>
          <cell r="D3506" t="str">
            <v>KBP86</v>
          </cell>
          <cell r="E3506">
            <v>46229</v>
          </cell>
        </row>
        <row r="3507">
          <cell r="A3507" t="str">
            <v>2628X417</v>
          </cell>
          <cell r="D3507" t="str">
            <v>TTS50</v>
          </cell>
          <cell r="E3507">
            <v>46229</v>
          </cell>
        </row>
        <row r="3508">
          <cell r="A3508" t="str">
            <v>2625FK50</v>
          </cell>
          <cell r="D3508" t="str">
            <v>HV200</v>
          </cell>
          <cell r="E3508">
            <v>46229</v>
          </cell>
        </row>
        <row r="3509">
          <cell r="A3509" t="str">
            <v>2628XC17</v>
          </cell>
          <cell r="D3509" t="str">
            <v>TTS80</v>
          </cell>
          <cell r="E3509">
            <v>46229</v>
          </cell>
        </row>
        <row r="3510">
          <cell r="A3510" t="str">
            <v>2625I437</v>
          </cell>
          <cell r="D3510" t="str">
            <v>KBP86</v>
          </cell>
          <cell r="E3510">
            <v>46229</v>
          </cell>
        </row>
        <row r="3511">
          <cell r="A3511" t="str">
            <v>2628D767</v>
          </cell>
          <cell r="D3511" t="str">
            <v>KBP76</v>
          </cell>
          <cell r="E3511">
            <v>46229</v>
          </cell>
        </row>
        <row r="3512">
          <cell r="A3512" t="str">
            <v>2625Q957</v>
          </cell>
          <cell r="D3512" t="str">
            <v>FTW503</v>
          </cell>
          <cell r="E3512">
            <v>46229</v>
          </cell>
        </row>
        <row r="3513">
          <cell r="A3513" t="str">
            <v>2610ZD27</v>
          </cell>
          <cell r="D3513" t="str">
            <v>S706</v>
          </cell>
          <cell r="E3513">
            <v>46229</v>
          </cell>
        </row>
        <row r="3514">
          <cell r="A3514" t="str">
            <v>2628P937</v>
          </cell>
          <cell r="D3514" t="str">
            <v>S706</v>
          </cell>
          <cell r="E3514">
            <v>46229</v>
          </cell>
        </row>
        <row r="3515">
          <cell r="A3515" t="str">
            <v>2628LL47</v>
          </cell>
          <cell r="D3515" t="str">
            <v>KBP86</v>
          </cell>
          <cell r="E3515">
            <v>46229</v>
          </cell>
        </row>
        <row r="3516">
          <cell r="A3516" t="str">
            <v>2626JS37</v>
          </cell>
          <cell r="D3516" t="str">
            <v>FTW503</v>
          </cell>
          <cell r="E3516">
            <v>46229</v>
          </cell>
        </row>
        <row r="3517">
          <cell r="A3517" t="str">
            <v>2627I967</v>
          </cell>
          <cell r="D3517" t="str">
            <v>S706</v>
          </cell>
          <cell r="E3517">
            <v>46229</v>
          </cell>
        </row>
        <row r="3518">
          <cell r="A3518" t="str">
            <v>2627E857</v>
          </cell>
          <cell r="D3518" t="str">
            <v>FTW121KR</v>
          </cell>
          <cell r="E3518">
            <v>46229</v>
          </cell>
        </row>
        <row r="3519">
          <cell r="A3519" t="str">
            <v>2628DI67</v>
          </cell>
          <cell r="D3519" t="str">
            <v>FTP150</v>
          </cell>
          <cell r="E3519">
            <v>46229</v>
          </cell>
        </row>
        <row r="3520">
          <cell r="A3520" t="str">
            <v>2626FP30</v>
          </cell>
          <cell r="D3520" t="str">
            <v>HV200</v>
          </cell>
          <cell r="E3520">
            <v>46229</v>
          </cell>
        </row>
        <row r="3521">
          <cell r="A3521" t="str">
            <v>2624WU57</v>
          </cell>
          <cell r="D3521" t="str">
            <v>KBP86</v>
          </cell>
          <cell r="E3521">
            <v>46229</v>
          </cell>
        </row>
        <row r="3522">
          <cell r="A3522" t="str">
            <v>2628DM67</v>
          </cell>
          <cell r="D3522" t="str">
            <v>FTP150</v>
          </cell>
          <cell r="E3522">
            <v>46229</v>
          </cell>
        </row>
        <row r="3523">
          <cell r="A3523" t="str">
            <v>2628SJ27</v>
          </cell>
          <cell r="D3523" t="str">
            <v>TTS80</v>
          </cell>
          <cell r="E3523">
            <v>46229</v>
          </cell>
        </row>
        <row r="3524">
          <cell r="A3524" t="str">
            <v>2628LL67</v>
          </cell>
          <cell r="D3524" t="str">
            <v>TTS175</v>
          </cell>
          <cell r="E3524">
            <v>46229</v>
          </cell>
        </row>
        <row r="3525">
          <cell r="A3525" t="str">
            <v>2627FR50</v>
          </cell>
          <cell r="D3525" t="str">
            <v>TTS125</v>
          </cell>
          <cell r="E3525">
            <v>46229</v>
          </cell>
        </row>
        <row r="3526">
          <cell r="A3526" t="str">
            <v>2628DL67</v>
          </cell>
          <cell r="D3526" t="str">
            <v>FTP150</v>
          </cell>
          <cell r="E3526">
            <v>46229</v>
          </cell>
        </row>
        <row r="3527">
          <cell r="A3527" t="str">
            <v>2626IK17</v>
          </cell>
          <cell r="D3527" t="str">
            <v>FTW503</v>
          </cell>
          <cell r="E3527">
            <v>46229</v>
          </cell>
        </row>
        <row r="3528">
          <cell r="A3528" t="str">
            <v>2628IL27</v>
          </cell>
          <cell r="D3528" t="str">
            <v>FTW102K</v>
          </cell>
          <cell r="E3528">
            <v>46229</v>
          </cell>
        </row>
        <row r="3529">
          <cell r="A3529" t="str">
            <v>2625IT47</v>
          </cell>
          <cell r="D3529" t="str">
            <v>FTW503</v>
          </cell>
          <cell r="E3529">
            <v>46229</v>
          </cell>
        </row>
        <row r="3530">
          <cell r="A3530" t="str">
            <v>2628P147</v>
          </cell>
          <cell r="D3530" t="str">
            <v>S706</v>
          </cell>
          <cell r="E3530">
            <v>46229</v>
          </cell>
        </row>
        <row r="3531">
          <cell r="A3531" t="str">
            <v>2625O247</v>
          </cell>
          <cell r="D3531" t="str">
            <v>TTS50</v>
          </cell>
          <cell r="E3531">
            <v>46229</v>
          </cell>
        </row>
        <row r="3532">
          <cell r="A3532" t="str">
            <v>2628BD37</v>
          </cell>
          <cell r="D3532" t="str">
            <v>STA156KA</v>
          </cell>
          <cell r="E3532">
            <v>46229</v>
          </cell>
        </row>
        <row r="3533">
          <cell r="A3533" t="str">
            <v>2626SJ47</v>
          </cell>
          <cell r="D3533" t="str">
            <v>KBP76</v>
          </cell>
          <cell r="E3533">
            <v>46229</v>
          </cell>
        </row>
        <row r="3534">
          <cell r="A3534" t="str">
            <v>2626PV57</v>
          </cell>
          <cell r="D3534" t="str">
            <v>S15MB</v>
          </cell>
          <cell r="E3534">
            <v>46229</v>
          </cell>
        </row>
        <row r="3535">
          <cell r="A3535" t="str">
            <v>2627II47</v>
          </cell>
          <cell r="D3535" t="str">
            <v>FTW121KR</v>
          </cell>
          <cell r="E3535">
            <v>46229</v>
          </cell>
        </row>
        <row r="3536">
          <cell r="A3536" t="str">
            <v>2620X157</v>
          </cell>
          <cell r="D3536" t="str">
            <v>KBP52</v>
          </cell>
          <cell r="E3536">
            <v>46229</v>
          </cell>
        </row>
        <row r="3537">
          <cell r="A3537" t="str">
            <v>2628OA47</v>
          </cell>
          <cell r="D3537" t="str">
            <v>KBP52</v>
          </cell>
          <cell r="E3537">
            <v>46229</v>
          </cell>
        </row>
        <row r="3538">
          <cell r="A3538" t="str">
            <v>2628OY47</v>
          </cell>
          <cell r="D3538" t="str">
            <v>S706</v>
          </cell>
          <cell r="E3538">
            <v>46229</v>
          </cell>
        </row>
        <row r="3539">
          <cell r="A3539" t="str">
            <v>2628PW37</v>
          </cell>
          <cell r="D3539" t="str">
            <v>FTP150</v>
          </cell>
          <cell r="E3539">
            <v>46229</v>
          </cell>
        </row>
        <row r="3540">
          <cell r="A3540" t="str">
            <v>2628XG17</v>
          </cell>
          <cell r="D3540" t="str">
            <v>TTS80</v>
          </cell>
          <cell r="E3540">
            <v>46229</v>
          </cell>
        </row>
        <row r="3541">
          <cell r="A3541" t="str">
            <v>2627GO67</v>
          </cell>
          <cell r="D3541" t="str">
            <v>FTW121KR</v>
          </cell>
          <cell r="E3541">
            <v>46229</v>
          </cell>
        </row>
        <row r="3542">
          <cell r="A3542" t="str">
            <v>2629P317</v>
          </cell>
          <cell r="D3542" t="str">
            <v>KBP76</v>
          </cell>
          <cell r="E3542">
            <v>46229</v>
          </cell>
        </row>
        <row r="3543">
          <cell r="A3543" t="str">
            <v>2628JT37</v>
          </cell>
          <cell r="D3543" t="str">
            <v>FTP150</v>
          </cell>
          <cell r="E3543">
            <v>46229</v>
          </cell>
        </row>
        <row r="3544">
          <cell r="A3544" t="str">
            <v>2627V637</v>
          </cell>
          <cell r="D3544" t="str">
            <v>KBP86</v>
          </cell>
          <cell r="E3544">
            <v>46229</v>
          </cell>
        </row>
        <row r="3545">
          <cell r="A3545" t="str">
            <v>2628J147</v>
          </cell>
          <cell r="D3545" t="str">
            <v>FTW102K</v>
          </cell>
          <cell r="E3545">
            <v>46229</v>
          </cell>
        </row>
        <row r="3546">
          <cell r="A3546" t="str">
            <v>2625FL80</v>
          </cell>
          <cell r="D3546" t="str">
            <v>HV200</v>
          </cell>
          <cell r="E3546">
            <v>46229</v>
          </cell>
        </row>
        <row r="3547">
          <cell r="A3547" t="str">
            <v>2626FP50</v>
          </cell>
          <cell r="D3547" t="str">
            <v>HV200</v>
          </cell>
          <cell r="E3547">
            <v>46229</v>
          </cell>
        </row>
        <row r="3548">
          <cell r="A3548" t="str">
            <v>2628H267</v>
          </cell>
          <cell r="D3548" t="str">
            <v>KBP52</v>
          </cell>
          <cell r="E3548">
            <v>46229</v>
          </cell>
        </row>
        <row r="3549">
          <cell r="A3549" t="str">
            <v>2628GL57</v>
          </cell>
          <cell r="D3549" t="str">
            <v>KBP76</v>
          </cell>
          <cell r="E3549">
            <v>46229</v>
          </cell>
        </row>
        <row r="3550">
          <cell r="A3550" t="str">
            <v>2625S357</v>
          </cell>
          <cell r="D3550" t="str">
            <v>KBP86</v>
          </cell>
          <cell r="E3550">
            <v>46229</v>
          </cell>
        </row>
        <row r="3551">
          <cell r="A3551" t="str">
            <v>2629SO17</v>
          </cell>
          <cell r="D3551" t="str">
            <v>KBP76</v>
          </cell>
          <cell r="E3551">
            <v>46229</v>
          </cell>
        </row>
        <row r="3552">
          <cell r="A3552" t="str">
            <v>2626PO37</v>
          </cell>
          <cell r="D3552" t="str">
            <v>TTS80</v>
          </cell>
          <cell r="E3552">
            <v>46229</v>
          </cell>
        </row>
        <row r="3553">
          <cell r="A3553" t="str">
            <v>2628U517</v>
          </cell>
          <cell r="D3553" t="str">
            <v>FTW121KR</v>
          </cell>
          <cell r="E3553">
            <v>46229</v>
          </cell>
        </row>
        <row r="3554">
          <cell r="A3554" t="str">
            <v>2626PM47</v>
          </cell>
          <cell r="D3554" t="str">
            <v>TTS80</v>
          </cell>
          <cell r="E3554">
            <v>46229</v>
          </cell>
        </row>
        <row r="3555">
          <cell r="A3555" t="str">
            <v>2627LT17</v>
          </cell>
          <cell r="D3555" t="str">
            <v>FTW503</v>
          </cell>
          <cell r="E3555">
            <v>46229</v>
          </cell>
        </row>
        <row r="3556">
          <cell r="A3556" t="str">
            <v>2626PN47</v>
          </cell>
          <cell r="D3556" t="str">
            <v>TTS80</v>
          </cell>
          <cell r="E3556">
            <v>46229</v>
          </cell>
        </row>
        <row r="3557">
          <cell r="A3557" t="str">
            <v>2628VP17</v>
          </cell>
          <cell r="D3557" t="str">
            <v>S706</v>
          </cell>
          <cell r="E3557">
            <v>46229</v>
          </cell>
        </row>
        <row r="3558">
          <cell r="A3558" t="str">
            <v>2626PO47</v>
          </cell>
          <cell r="D3558" t="str">
            <v>TTS80</v>
          </cell>
          <cell r="E3558">
            <v>46229</v>
          </cell>
        </row>
        <row r="3559">
          <cell r="A3559" t="str">
            <v>2625LY47</v>
          </cell>
          <cell r="D3559" t="str">
            <v>TTS50</v>
          </cell>
          <cell r="E3559">
            <v>46229</v>
          </cell>
        </row>
        <row r="3560">
          <cell r="A3560" t="str">
            <v>2626PP47</v>
          </cell>
          <cell r="D3560" t="str">
            <v>TTS80</v>
          </cell>
          <cell r="E3560">
            <v>46229</v>
          </cell>
        </row>
        <row r="3561">
          <cell r="A3561" t="str">
            <v>2628J327</v>
          </cell>
          <cell r="D3561" t="str">
            <v>FTW121KR</v>
          </cell>
          <cell r="E3561">
            <v>46229</v>
          </cell>
        </row>
        <row r="3562">
          <cell r="A3562" t="str">
            <v>2626PQ47</v>
          </cell>
          <cell r="D3562" t="str">
            <v>TTS80</v>
          </cell>
          <cell r="E3562">
            <v>46229</v>
          </cell>
        </row>
        <row r="3563">
          <cell r="A3563" t="str">
            <v>2628H567</v>
          </cell>
          <cell r="D3563" t="str">
            <v>KBP52</v>
          </cell>
          <cell r="E3563">
            <v>46229</v>
          </cell>
        </row>
        <row r="3564">
          <cell r="A3564" t="str">
            <v>2625SB57</v>
          </cell>
          <cell r="D3564" t="str">
            <v>KBP86</v>
          </cell>
          <cell r="E3564">
            <v>46229</v>
          </cell>
        </row>
        <row r="3565">
          <cell r="A3565" t="str">
            <v>2628JE27</v>
          </cell>
          <cell r="D3565" t="str">
            <v>FTW121KR</v>
          </cell>
          <cell r="E3565">
            <v>46229</v>
          </cell>
        </row>
        <row r="3566">
          <cell r="A3566" t="str">
            <v>2625OY27</v>
          </cell>
          <cell r="D3566" t="str">
            <v>KBP86</v>
          </cell>
          <cell r="E3566">
            <v>46229</v>
          </cell>
        </row>
        <row r="3567">
          <cell r="A3567" t="str">
            <v>2626PJ57</v>
          </cell>
          <cell r="D3567" t="str">
            <v>KBP126</v>
          </cell>
          <cell r="E3567">
            <v>46229</v>
          </cell>
        </row>
        <row r="3568">
          <cell r="A3568" t="str">
            <v>2628ES57</v>
          </cell>
          <cell r="D3568" t="str">
            <v>S805</v>
          </cell>
          <cell r="E3568">
            <v>46229</v>
          </cell>
        </row>
        <row r="3569">
          <cell r="A3569" t="str">
            <v>2628JU37</v>
          </cell>
          <cell r="D3569" t="str">
            <v>FTP150</v>
          </cell>
          <cell r="E3569">
            <v>46229</v>
          </cell>
        </row>
        <row r="3570">
          <cell r="A3570" t="str">
            <v>2628GO67</v>
          </cell>
          <cell r="D3570" t="str">
            <v>S706</v>
          </cell>
          <cell r="E3570">
            <v>46229</v>
          </cell>
        </row>
        <row r="3571">
          <cell r="A3571" t="str">
            <v>2628GP67</v>
          </cell>
          <cell r="D3571" t="str">
            <v>S706</v>
          </cell>
          <cell r="E3571">
            <v>46229</v>
          </cell>
        </row>
        <row r="3572">
          <cell r="A3572" t="str">
            <v>2625KI57</v>
          </cell>
          <cell r="D3572" t="str">
            <v>S706</v>
          </cell>
          <cell r="E3572">
            <v>46229</v>
          </cell>
        </row>
        <row r="3573">
          <cell r="A3573" t="str">
            <v>2627SU37</v>
          </cell>
          <cell r="D3573" t="str">
            <v>STA156KA</v>
          </cell>
          <cell r="E3573">
            <v>46229</v>
          </cell>
        </row>
        <row r="3574">
          <cell r="A3574" t="str">
            <v>2628AJ27</v>
          </cell>
          <cell r="D3574" t="str">
            <v>KBP126</v>
          </cell>
          <cell r="E3574">
            <v>46229</v>
          </cell>
        </row>
        <row r="3575">
          <cell r="A3575" t="str">
            <v>2628SA17</v>
          </cell>
          <cell r="D3575" t="str">
            <v>FTW121KR</v>
          </cell>
          <cell r="E3575">
            <v>46229</v>
          </cell>
        </row>
        <row r="3576">
          <cell r="A3576" t="str">
            <v>2628H337</v>
          </cell>
          <cell r="D3576" t="str">
            <v>KBP86</v>
          </cell>
          <cell r="E3576">
            <v>46229</v>
          </cell>
        </row>
        <row r="3577">
          <cell r="A3577" t="str">
            <v>2629LL27</v>
          </cell>
          <cell r="D3577" t="str">
            <v>TTS80</v>
          </cell>
          <cell r="E3577">
            <v>46229</v>
          </cell>
        </row>
        <row r="3578">
          <cell r="A3578" t="str">
            <v>2626LI17</v>
          </cell>
          <cell r="D3578" t="str">
            <v>S706</v>
          </cell>
          <cell r="E3578">
            <v>46229</v>
          </cell>
        </row>
        <row r="3579">
          <cell r="A3579" t="str">
            <v>2628BG37</v>
          </cell>
          <cell r="D3579" t="str">
            <v>S15MB</v>
          </cell>
          <cell r="E3579">
            <v>46229</v>
          </cell>
        </row>
        <row r="3580">
          <cell r="A3580" t="str">
            <v>2628WT17</v>
          </cell>
          <cell r="D3580" t="str">
            <v>KBP76</v>
          </cell>
          <cell r="E3580">
            <v>46229</v>
          </cell>
        </row>
        <row r="3581">
          <cell r="A3581" t="str">
            <v>2625XR57</v>
          </cell>
          <cell r="D3581" t="str">
            <v>KBP86</v>
          </cell>
          <cell r="E3581">
            <v>46229</v>
          </cell>
        </row>
        <row r="3582">
          <cell r="A3582" t="str">
            <v>2627ZO67</v>
          </cell>
          <cell r="D3582" t="str">
            <v>FTW503</v>
          </cell>
          <cell r="E3582">
            <v>46229</v>
          </cell>
        </row>
        <row r="3583">
          <cell r="A3583" t="str">
            <v>2628H467</v>
          </cell>
          <cell r="D3583" t="str">
            <v>KBP52</v>
          </cell>
          <cell r="E3583">
            <v>46229</v>
          </cell>
        </row>
        <row r="3584">
          <cell r="A3584" t="str">
            <v>2627L457</v>
          </cell>
          <cell r="D3584" t="str">
            <v>STA156KA</v>
          </cell>
          <cell r="E3584">
            <v>46229</v>
          </cell>
        </row>
        <row r="3585">
          <cell r="A3585" t="str">
            <v>2628QT17</v>
          </cell>
          <cell r="D3585" t="str">
            <v>FTW102K</v>
          </cell>
          <cell r="E3585">
            <v>46229</v>
          </cell>
        </row>
        <row r="3586">
          <cell r="A3586" t="str">
            <v>2624CQ67</v>
          </cell>
          <cell r="D3586" t="str">
            <v>KBP86</v>
          </cell>
          <cell r="E3586">
            <v>46229</v>
          </cell>
        </row>
        <row r="3587">
          <cell r="A3587" t="str">
            <v>2625FK40</v>
          </cell>
          <cell r="D3587" t="str">
            <v>HV200</v>
          </cell>
          <cell r="E3587">
            <v>46229</v>
          </cell>
        </row>
        <row r="3588">
          <cell r="A3588" t="str">
            <v>2626PK57</v>
          </cell>
          <cell r="D3588" t="str">
            <v>KBP126</v>
          </cell>
          <cell r="E3588">
            <v>46229</v>
          </cell>
        </row>
        <row r="3589">
          <cell r="A3589" t="str">
            <v>2625FK30</v>
          </cell>
          <cell r="D3589" t="str">
            <v>HV200</v>
          </cell>
          <cell r="E3589">
            <v>46229</v>
          </cell>
        </row>
        <row r="3590">
          <cell r="A3590" t="str">
            <v>2625JZ47</v>
          </cell>
          <cell r="D3590" t="str">
            <v>KBP86</v>
          </cell>
          <cell r="E3590">
            <v>46229</v>
          </cell>
        </row>
        <row r="3591">
          <cell r="A3591" t="str">
            <v>2628JO67</v>
          </cell>
          <cell r="D3591" t="str">
            <v>TTS80</v>
          </cell>
          <cell r="E3591">
            <v>46229</v>
          </cell>
        </row>
        <row r="3592">
          <cell r="A3592" t="str">
            <v>2627ET67</v>
          </cell>
          <cell r="D3592" t="str">
            <v>FTW102K</v>
          </cell>
          <cell r="E3592">
            <v>46229</v>
          </cell>
        </row>
        <row r="3593">
          <cell r="A3593" t="str">
            <v>2626JW37</v>
          </cell>
          <cell r="D3593" t="str">
            <v>FTW503</v>
          </cell>
          <cell r="E3593">
            <v>46229</v>
          </cell>
        </row>
        <row r="3594">
          <cell r="A3594" t="str">
            <v>2628S627</v>
          </cell>
          <cell r="D3594" t="str">
            <v>STA156KA</v>
          </cell>
          <cell r="E3594">
            <v>46229</v>
          </cell>
        </row>
        <row r="3595">
          <cell r="A3595" t="str">
            <v>2625KI37</v>
          </cell>
          <cell r="D3595" t="str">
            <v>S706</v>
          </cell>
          <cell r="E3595">
            <v>46229</v>
          </cell>
        </row>
        <row r="3596">
          <cell r="A3596" t="str">
            <v>2627YH47</v>
          </cell>
          <cell r="D3596" t="str">
            <v>FTW503</v>
          </cell>
          <cell r="E3596">
            <v>46229</v>
          </cell>
        </row>
        <row r="3597">
          <cell r="A3597" t="str">
            <v>2627H867</v>
          </cell>
          <cell r="D3597" t="str">
            <v>FTW121KR</v>
          </cell>
          <cell r="E3597">
            <v>46229</v>
          </cell>
        </row>
        <row r="3598">
          <cell r="A3598" t="str">
            <v>2627LU37</v>
          </cell>
          <cell r="D3598" t="str">
            <v>FTW503</v>
          </cell>
          <cell r="E3598">
            <v>46229</v>
          </cell>
        </row>
        <row r="3599">
          <cell r="A3599" t="str">
            <v>2625HV57</v>
          </cell>
          <cell r="D3599" t="str">
            <v>KBP86</v>
          </cell>
          <cell r="E3599">
            <v>46229</v>
          </cell>
        </row>
        <row r="3600">
          <cell r="A3600" t="str">
            <v>2628BE37</v>
          </cell>
          <cell r="D3600" t="str">
            <v>STA156KA</v>
          </cell>
          <cell r="E3600">
            <v>46229</v>
          </cell>
        </row>
        <row r="3601">
          <cell r="A3601" t="str">
            <v>2628I447</v>
          </cell>
          <cell r="D3601" t="str">
            <v>TTS50</v>
          </cell>
          <cell r="E3601">
            <v>46229</v>
          </cell>
        </row>
        <row r="3602">
          <cell r="A3602" t="str">
            <v>2628SN17</v>
          </cell>
          <cell r="D3602" t="str">
            <v>FTW121KR</v>
          </cell>
          <cell r="E3602">
            <v>46229</v>
          </cell>
        </row>
        <row r="3603">
          <cell r="A3603" t="str">
            <v>2628SW27</v>
          </cell>
          <cell r="D3603" t="str">
            <v>TTS80</v>
          </cell>
          <cell r="E3603">
            <v>46229</v>
          </cell>
        </row>
        <row r="3604">
          <cell r="A3604" t="str">
            <v>2626KI17</v>
          </cell>
          <cell r="D3604" t="str">
            <v>KBP86</v>
          </cell>
          <cell r="E3604">
            <v>46229</v>
          </cell>
        </row>
        <row r="3605">
          <cell r="A3605" t="str">
            <v>2628SH27</v>
          </cell>
          <cell r="D3605" t="str">
            <v>TTS80</v>
          </cell>
          <cell r="E3605">
            <v>46229</v>
          </cell>
        </row>
        <row r="3606">
          <cell r="A3606" t="str">
            <v>2627UB17</v>
          </cell>
          <cell r="D3606" t="str">
            <v>KBP52</v>
          </cell>
          <cell r="E3606">
            <v>46229</v>
          </cell>
        </row>
        <row r="3607">
          <cell r="A3607" t="str">
            <v>2628LR67</v>
          </cell>
          <cell r="D3607" t="str">
            <v>KBP55</v>
          </cell>
          <cell r="E3607">
            <v>46229</v>
          </cell>
        </row>
        <row r="3608">
          <cell r="A3608" t="str">
            <v>2610ZB47</v>
          </cell>
          <cell r="D3608" t="str">
            <v>S706</v>
          </cell>
          <cell r="E3608">
            <v>46229</v>
          </cell>
        </row>
        <row r="3609">
          <cell r="A3609" t="str">
            <v>2625SH57</v>
          </cell>
          <cell r="D3609" t="str">
            <v>KBP86</v>
          </cell>
          <cell r="E3609">
            <v>46229</v>
          </cell>
        </row>
        <row r="3610">
          <cell r="A3610" t="str">
            <v>2627WM27</v>
          </cell>
          <cell r="D3610" t="str">
            <v>KBP86</v>
          </cell>
          <cell r="E3610">
            <v>46229</v>
          </cell>
        </row>
        <row r="3611">
          <cell r="A3611" t="str">
            <v>2625IL47</v>
          </cell>
          <cell r="D3611" t="str">
            <v>FTW503</v>
          </cell>
          <cell r="E3611">
            <v>46229</v>
          </cell>
        </row>
        <row r="3612">
          <cell r="A3612" t="str">
            <v>2625LH37</v>
          </cell>
          <cell r="D3612" t="str">
            <v>KBP55</v>
          </cell>
          <cell r="E3612">
            <v>46229</v>
          </cell>
        </row>
        <row r="3613">
          <cell r="A3613" t="str">
            <v>2625BV67</v>
          </cell>
          <cell r="D3613" t="str">
            <v>KBP86</v>
          </cell>
          <cell r="E3613">
            <v>46229</v>
          </cell>
        </row>
        <row r="3614">
          <cell r="A3614" t="str">
            <v>2627FK67</v>
          </cell>
          <cell r="D3614" t="str">
            <v>FTW121KR</v>
          </cell>
          <cell r="E3614">
            <v>46229</v>
          </cell>
        </row>
        <row r="3615">
          <cell r="A3615" t="str">
            <v>2627DJ57</v>
          </cell>
          <cell r="D3615" t="str">
            <v>FTW121KR</v>
          </cell>
          <cell r="E3615">
            <v>46229</v>
          </cell>
        </row>
        <row r="3616">
          <cell r="A3616" t="str">
            <v>2627OS37</v>
          </cell>
          <cell r="D3616" t="str">
            <v>FTW121KR</v>
          </cell>
          <cell r="E3616">
            <v>46229</v>
          </cell>
        </row>
        <row r="3617">
          <cell r="A3617" t="str">
            <v>2623S837</v>
          </cell>
          <cell r="D3617" t="str">
            <v>KBP55</v>
          </cell>
          <cell r="E3617">
            <v>46229</v>
          </cell>
        </row>
        <row r="3618">
          <cell r="A3618" t="str">
            <v>2627OP67</v>
          </cell>
          <cell r="D3618" t="str">
            <v>KBP76</v>
          </cell>
          <cell r="E3618">
            <v>46229</v>
          </cell>
        </row>
        <row r="3619">
          <cell r="A3619" t="str">
            <v>2628G567</v>
          </cell>
          <cell r="D3619" t="str">
            <v>S706</v>
          </cell>
          <cell r="E3619">
            <v>46229</v>
          </cell>
        </row>
        <row r="3620">
          <cell r="A3620" t="str">
            <v>2532H537</v>
          </cell>
          <cell r="D3620" t="str">
            <v>S805</v>
          </cell>
          <cell r="E3620">
            <v>46229</v>
          </cell>
        </row>
        <row r="3621">
          <cell r="A3621" t="str">
            <v>2626PL37</v>
          </cell>
          <cell r="D3621" t="str">
            <v>TTS80</v>
          </cell>
          <cell r="E3621">
            <v>46228</v>
          </cell>
        </row>
        <row r="3622">
          <cell r="A3622" t="str">
            <v>2627Z747</v>
          </cell>
          <cell r="D3622" t="str">
            <v>KBP86</v>
          </cell>
          <cell r="E3622">
            <v>46228</v>
          </cell>
        </row>
        <row r="3623">
          <cell r="A3623" t="str">
            <v>2626PN37</v>
          </cell>
          <cell r="D3623" t="str">
            <v>TTS80</v>
          </cell>
          <cell r="E3623">
            <v>46228</v>
          </cell>
        </row>
        <row r="3624">
          <cell r="A3624" t="str">
            <v>2623Z747</v>
          </cell>
          <cell r="D3624" t="str">
            <v>KBP86</v>
          </cell>
          <cell r="E3624">
            <v>46228</v>
          </cell>
        </row>
        <row r="3625">
          <cell r="A3625" t="str">
            <v>2626PK37</v>
          </cell>
          <cell r="D3625" t="str">
            <v>TTS80</v>
          </cell>
          <cell r="E3625">
            <v>46228</v>
          </cell>
        </row>
        <row r="3626">
          <cell r="A3626" t="str">
            <v>2628GG67</v>
          </cell>
          <cell r="D3626" t="str">
            <v>S706</v>
          </cell>
          <cell r="E3626">
            <v>46228</v>
          </cell>
        </row>
        <row r="3627">
          <cell r="A3627" t="str">
            <v>2627QR37</v>
          </cell>
          <cell r="D3627" t="str">
            <v>S706</v>
          </cell>
          <cell r="E3627">
            <v>46228</v>
          </cell>
        </row>
        <row r="3628">
          <cell r="A3628" t="str">
            <v>2627QH37</v>
          </cell>
          <cell r="D3628" t="str">
            <v>KBP52</v>
          </cell>
          <cell r="E3628">
            <v>46228</v>
          </cell>
        </row>
        <row r="3629">
          <cell r="A3629" t="str">
            <v>2627YT47</v>
          </cell>
          <cell r="D3629" t="str">
            <v>FTW503</v>
          </cell>
          <cell r="E3629">
            <v>46228</v>
          </cell>
        </row>
        <row r="3630">
          <cell r="A3630" t="str">
            <v>2628GV27</v>
          </cell>
          <cell r="D3630" t="str">
            <v>FTP150</v>
          </cell>
          <cell r="E3630">
            <v>46228</v>
          </cell>
        </row>
        <row r="3631">
          <cell r="A3631" t="str">
            <v>2628P847</v>
          </cell>
          <cell r="D3631" t="str">
            <v>S706</v>
          </cell>
          <cell r="E3631">
            <v>46228</v>
          </cell>
        </row>
        <row r="3632">
          <cell r="A3632" t="str">
            <v>2627HO47</v>
          </cell>
          <cell r="D3632" t="str">
            <v>FTW121KR</v>
          </cell>
          <cell r="E3632">
            <v>46228</v>
          </cell>
        </row>
        <row r="3633">
          <cell r="A3633" t="str">
            <v>2628WE17</v>
          </cell>
          <cell r="D3633" t="str">
            <v>KBP76</v>
          </cell>
          <cell r="E3633">
            <v>46228</v>
          </cell>
        </row>
        <row r="3634">
          <cell r="A3634" t="str">
            <v>2628HF67</v>
          </cell>
          <cell r="D3634" t="str">
            <v>KBP76</v>
          </cell>
          <cell r="E3634">
            <v>46228</v>
          </cell>
        </row>
        <row r="3635">
          <cell r="A3635" t="str">
            <v>2627H567</v>
          </cell>
          <cell r="D3635" t="str">
            <v>FTW121KR</v>
          </cell>
          <cell r="E3635">
            <v>46228</v>
          </cell>
        </row>
        <row r="3636">
          <cell r="A3636" t="str">
            <v>2627H667</v>
          </cell>
          <cell r="D3636" t="str">
            <v>FTW121KR</v>
          </cell>
          <cell r="E3636">
            <v>46228</v>
          </cell>
        </row>
        <row r="3637">
          <cell r="A3637" t="str">
            <v>2627GQ67</v>
          </cell>
          <cell r="D3637" t="str">
            <v>FTW121KR</v>
          </cell>
          <cell r="E3637">
            <v>46228</v>
          </cell>
        </row>
        <row r="3638">
          <cell r="A3638" t="str">
            <v>2628KH37</v>
          </cell>
          <cell r="D3638" t="str">
            <v>FTW102K</v>
          </cell>
          <cell r="E3638">
            <v>46228</v>
          </cell>
        </row>
        <row r="3639">
          <cell r="A3639" t="str">
            <v>2626PQ57</v>
          </cell>
          <cell r="D3639" t="str">
            <v>S15MB</v>
          </cell>
          <cell r="E3639">
            <v>46228</v>
          </cell>
        </row>
        <row r="3640">
          <cell r="A3640" t="str">
            <v>2627GI67</v>
          </cell>
          <cell r="D3640" t="str">
            <v>FTW121KR</v>
          </cell>
          <cell r="E3640">
            <v>46228</v>
          </cell>
        </row>
        <row r="3641">
          <cell r="A3641" t="str">
            <v>2627HL27</v>
          </cell>
          <cell r="D3641" t="str">
            <v>KBP126</v>
          </cell>
          <cell r="E3641">
            <v>46228</v>
          </cell>
        </row>
        <row r="3642">
          <cell r="A3642" t="str">
            <v>2628UD57</v>
          </cell>
          <cell r="D3642" t="str">
            <v>KBP86</v>
          </cell>
          <cell r="E3642">
            <v>46228</v>
          </cell>
        </row>
        <row r="3643">
          <cell r="A3643" t="str">
            <v>2628IA67</v>
          </cell>
          <cell r="D3643" t="str">
            <v>KBP55</v>
          </cell>
          <cell r="E3643">
            <v>46228</v>
          </cell>
        </row>
        <row r="3644">
          <cell r="A3644" t="str">
            <v>2628LW47</v>
          </cell>
          <cell r="D3644" t="str">
            <v>FTP200</v>
          </cell>
          <cell r="E3644">
            <v>46228</v>
          </cell>
        </row>
        <row r="3645">
          <cell r="A3645" t="str">
            <v>2625FH90</v>
          </cell>
          <cell r="D3645" t="str">
            <v>TTS125</v>
          </cell>
          <cell r="E3645">
            <v>46228</v>
          </cell>
        </row>
        <row r="3646">
          <cell r="A3646" t="str">
            <v>2628QE37</v>
          </cell>
          <cell r="D3646" t="str">
            <v>KBP86</v>
          </cell>
          <cell r="E3646">
            <v>46228</v>
          </cell>
        </row>
        <row r="3647">
          <cell r="A3647" t="str">
            <v>2628CU47</v>
          </cell>
          <cell r="D3647" t="str">
            <v>S15MB</v>
          </cell>
          <cell r="E3647">
            <v>46228</v>
          </cell>
        </row>
        <row r="3648">
          <cell r="A3648" t="str">
            <v>2628FN67</v>
          </cell>
          <cell r="D3648" t="str">
            <v>KBP86</v>
          </cell>
          <cell r="E3648">
            <v>46228</v>
          </cell>
        </row>
        <row r="3649">
          <cell r="A3649" t="str">
            <v>2628H137</v>
          </cell>
          <cell r="D3649" t="str">
            <v>KBP86</v>
          </cell>
          <cell r="E3649">
            <v>46228</v>
          </cell>
        </row>
        <row r="3650">
          <cell r="A3650" t="str">
            <v>2628O137</v>
          </cell>
          <cell r="D3650" t="str">
            <v>FTP200</v>
          </cell>
          <cell r="E3650">
            <v>46228</v>
          </cell>
        </row>
        <row r="3651">
          <cell r="A3651" t="str">
            <v>2627FU67</v>
          </cell>
          <cell r="D3651" t="str">
            <v>FTW121KR</v>
          </cell>
          <cell r="E3651">
            <v>46228</v>
          </cell>
        </row>
        <row r="3652">
          <cell r="A3652" t="str">
            <v>2628S527</v>
          </cell>
          <cell r="D3652" t="str">
            <v>KBP76</v>
          </cell>
          <cell r="E3652">
            <v>46228</v>
          </cell>
        </row>
        <row r="3653">
          <cell r="A3653" t="str">
            <v>2628IZ67</v>
          </cell>
          <cell r="D3653" t="str">
            <v>TTS80</v>
          </cell>
          <cell r="E3653">
            <v>46228</v>
          </cell>
        </row>
        <row r="3654">
          <cell r="A3654" t="str">
            <v>2628OV17</v>
          </cell>
          <cell r="D3654" t="str">
            <v>KBP76</v>
          </cell>
          <cell r="E3654">
            <v>46228</v>
          </cell>
        </row>
        <row r="3655">
          <cell r="A3655" t="str">
            <v>2628SI27</v>
          </cell>
          <cell r="D3655" t="str">
            <v>TTS80</v>
          </cell>
          <cell r="E3655">
            <v>46228</v>
          </cell>
        </row>
        <row r="3656">
          <cell r="A3656" t="str">
            <v>2627F257</v>
          </cell>
          <cell r="D3656" t="str">
            <v>KBP74</v>
          </cell>
          <cell r="E3656">
            <v>46228</v>
          </cell>
        </row>
        <row r="3657">
          <cell r="A3657" t="str">
            <v>2622VX47</v>
          </cell>
          <cell r="D3657" t="str">
            <v>TTS175</v>
          </cell>
          <cell r="E3657">
            <v>46228</v>
          </cell>
        </row>
        <row r="3658">
          <cell r="A3658" t="str">
            <v>2628WF17</v>
          </cell>
          <cell r="D3658" t="str">
            <v>KBP76</v>
          </cell>
          <cell r="E3658">
            <v>46228</v>
          </cell>
        </row>
        <row r="3659">
          <cell r="A3659" t="str">
            <v>2627GG67</v>
          </cell>
          <cell r="D3659" t="str">
            <v>FTW121KR</v>
          </cell>
          <cell r="E3659">
            <v>46228</v>
          </cell>
        </row>
        <row r="3660">
          <cell r="A3660" t="str">
            <v>2628LM47</v>
          </cell>
          <cell r="D3660" t="str">
            <v>KBP86</v>
          </cell>
          <cell r="E3660">
            <v>46228</v>
          </cell>
        </row>
        <row r="3661">
          <cell r="A3661" t="str">
            <v>2627JA57</v>
          </cell>
          <cell r="D3661" t="str">
            <v>KBP126</v>
          </cell>
          <cell r="E3661">
            <v>46228</v>
          </cell>
        </row>
        <row r="3662">
          <cell r="A3662" t="str">
            <v>2627FI67</v>
          </cell>
          <cell r="D3662" t="str">
            <v>FTW102K</v>
          </cell>
          <cell r="E3662">
            <v>46228</v>
          </cell>
        </row>
        <row r="3663">
          <cell r="A3663" t="str">
            <v>2627J757</v>
          </cell>
          <cell r="D3663" t="str">
            <v>KBP126</v>
          </cell>
          <cell r="E3663">
            <v>46228</v>
          </cell>
        </row>
        <row r="3664">
          <cell r="A3664" t="str">
            <v>2628SA27</v>
          </cell>
          <cell r="D3664" t="str">
            <v>TTS50</v>
          </cell>
          <cell r="E3664">
            <v>46228</v>
          </cell>
        </row>
        <row r="3665">
          <cell r="A3665" t="str">
            <v>2627FO67</v>
          </cell>
          <cell r="D3665" t="str">
            <v>FTW121KR</v>
          </cell>
          <cell r="E3665">
            <v>46228</v>
          </cell>
        </row>
        <row r="3666">
          <cell r="A3666" t="str">
            <v>2628J267</v>
          </cell>
          <cell r="D3666" t="str">
            <v>TTS80</v>
          </cell>
          <cell r="E3666">
            <v>46228</v>
          </cell>
        </row>
        <row r="3667">
          <cell r="A3667" t="str">
            <v>2627PN27</v>
          </cell>
          <cell r="D3667" t="str">
            <v>FTW503</v>
          </cell>
          <cell r="E3667">
            <v>46228</v>
          </cell>
        </row>
        <row r="3668">
          <cell r="A3668" t="str">
            <v>2626LK17</v>
          </cell>
          <cell r="D3668" t="str">
            <v>S706</v>
          </cell>
          <cell r="E3668">
            <v>46228</v>
          </cell>
        </row>
        <row r="3669">
          <cell r="A3669" t="str">
            <v>2624DR47</v>
          </cell>
          <cell r="D3669" t="str">
            <v>STA156KA</v>
          </cell>
          <cell r="E3669">
            <v>46228</v>
          </cell>
        </row>
        <row r="3670">
          <cell r="A3670" t="str">
            <v>2627SQ27</v>
          </cell>
          <cell r="D3670" t="str">
            <v>KBP52</v>
          </cell>
          <cell r="E3670">
            <v>46228</v>
          </cell>
        </row>
        <row r="3671">
          <cell r="A3671" t="str">
            <v>2623B967</v>
          </cell>
          <cell r="D3671" t="str">
            <v>KBP86</v>
          </cell>
          <cell r="E3671">
            <v>46228</v>
          </cell>
        </row>
        <row r="3672">
          <cell r="A3672" t="str">
            <v>2628FH67</v>
          </cell>
          <cell r="D3672" t="str">
            <v>KBP86</v>
          </cell>
          <cell r="E3672">
            <v>46228</v>
          </cell>
        </row>
        <row r="3673">
          <cell r="A3673" t="str">
            <v>2628X817</v>
          </cell>
          <cell r="D3673" t="str">
            <v>TTS80</v>
          </cell>
          <cell r="E3673">
            <v>46228</v>
          </cell>
        </row>
        <row r="3674">
          <cell r="A3674" t="str">
            <v>2628U457</v>
          </cell>
          <cell r="D3674" t="str">
            <v>KBP86</v>
          </cell>
          <cell r="E3674">
            <v>46228</v>
          </cell>
        </row>
        <row r="3675">
          <cell r="A3675" t="str">
            <v>2628GT27</v>
          </cell>
          <cell r="D3675" t="str">
            <v>FTP150</v>
          </cell>
          <cell r="E3675">
            <v>46228</v>
          </cell>
        </row>
        <row r="3676">
          <cell r="A3676" t="str">
            <v>2628GN57</v>
          </cell>
          <cell r="D3676" t="str">
            <v>KBP76</v>
          </cell>
          <cell r="E3676">
            <v>46228</v>
          </cell>
        </row>
        <row r="3677">
          <cell r="A3677" t="str">
            <v>2618L737</v>
          </cell>
          <cell r="D3677" t="str">
            <v>KBP76</v>
          </cell>
          <cell r="E3677">
            <v>46228</v>
          </cell>
        </row>
        <row r="3678">
          <cell r="A3678" t="str">
            <v>2628GB67</v>
          </cell>
          <cell r="D3678" t="str">
            <v>S706</v>
          </cell>
          <cell r="E3678">
            <v>46228</v>
          </cell>
        </row>
        <row r="3679">
          <cell r="A3679" t="str">
            <v>2541WL37</v>
          </cell>
          <cell r="D3679" t="str">
            <v>KBP76</v>
          </cell>
          <cell r="E3679">
            <v>46228</v>
          </cell>
        </row>
        <row r="3680">
          <cell r="A3680" t="str">
            <v>2628WP17</v>
          </cell>
          <cell r="D3680" t="str">
            <v>KBP76</v>
          </cell>
          <cell r="E3680">
            <v>46228</v>
          </cell>
        </row>
        <row r="3681">
          <cell r="A3681" t="str">
            <v>2625S957</v>
          </cell>
          <cell r="D3681" t="str">
            <v>KBP86</v>
          </cell>
          <cell r="E3681">
            <v>46228</v>
          </cell>
        </row>
        <row r="3682">
          <cell r="A3682" t="str">
            <v>2628OT47</v>
          </cell>
          <cell r="D3682" t="str">
            <v>S706</v>
          </cell>
          <cell r="E3682">
            <v>46228</v>
          </cell>
        </row>
        <row r="3683">
          <cell r="A3683" t="str">
            <v>2628P247</v>
          </cell>
          <cell r="D3683" t="str">
            <v>S706</v>
          </cell>
          <cell r="E3683">
            <v>46228</v>
          </cell>
        </row>
        <row r="3684">
          <cell r="A3684" t="str">
            <v>2610ZE37</v>
          </cell>
          <cell r="D3684" t="str">
            <v>S706</v>
          </cell>
          <cell r="E3684">
            <v>46228</v>
          </cell>
        </row>
        <row r="3685">
          <cell r="A3685" t="str">
            <v>2628JL27</v>
          </cell>
          <cell r="D3685" t="str">
            <v>KBP86</v>
          </cell>
          <cell r="E3685">
            <v>46228</v>
          </cell>
        </row>
        <row r="3686">
          <cell r="A3686" t="str">
            <v>2628WZ17</v>
          </cell>
          <cell r="D3686" t="str">
            <v>TTS50</v>
          </cell>
          <cell r="E3686">
            <v>46228</v>
          </cell>
        </row>
        <row r="3687">
          <cell r="A3687" t="str">
            <v>2627YU47</v>
          </cell>
          <cell r="D3687" t="str">
            <v>FTW503</v>
          </cell>
          <cell r="E3687">
            <v>46228</v>
          </cell>
        </row>
        <row r="3688">
          <cell r="A3688" t="str">
            <v>2628EI67</v>
          </cell>
          <cell r="D3688" t="str">
            <v>FTW102K</v>
          </cell>
          <cell r="E3688">
            <v>46228</v>
          </cell>
        </row>
        <row r="3689">
          <cell r="A3689" t="str">
            <v>2627JW17</v>
          </cell>
          <cell r="D3689" t="str">
            <v>S15MB</v>
          </cell>
          <cell r="E3689">
            <v>46228</v>
          </cell>
        </row>
        <row r="3690">
          <cell r="A3690" t="str">
            <v>2628FO67</v>
          </cell>
          <cell r="D3690" t="str">
            <v>KBP86</v>
          </cell>
          <cell r="E3690">
            <v>46228</v>
          </cell>
        </row>
        <row r="3691">
          <cell r="A3691" t="str">
            <v>2628IH67</v>
          </cell>
          <cell r="D3691" t="str">
            <v>KBP55</v>
          </cell>
          <cell r="E3691">
            <v>46228</v>
          </cell>
        </row>
        <row r="3692">
          <cell r="A3692" t="str">
            <v>2628SZ27</v>
          </cell>
          <cell r="D3692" t="str">
            <v>TTS80</v>
          </cell>
          <cell r="E3692">
            <v>46228</v>
          </cell>
        </row>
        <row r="3693">
          <cell r="A3693" t="str">
            <v>2628JK67</v>
          </cell>
          <cell r="D3693" t="str">
            <v>TTS80</v>
          </cell>
          <cell r="E3693">
            <v>46228</v>
          </cell>
        </row>
        <row r="3694">
          <cell r="A3694" t="str">
            <v>2625SX57</v>
          </cell>
          <cell r="D3694" t="str">
            <v>KBP74</v>
          </cell>
          <cell r="E3694">
            <v>46228</v>
          </cell>
        </row>
        <row r="3695">
          <cell r="A3695" t="str">
            <v>2621LR47</v>
          </cell>
          <cell r="D3695" t="str">
            <v>KBP52</v>
          </cell>
          <cell r="E3695">
            <v>46228</v>
          </cell>
        </row>
        <row r="3696">
          <cell r="A3696" t="str">
            <v>2627ZK57</v>
          </cell>
          <cell r="D3696" t="str">
            <v>FTW503</v>
          </cell>
          <cell r="E3696">
            <v>46228</v>
          </cell>
        </row>
        <row r="3697">
          <cell r="A3697" t="str">
            <v>2628W117</v>
          </cell>
          <cell r="D3697" t="str">
            <v>S706</v>
          </cell>
          <cell r="E3697">
            <v>46228</v>
          </cell>
        </row>
        <row r="3698">
          <cell r="A3698" t="str">
            <v>2628HI47</v>
          </cell>
          <cell r="D3698" t="str">
            <v>FTP150</v>
          </cell>
          <cell r="E3698">
            <v>46228</v>
          </cell>
        </row>
        <row r="3699">
          <cell r="A3699" t="str">
            <v>2628O437</v>
          </cell>
          <cell r="D3699" t="str">
            <v>FTP200</v>
          </cell>
          <cell r="E3699">
            <v>46228</v>
          </cell>
        </row>
        <row r="3700">
          <cell r="A3700" t="str">
            <v>2627G147</v>
          </cell>
          <cell r="D3700" t="str">
            <v>KBP76</v>
          </cell>
          <cell r="E3700">
            <v>46228</v>
          </cell>
        </row>
        <row r="3701">
          <cell r="A3701" t="str">
            <v>2628JX27</v>
          </cell>
          <cell r="D3701" t="str">
            <v>FTP200</v>
          </cell>
          <cell r="E3701">
            <v>46228</v>
          </cell>
        </row>
        <row r="3702">
          <cell r="A3702" t="str">
            <v>2628GK57</v>
          </cell>
          <cell r="D3702" t="str">
            <v>KBP76</v>
          </cell>
          <cell r="E3702">
            <v>46228</v>
          </cell>
        </row>
        <row r="3703">
          <cell r="A3703" t="str">
            <v>2627GK67</v>
          </cell>
          <cell r="D3703" t="str">
            <v>FTW121KR</v>
          </cell>
          <cell r="E3703">
            <v>46228</v>
          </cell>
        </row>
        <row r="3704">
          <cell r="A3704" t="str">
            <v>2627LT47</v>
          </cell>
          <cell r="D3704" t="str">
            <v>KBP86</v>
          </cell>
          <cell r="E3704">
            <v>46228</v>
          </cell>
        </row>
        <row r="3705">
          <cell r="A3705" t="str">
            <v>2627IJ47</v>
          </cell>
          <cell r="D3705" t="str">
            <v>FTW121KR</v>
          </cell>
          <cell r="E3705">
            <v>46228</v>
          </cell>
        </row>
        <row r="3706">
          <cell r="A3706" t="str">
            <v>2627Z757</v>
          </cell>
          <cell r="D3706" t="str">
            <v>FTW503</v>
          </cell>
          <cell r="E3706">
            <v>46228</v>
          </cell>
        </row>
        <row r="3707">
          <cell r="A3707" t="str">
            <v>2629P717</v>
          </cell>
          <cell r="D3707" t="str">
            <v>KBP76</v>
          </cell>
          <cell r="E3707">
            <v>46228</v>
          </cell>
        </row>
        <row r="3708">
          <cell r="A3708" t="str">
            <v>2625KB47</v>
          </cell>
          <cell r="D3708" t="str">
            <v>S706</v>
          </cell>
          <cell r="E3708">
            <v>46228</v>
          </cell>
        </row>
        <row r="3709">
          <cell r="A3709" t="str">
            <v>2626IX47</v>
          </cell>
          <cell r="D3709" t="str">
            <v>FTW400</v>
          </cell>
          <cell r="E3709">
            <v>46228</v>
          </cell>
        </row>
        <row r="3710">
          <cell r="A3710" t="str">
            <v>2628Q247</v>
          </cell>
          <cell r="D3710" t="str">
            <v>TTS80</v>
          </cell>
          <cell r="E3710">
            <v>46228</v>
          </cell>
        </row>
        <row r="3711">
          <cell r="A3711" t="str">
            <v>2628HU47</v>
          </cell>
          <cell r="D3711" t="str">
            <v>TTS50</v>
          </cell>
          <cell r="E3711">
            <v>46228</v>
          </cell>
        </row>
        <row r="3712">
          <cell r="A3712" t="str">
            <v>2627FS67</v>
          </cell>
          <cell r="D3712" t="str">
            <v>FTW121KR</v>
          </cell>
          <cell r="E3712">
            <v>46228</v>
          </cell>
        </row>
        <row r="3713">
          <cell r="A3713" t="str">
            <v>2625OV17</v>
          </cell>
          <cell r="D3713" t="str">
            <v>S706</v>
          </cell>
          <cell r="E3713">
            <v>46228</v>
          </cell>
        </row>
        <row r="3714">
          <cell r="A3714" t="str">
            <v>2628P537</v>
          </cell>
          <cell r="D3714" t="str">
            <v>S706</v>
          </cell>
          <cell r="E3714">
            <v>46228</v>
          </cell>
        </row>
        <row r="3715">
          <cell r="A3715" t="str">
            <v>2627J957</v>
          </cell>
          <cell r="D3715" t="str">
            <v>KBP126</v>
          </cell>
          <cell r="E3715">
            <v>46228</v>
          </cell>
        </row>
        <row r="3716">
          <cell r="A3716" t="str">
            <v>2628PI17</v>
          </cell>
          <cell r="D3716" t="str">
            <v>TTS50</v>
          </cell>
          <cell r="E3716">
            <v>46228</v>
          </cell>
        </row>
        <row r="3717">
          <cell r="A3717" t="str">
            <v>2629OZ17</v>
          </cell>
          <cell r="D3717" t="str">
            <v>KBP76</v>
          </cell>
          <cell r="E3717">
            <v>46228</v>
          </cell>
        </row>
        <row r="3718">
          <cell r="A3718" t="str">
            <v>2628LA47</v>
          </cell>
          <cell r="D3718" t="str">
            <v>KBP86</v>
          </cell>
          <cell r="E3718">
            <v>46228</v>
          </cell>
        </row>
        <row r="3719">
          <cell r="A3719" t="str">
            <v>2628UB17</v>
          </cell>
          <cell r="D3719" t="str">
            <v>KBP86</v>
          </cell>
          <cell r="E3719">
            <v>46228</v>
          </cell>
        </row>
        <row r="3720">
          <cell r="A3720" t="str">
            <v>2628JM27</v>
          </cell>
          <cell r="D3720" t="str">
            <v>KBP86</v>
          </cell>
          <cell r="E3720">
            <v>46228</v>
          </cell>
        </row>
        <row r="3721">
          <cell r="A3721" t="str">
            <v>2625PL27</v>
          </cell>
          <cell r="D3721" t="str">
            <v>KBP76</v>
          </cell>
          <cell r="E3721">
            <v>46228</v>
          </cell>
        </row>
        <row r="3722">
          <cell r="A3722" t="str">
            <v>2627HU47</v>
          </cell>
          <cell r="D3722" t="str">
            <v>FTW121KR</v>
          </cell>
          <cell r="E3722">
            <v>46228</v>
          </cell>
        </row>
        <row r="3723">
          <cell r="A3723" t="str">
            <v>2628I767</v>
          </cell>
          <cell r="D3723" t="str">
            <v>KBP55</v>
          </cell>
          <cell r="E3723">
            <v>46228</v>
          </cell>
        </row>
        <row r="3724">
          <cell r="A3724" t="str">
            <v>2627L157</v>
          </cell>
          <cell r="D3724" t="str">
            <v>STA156KA</v>
          </cell>
          <cell r="E3724">
            <v>46228</v>
          </cell>
        </row>
        <row r="3725">
          <cell r="A3725" t="str">
            <v>2610ZG27</v>
          </cell>
          <cell r="D3725" t="str">
            <v>S706</v>
          </cell>
          <cell r="E3725">
            <v>46228</v>
          </cell>
        </row>
        <row r="3726">
          <cell r="A3726" t="str">
            <v>2626K237</v>
          </cell>
          <cell r="D3726" t="str">
            <v>FTW503</v>
          </cell>
          <cell r="E3726">
            <v>46228</v>
          </cell>
        </row>
        <row r="3727">
          <cell r="A3727" t="str">
            <v>2628GV67</v>
          </cell>
          <cell r="D3727" t="str">
            <v>KBP76</v>
          </cell>
          <cell r="E3727">
            <v>46228</v>
          </cell>
        </row>
        <row r="3728">
          <cell r="A3728" t="str">
            <v>2628JQ67</v>
          </cell>
          <cell r="D3728" t="str">
            <v>TTS80</v>
          </cell>
          <cell r="E3728">
            <v>46228</v>
          </cell>
        </row>
        <row r="3729">
          <cell r="A3729" t="str">
            <v>2626FP57</v>
          </cell>
          <cell r="D3729" t="str">
            <v>FTW503</v>
          </cell>
          <cell r="E3729">
            <v>46228</v>
          </cell>
        </row>
        <row r="3730">
          <cell r="A3730" t="str">
            <v>2627LQ47</v>
          </cell>
          <cell r="D3730" t="str">
            <v>TTS80</v>
          </cell>
          <cell r="E3730">
            <v>46228</v>
          </cell>
        </row>
        <row r="3731">
          <cell r="A3731" t="str">
            <v>2628J167</v>
          </cell>
          <cell r="D3731" t="str">
            <v>TTS80</v>
          </cell>
          <cell r="E3731">
            <v>46228</v>
          </cell>
        </row>
        <row r="3732">
          <cell r="A3732" t="str">
            <v>2627E557</v>
          </cell>
          <cell r="D3732" t="str">
            <v>FTW121KR</v>
          </cell>
          <cell r="E3732">
            <v>46228</v>
          </cell>
        </row>
        <row r="3733">
          <cell r="A3733" t="str">
            <v>2628DV57</v>
          </cell>
          <cell r="D3733" t="str">
            <v>FTP150</v>
          </cell>
          <cell r="E3733">
            <v>46228</v>
          </cell>
        </row>
        <row r="3734">
          <cell r="A3734" t="str">
            <v>2628IE67</v>
          </cell>
          <cell r="D3734" t="str">
            <v>KBP55</v>
          </cell>
          <cell r="E3734">
            <v>46228</v>
          </cell>
        </row>
        <row r="3735">
          <cell r="A3735" t="str">
            <v>2626CI27</v>
          </cell>
          <cell r="D3735" t="str">
            <v>S15MB</v>
          </cell>
          <cell r="E3735">
            <v>46228</v>
          </cell>
        </row>
        <row r="3736">
          <cell r="A3736" t="str">
            <v>2627ER67</v>
          </cell>
          <cell r="D3736" t="str">
            <v>FTW102K</v>
          </cell>
          <cell r="E3736">
            <v>46228</v>
          </cell>
        </row>
        <row r="3737">
          <cell r="A3737" t="str">
            <v>2628HP67</v>
          </cell>
          <cell r="D3737" t="str">
            <v>KBP74</v>
          </cell>
          <cell r="E3737">
            <v>46228</v>
          </cell>
        </row>
        <row r="3738">
          <cell r="A3738" t="str">
            <v>2628OX47</v>
          </cell>
          <cell r="D3738" t="str">
            <v>S706</v>
          </cell>
          <cell r="E3738">
            <v>46228</v>
          </cell>
        </row>
        <row r="3739">
          <cell r="A3739" t="str">
            <v>2627DO57</v>
          </cell>
          <cell r="D3739" t="str">
            <v>FTW121KR</v>
          </cell>
          <cell r="E3739">
            <v>46228</v>
          </cell>
        </row>
        <row r="3740">
          <cell r="A3740" t="str">
            <v>2626SH57</v>
          </cell>
          <cell r="D3740" t="str">
            <v>FTW503</v>
          </cell>
          <cell r="E3740">
            <v>46228</v>
          </cell>
        </row>
        <row r="3741">
          <cell r="A3741" t="str">
            <v>2627FM67</v>
          </cell>
          <cell r="D3741" t="str">
            <v>FTW121KR</v>
          </cell>
          <cell r="E3741">
            <v>46228</v>
          </cell>
        </row>
        <row r="3742">
          <cell r="A3742" t="str">
            <v>2627H167</v>
          </cell>
          <cell r="D3742" t="str">
            <v>FTW121KR</v>
          </cell>
          <cell r="E3742">
            <v>46228</v>
          </cell>
        </row>
        <row r="3743">
          <cell r="A3743" t="str">
            <v>2629P917</v>
          </cell>
          <cell r="D3743" t="str">
            <v>KBP76</v>
          </cell>
          <cell r="E3743">
            <v>46228</v>
          </cell>
        </row>
        <row r="3744">
          <cell r="A3744" t="str">
            <v>2628H667</v>
          </cell>
          <cell r="D3744" t="str">
            <v>KBP76</v>
          </cell>
          <cell r="E3744">
            <v>46228</v>
          </cell>
        </row>
        <row r="3745">
          <cell r="A3745" t="str">
            <v>2625VL57</v>
          </cell>
          <cell r="D3745" t="str">
            <v>S15MB</v>
          </cell>
          <cell r="E3745">
            <v>46228</v>
          </cell>
        </row>
        <row r="3746">
          <cell r="A3746" t="str">
            <v>2625KH37</v>
          </cell>
          <cell r="D3746" t="str">
            <v>S706</v>
          </cell>
          <cell r="E3746">
            <v>46228</v>
          </cell>
        </row>
        <row r="3747">
          <cell r="A3747" t="str">
            <v>2628W617</v>
          </cell>
          <cell r="D3747" t="str">
            <v>S706</v>
          </cell>
          <cell r="E3747">
            <v>46228</v>
          </cell>
        </row>
        <row r="3748">
          <cell r="A3748" t="str">
            <v>2620OQ37</v>
          </cell>
          <cell r="D3748" t="str">
            <v>KBP52</v>
          </cell>
          <cell r="E3748">
            <v>46228</v>
          </cell>
        </row>
        <row r="3749">
          <cell r="A3749" t="str">
            <v>2628IT27</v>
          </cell>
          <cell r="D3749" t="str">
            <v>FTW121KR</v>
          </cell>
          <cell r="E3749">
            <v>46228</v>
          </cell>
        </row>
        <row r="3750">
          <cell r="A3750" t="str">
            <v>2610ZC27</v>
          </cell>
          <cell r="D3750" t="str">
            <v>S706</v>
          </cell>
          <cell r="E3750">
            <v>46228</v>
          </cell>
        </row>
        <row r="3751">
          <cell r="A3751" t="str">
            <v>2628P747</v>
          </cell>
          <cell r="D3751" t="str">
            <v>S706</v>
          </cell>
          <cell r="E3751">
            <v>46228</v>
          </cell>
        </row>
        <row r="3752">
          <cell r="A3752" t="str">
            <v>2627QY27</v>
          </cell>
          <cell r="D3752" t="str">
            <v>FTW121KR</v>
          </cell>
          <cell r="E3752">
            <v>46228</v>
          </cell>
        </row>
        <row r="3753">
          <cell r="A3753" t="str">
            <v>2625O147</v>
          </cell>
          <cell r="D3753" t="str">
            <v>TTS50</v>
          </cell>
          <cell r="E3753">
            <v>46228</v>
          </cell>
        </row>
        <row r="3754">
          <cell r="A3754" t="str">
            <v>2628U617</v>
          </cell>
          <cell r="D3754" t="str">
            <v>KBP86</v>
          </cell>
          <cell r="E3754">
            <v>46228</v>
          </cell>
        </row>
        <row r="3755">
          <cell r="A3755" t="str">
            <v>2628QO17</v>
          </cell>
          <cell r="D3755" t="str">
            <v>FTW102K</v>
          </cell>
          <cell r="E3755">
            <v>46228</v>
          </cell>
        </row>
        <row r="3756">
          <cell r="A3756" t="str">
            <v>2628J427</v>
          </cell>
          <cell r="D3756" t="str">
            <v>FTW121KR</v>
          </cell>
          <cell r="E3756">
            <v>46228</v>
          </cell>
        </row>
        <row r="3757">
          <cell r="A3757" t="str">
            <v>2628GC57</v>
          </cell>
          <cell r="D3757" t="str">
            <v>FTP200</v>
          </cell>
          <cell r="E3757">
            <v>46228</v>
          </cell>
        </row>
        <row r="3758">
          <cell r="A3758" t="str">
            <v>2627PI27</v>
          </cell>
          <cell r="D3758" t="str">
            <v>FTW503</v>
          </cell>
          <cell r="E3758">
            <v>46228</v>
          </cell>
        </row>
        <row r="3759">
          <cell r="A3759" t="str">
            <v>2626CF27</v>
          </cell>
          <cell r="D3759" t="str">
            <v>S15MB</v>
          </cell>
          <cell r="E3759">
            <v>46228</v>
          </cell>
        </row>
        <row r="3760">
          <cell r="A3760" t="str">
            <v>2627L747</v>
          </cell>
          <cell r="D3760" t="str">
            <v>KBP76</v>
          </cell>
          <cell r="E3760">
            <v>46228</v>
          </cell>
        </row>
        <row r="3761">
          <cell r="A3761" t="str">
            <v>2627QV67</v>
          </cell>
          <cell r="D3761" t="str">
            <v>TTS80</v>
          </cell>
          <cell r="E3761">
            <v>46228</v>
          </cell>
        </row>
        <row r="3762">
          <cell r="A3762" t="str">
            <v>2627QD67</v>
          </cell>
          <cell r="D3762" t="str">
            <v>TTS80</v>
          </cell>
          <cell r="E3762">
            <v>46228</v>
          </cell>
        </row>
        <row r="3763">
          <cell r="A3763" t="str">
            <v>2626PL57</v>
          </cell>
          <cell r="D3763" t="str">
            <v>KBP126</v>
          </cell>
          <cell r="E3763">
            <v>46228</v>
          </cell>
        </row>
        <row r="3764">
          <cell r="A3764" t="str">
            <v>2628LU47</v>
          </cell>
          <cell r="D3764" t="str">
            <v>FTP200</v>
          </cell>
          <cell r="E3764">
            <v>46228</v>
          </cell>
        </row>
        <row r="3765">
          <cell r="A3765" t="str">
            <v>2629P817</v>
          </cell>
          <cell r="D3765" t="str">
            <v>KBP76</v>
          </cell>
          <cell r="E3765">
            <v>46228</v>
          </cell>
        </row>
        <row r="3766">
          <cell r="A3766" t="str">
            <v>2628DS57</v>
          </cell>
          <cell r="D3766" t="str">
            <v>FTP150</v>
          </cell>
          <cell r="E3766">
            <v>46228</v>
          </cell>
        </row>
        <row r="3767">
          <cell r="A3767" t="str">
            <v>2627IH47</v>
          </cell>
          <cell r="D3767" t="str">
            <v>FTW121KR</v>
          </cell>
          <cell r="E3767">
            <v>46228</v>
          </cell>
        </row>
        <row r="3768">
          <cell r="A3768" t="str">
            <v>2627VM17</v>
          </cell>
          <cell r="D3768" t="str">
            <v>STA156KA</v>
          </cell>
          <cell r="E3768">
            <v>46228</v>
          </cell>
        </row>
        <row r="3769">
          <cell r="A3769" t="str">
            <v>2627LT37</v>
          </cell>
          <cell r="D3769" t="str">
            <v>FTW503</v>
          </cell>
          <cell r="E3769">
            <v>46228</v>
          </cell>
        </row>
        <row r="3770">
          <cell r="A3770" t="str">
            <v>2625J117</v>
          </cell>
          <cell r="D3770" t="str">
            <v>S805</v>
          </cell>
          <cell r="E3770">
            <v>46228</v>
          </cell>
        </row>
        <row r="3771">
          <cell r="A3771" t="str">
            <v>2628SR17</v>
          </cell>
          <cell r="D3771" t="str">
            <v>FTW121KR</v>
          </cell>
          <cell r="E3771">
            <v>46228</v>
          </cell>
        </row>
        <row r="3772">
          <cell r="A3772" t="str">
            <v>2624EK37</v>
          </cell>
          <cell r="D3772" t="str">
            <v>KBP86</v>
          </cell>
          <cell r="E3772">
            <v>46228</v>
          </cell>
        </row>
        <row r="3773">
          <cell r="A3773" t="str">
            <v>2627IK67</v>
          </cell>
          <cell r="D3773" t="str">
            <v>S706</v>
          </cell>
          <cell r="E3773">
            <v>46228</v>
          </cell>
        </row>
        <row r="3774">
          <cell r="A3774" t="str">
            <v>2628PX17</v>
          </cell>
          <cell r="D3774" t="str">
            <v>TTS50</v>
          </cell>
          <cell r="E3774">
            <v>46228</v>
          </cell>
        </row>
        <row r="3775">
          <cell r="A3775" t="str">
            <v>2628G857</v>
          </cell>
          <cell r="D3775" t="str">
            <v>KBP86</v>
          </cell>
          <cell r="E3775">
            <v>46228</v>
          </cell>
        </row>
        <row r="3776">
          <cell r="A3776" t="str">
            <v>2627Q167</v>
          </cell>
          <cell r="D3776" t="str">
            <v>KBP55</v>
          </cell>
          <cell r="E3776">
            <v>46228</v>
          </cell>
        </row>
        <row r="3777">
          <cell r="A3777" t="str">
            <v>2627L317</v>
          </cell>
          <cell r="D3777" t="str">
            <v>FTW503</v>
          </cell>
          <cell r="E3777">
            <v>46228</v>
          </cell>
        </row>
        <row r="3778">
          <cell r="A3778" t="str">
            <v>2628SO27</v>
          </cell>
          <cell r="D3778" t="str">
            <v>TTS80</v>
          </cell>
          <cell r="E3778">
            <v>46228</v>
          </cell>
        </row>
        <row r="3779">
          <cell r="A3779" t="str">
            <v>2627FX37</v>
          </cell>
          <cell r="D3779" t="str">
            <v>S15MB</v>
          </cell>
          <cell r="E3779">
            <v>46228</v>
          </cell>
        </row>
        <row r="3780">
          <cell r="A3780" t="str">
            <v>2624EC27</v>
          </cell>
          <cell r="D3780" t="str">
            <v>KBP86</v>
          </cell>
          <cell r="E3780">
            <v>46228</v>
          </cell>
        </row>
        <row r="3781">
          <cell r="A3781" t="str">
            <v>2628PG37</v>
          </cell>
          <cell r="D3781" t="str">
            <v>KBP76</v>
          </cell>
          <cell r="E3781">
            <v>46228</v>
          </cell>
        </row>
        <row r="3782">
          <cell r="A3782" t="str">
            <v>2628LX37</v>
          </cell>
          <cell r="D3782" t="str">
            <v>KBP86</v>
          </cell>
          <cell r="E3782">
            <v>46228</v>
          </cell>
        </row>
        <row r="3783">
          <cell r="A3783" t="str">
            <v>2625SM57</v>
          </cell>
          <cell r="D3783" t="str">
            <v>KBP86</v>
          </cell>
          <cell r="E3783">
            <v>46228</v>
          </cell>
        </row>
        <row r="3784">
          <cell r="A3784" t="str">
            <v>2628OU17</v>
          </cell>
          <cell r="D3784" t="str">
            <v>KBP86</v>
          </cell>
          <cell r="E3784">
            <v>46228</v>
          </cell>
        </row>
        <row r="3785">
          <cell r="A3785" t="str">
            <v>2629P417</v>
          </cell>
          <cell r="D3785" t="str">
            <v>KBP76</v>
          </cell>
          <cell r="E3785">
            <v>46228</v>
          </cell>
        </row>
        <row r="3786">
          <cell r="A3786" t="str">
            <v>2628PY47</v>
          </cell>
          <cell r="D3786" t="str">
            <v>TTS80</v>
          </cell>
          <cell r="E3786">
            <v>46228</v>
          </cell>
        </row>
        <row r="3787">
          <cell r="A3787" t="str">
            <v>2625Q557</v>
          </cell>
          <cell r="D3787" t="str">
            <v>FTW503</v>
          </cell>
          <cell r="E3787">
            <v>46228</v>
          </cell>
        </row>
        <row r="3788">
          <cell r="A3788" t="str">
            <v>2625HW57</v>
          </cell>
          <cell r="D3788" t="str">
            <v>KBP76</v>
          </cell>
          <cell r="E3788">
            <v>46228</v>
          </cell>
        </row>
        <row r="3789">
          <cell r="A3789" t="str">
            <v>2628LS47</v>
          </cell>
          <cell r="D3789" t="str">
            <v>FTP200</v>
          </cell>
          <cell r="E3789">
            <v>46228</v>
          </cell>
        </row>
        <row r="3790">
          <cell r="A3790" t="str">
            <v>2627ZJ67</v>
          </cell>
          <cell r="D3790" t="str">
            <v>FTW503</v>
          </cell>
          <cell r="E3790">
            <v>46228</v>
          </cell>
        </row>
        <row r="3791">
          <cell r="A3791" t="str">
            <v>2628V317</v>
          </cell>
          <cell r="D3791" t="str">
            <v>TTS80</v>
          </cell>
          <cell r="E3791">
            <v>46228</v>
          </cell>
        </row>
        <row r="3792">
          <cell r="A3792" t="str">
            <v>2628VD17</v>
          </cell>
          <cell r="D3792" t="str">
            <v>S805</v>
          </cell>
          <cell r="E3792">
            <v>46228</v>
          </cell>
        </row>
        <row r="3793">
          <cell r="A3793" t="str">
            <v>2628VE17</v>
          </cell>
          <cell r="D3793" t="str">
            <v>S805</v>
          </cell>
          <cell r="E3793">
            <v>46228</v>
          </cell>
        </row>
        <row r="3794">
          <cell r="A3794" t="str">
            <v>2627LI37</v>
          </cell>
          <cell r="D3794" t="str">
            <v>FTW503</v>
          </cell>
          <cell r="E3794">
            <v>46227</v>
          </cell>
        </row>
        <row r="3795">
          <cell r="A3795" t="str">
            <v>2628HJ47</v>
          </cell>
          <cell r="D3795" t="str">
            <v>FTP150</v>
          </cell>
          <cell r="E3795">
            <v>46227</v>
          </cell>
        </row>
        <row r="3796">
          <cell r="A3796" t="str">
            <v>2626LL17</v>
          </cell>
          <cell r="D3796" t="str">
            <v>S706</v>
          </cell>
          <cell r="E3796">
            <v>46227</v>
          </cell>
        </row>
        <row r="3797">
          <cell r="A3797" t="str">
            <v>2623CB27</v>
          </cell>
          <cell r="D3797" t="str">
            <v>KBP86F</v>
          </cell>
          <cell r="E3797">
            <v>46227</v>
          </cell>
        </row>
        <row r="3798">
          <cell r="A3798" t="str">
            <v>2627U537</v>
          </cell>
          <cell r="D3798" t="str">
            <v>KBP76</v>
          </cell>
          <cell r="E3798">
            <v>46227</v>
          </cell>
        </row>
        <row r="3799">
          <cell r="A3799" t="str">
            <v>2629QT17</v>
          </cell>
          <cell r="D3799" t="str">
            <v>TTS80</v>
          </cell>
          <cell r="E3799">
            <v>46227</v>
          </cell>
        </row>
        <row r="3800">
          <cell r="A3800" t="str">
            <v>2627AD27</v>
          </cell>
          <cell r="D3800" t="str">
            <v>S805</v>
          </cell>
          <cell r="E3800">
            <v>46227</v>
          </cell>
        </row>
        <row r="3801">
          <cell r="A3801" t="str">
            <v>2543Z227</v>
          </cell>
          <cell r="D3801" t="str">
            <v>STA156KR</v>
          </cell>
          <cell r="E3801">
            <v>46227</v>
          </cell>
        </row>
        <row r="3802">
          <cell r="A3802" t="str">
            <v>2628B317</v>
          </cell>
          <cell r="D3802" t="str">
            <v>KBP126</v>
          </cell>
          <cell r="E3802">
            <v>46227</v>
          </cell>
        </row>
        <row r="3803">
          <cell r="A3803" t="str">
            <v>2543Z427</v>
          </cell>
          <cell r="D3803" t="str">
            <v>STA156KR</v>
          </cell>
          <cell r="E3803">
            <v>46227</v>
          </cell>
        </row>
        <row r="3804">
          <cell r="A3804" t="str">
            <v>2625XQ57</v>
          </cell>
          <cell r="D3804" t="str">
            <v>KBP86</v>
          </cell>
          <cell r="E3804">
            <v>46227</v>
          </cell>
        </row>
        <row r="3805">
          <cell r="A3805" t="str">
            <v>2628GU57</v>
          </cell>
          <cell r="D3805" t="str">
            <v>TTS80</v>
          </cell>
          <cell r="E3805">
            <v>46227</v>
          </cell>
        </row>
        <row r="3806">
          <cell r="A3806" t="str">
            <v>2627OW67</v>
          </cell>
          <cell r="D3806" t="str">
            <v>KBP76</v>
          </cell>
          <cell r="E3806">
            <v>46227</v>
          </cell>
        </row>
        <row r="3807">
          <cell r="A3807" t="str">
            <v>2629QK17</v>
          </cell>
          <cell r="D3807" t="str">
            <v>TTS80</v>
          </cell>
          <cell r="E3807">
            <v>46227</v>
          </cell>
        </row>
        <row r="3808">
          <cell r="A3808" t="str">
            <v>2628J747</v>
          </cell>
          <cell r="D3808" t="str">
            <v>FTW700</v>
          </cell>
          <cell r="E3808">
            <v>46227</v>
          </cell>
        </row>
        <row r="3809">
          <cell r="A3809" t="str">
            <v>2543Z327</v>
          </cell>
          <cell r="D3809" t="str">
            <v>STA156KR</v>
          </cell>
          <cell r="E3809">
            <v>46227</v>
          </cell>
        </row>
        <row r="3810">
          <cell r="A3810" t="str">
            <v>2627QZ67</v>
          </cell>
          <cell r="D3810" t="str">
            <v>TTS80</v>
          </cell>
          <cell r="E3810">
            <v>46227</v>
          </cell>
        </row>
        <row r="3811">
          <cell r="A3811" t="str">
            <v>2629QU17</v>
          </cell>
          <cell r="D3811" t="str">
            <v>TTS80</v>
          </cell>
          <cell r="E3811">
            <v>46227</v>
          </cell>
        </row>
        <row r="3812">
          <cell r="A3812" t="str">
            <v>2627YC47</v>
          </cell>
          <cell r="D3812" t="str">
            <v>FTW503</v>
          </cell>
          <cell r="E3812">
            <v>46227</v>
          </cell>
        </row>
        <row r="3813">
          <cell r="A3813" t="str">
            <v>2624ZG47</v>
          </cell>
          <cell r="D3813" t="str">
            <v>TTS80</v>
          </cell>
          <cell r="E3813">
            <v>46227</v>
          </cell>
        </row>
        <row r="3814">
          <cell r="A3814" t="str">
            <v>2625LD37</v>
          </cell>
          <cell r="D3814" t="str">
            <v>KBP74</v>
          </cell>
          <cell r="E3814">
            <v>46227</v>
          </cell>
        </row>
        <row r="3815">
          <cell r="A3815" t="str">
            <v>2627QY67</v>
          </cell>
          <cell r="D3815" t="str">
            <v>TTS80</v>
          </cell>
          <cell r="E3815">
            <v>46227</v>
          </cell>
        </row>
        <row r="3816">
          <cell r="A3816" t="str">
            <v>2628H657</v>
          </cell>
          <cell r="D3816" t="str">
            <v>S706</v>
          </cell>
          <cell r="E3816">
            <v>46227</v>
          </cell>
        </row>
        <row r="3817">
          <cell r="A3817" t="str">
            <v>2628X517</v>
          </cell>
          <cell r="D3817" t="str">
            <v>TTS50</v>
          </cell>
          <cell r="E3817">
            <v>46227</v>
          </cell>
        </row>
        <row r="3818">
          <cell r="A3818" t="str">
            <v>2627EO67</v>
          </cell>
          <cell r="D3818" t="str">
            <v>FTW102K</v>
          </cell>
          <cell r="E3818">
            <v>46227</v>
          </cell>
        </row>
        <row r="3819">
          <cell r="A3819" t="str">
            <v>2628S127</v>
          </cell>
          <cell r="D3819" t="str">
            <v>KBP76</v>
          </cell>
          <cell r="E3819">
            <v>46227</v>
          </cell>
        </row>
        <row r="3820">
          <cell r="A3820" t="str">
            <v>2625SV57</v>
          </cell>
          <cell r="D3820" t="str">
            <v>KBP86</v>
          </cell>
          <cell r="E3820">
            <v>46227</v>
          </cell>
        </row>
        <row r="3821">
          <cell r="A3821" t="str">
            <v>2628PH37</v>
          </cell>
          <cell r="D3821" t="str">
            <v>KBP76</v>
          </cell>
          <cell r="E3821">
            <v>46227</v>
          </cell>
        </row>
        <row r="3822">
          <cell r="A3822" t="str">
            <v>2628LD47</v>
          </cell>
          <cell r="D3822" t="str">
            <v>TTS50</v>
          </cell>
          <cell r="E3822">
            <v>46227</v>
          </cell>
        </row>
        <row r="3823">
          <cell r="A3823" t="str">
            <v>2625I337</v>
          </cell>
          <cell r="D3823" t="str">
            <v>KBP86</v>
          </cell>
          <cell r="E3823">
            <v>46227</v>
          </cell>
        </row>
        <row r="3824">
          <cell r="A3824" t="str">
            <v>2628VT17</v>
          </cell>
          <cell r="D3824" t="str">
            <v>S706</v>
          </cell>
          <cell r="E3824">
            <v>46227</v>
          </cell>
        </row>
        <row r="3825">
          <cell r="A3825" t="str">
            <v>2628Q337</v>
          </cell>
          <cell r="D3825" t="str">
            <v>TTS80</v>
          </cell>
          <cell r="E3825">
            <v>46227</v>
          </cell>
        </row>
        <row r="3826">
          <cell r="A3826" t="str">
            <v>2627IY67</v>
          </cell>
          <cell r="D3826" t="str">
            <v>S706</v>
          </cell>
          <cell r="E3826">
            <v>46227</v>
          </cell>
        </row>
        <row r="3827">
          <cell r="A3827" t="str">
            <v>2626OB47</v>
          </cell>
          <cell r="D3827" t="str">
            <v>KBP86</v>
          </cell>
          <cell r="E3827">
            <v>46227</v>
          </cell>
        </row>
        <row r="3828">
          <cell r="A3828" t="str">
            <v>2627QO67</v>
          </cell>
          <cell r="D3828" t="str">
            <v>TTS80</v>
          </cell>
          <cell r="E3828">
            <v>46227</v>
          </cell>
        </row>
        <row r="3829">
          <cell r="A3829" t="str">
            <v>2628OW17</v>
          </cell>
          <cell r="D3829" t="str">
            <v>KBP76</v>
          </cell>
          <cell r="E3829">
            <v>46227</v>
          </cell>
        </row>
        <row r="3830">
          <cell r="A3830" t="str">
            <v>2627GD67</v>
          </cell>
          <cell r="D3830" t="str">
            <v>FTW121KR</v>
          </cell>
          <cell r="E3830">
            <v>46227</v>
          </cell>
        </row>
        <row r="3831">
          <cell r="A3831" t="str">
            <v>2627VD27</v>
          </cell>
          <cell r="D3831" t="str">
            <v>KBP76</v>
          </cell>
          <cell r="E3831">
            <v>46227</v>
          </cell>
        </row>
        <row r="3832">
          <cell r="A3832" t="str">
            <v>2626KL17</v>
          </cell>
          <cell r="D3832" t="str">
            <v>KBP86</v>
          </cell>
          <cell r="E3832">
            <v>46227</v>
          </cell>
        </row>
        <row r="3833">
          <cell r="A3833" t="str">
            <v>2627IL67</v>
          </cell>
          <cell r="D3833" t="str">
            <v>S706</v>
          </cell>
          <cell r="E3833">
            <v>46227</v>
          </cell>
        </row>
        <row r="3834">
          <cell r="A3834" t="str">
            <v>2628VM17</v>
          </cell>
          <cell r="D3834" t="str">
            <v>S706</v>
          </cell>
          <cell r="E3834">
            <v>46227</v>
          </cell>
        </row>
        <row r="3835">
          <cell r="A3835" t="str">
            <v>2627Q347</v>
          </cell>
          <cell r="D3835" t="str">
            <v>KBP126</v>
          </cell>
          <cell r="E3835">
            <v>46227</v>
          </cell>
        </row>
        <row r="3836">
          <cell r="A3836" t="str">
            <v>2627P527</v>
          </cell>
          <cell r="D3836" t="str">
            <v>FTW503</v>
          </cell>
          <cell r="E3836">
            <v>46227</v>
          </cell>
        </row>
        <row r="3837">
          <cell r="A3837" t="str">
            <v>2627PR27</v>
          </cell>
          <cell r="D3837" t="str">
            <v>FTW503</v>
          </cell>
          <cell r="E3837">
            <v>46227</v>
          </cell>
        </row>
        <row r="3838">
          <cell r="A3838" t="str">
            <v>2626LY37</v>
          </cell>
          <cell r="D3838" t="str">
            <v>KBP86</v>
          </cell>
          <cell r="E3838">
            <v>46227</v>
          </cell>
        </row>
        <row r="3839">
          <cell r="A3839" t="str">
            <v>2627ZE57</v>
          </cell>
          <cell r="D3839" t="str">
            <v>FTW503</v>
          </cell>
          <cell r="E3839">
            <v>46227</v>
          </cell>
        </row>
        <row r="3840">
          <cell r="A3840" t="str">
            <v>2628OV47</v>
          </cell>
          <cell r="D3840" t="str">
            <v>S706</v>
          </cell>
          <cell r="E3840">
            <v>46227</v>
          </cell>
        </row>
        <row r="3841">
          <cell r="A3841" t="str">
            <v>2624ZA57</v>
          </cell>
          <cell r="D3841" t="str">
            <v>KBP76</v>
          </cell>
          <cell r="E3841">
            <v>46227</v>
          </cell>
        </row>
        <row r="3842">
          <cell r="A3842" t="str">
            <v>2625I637</v>
          </cell>
          <cell r="D3842" t="str">
            <v>KBP86</v>
          </cell>
          <cell r="E3842">
            <v>46227</v>
          </cell>
        </row>
        <row r="3843">
          <cell r="A3843" t="str">
            <v>2627G367</v>
          </cell>
          <cell r="D3843" t="str">
            <v>FTW121KR</v>
          </cell>
          <cell r="E3843">
            <v>46227</v>
          </cell>
        </row>
        <row r="3844">
          <cell r="A3844" t="str">
            <v>2628FR67</v>
          </cell>
          <cell r="D3844" t="str">
            <v>FTP200</v>
          </cell>
          <cell r="E3844">
            <v>46227</v>
          </cell>
        </row>
        <row r="3845">
          <cell r="A3845" t="str">
            <v>2628QZ17</v>
          </cell>
          <cell r="D3845" t="str">
            <v>FTW121KR</v>
          </cell>
          <cell r="E3845">
            <v>46227</v>
          </cell>
        </row>
        <row r="3846">
          <cell r="A3846" t="str">
            <v>2627EF57</v>
          </cell>
          <cell r="D3846" t="str">
            <v>FTP200</v>
          </cell>
          <cell r="E3846">
            <v>46227</v>
          </cell>
        </row>
        <row r="3847">
          <cell r="A3847" t="str">
            <v>2627JY17</v>
          </cell>
          <cell r="D3847" t="str">
            <v>S15MB</v>
          </cell>
          <cell r="E3847">
            <v>46227</v>
          </cell>
        </row>
        <row r="3848">
          <cell r="A3848" t="str">
            <v>2626OI27</v>
          </cell>
          <cell r="D3848" t="str">
            <v>S706</v>
          </cell>
          <cell r="E3848">
            <v>46227</v>
          </cell>
        </row>
        <row r="3849">
          <cell r="A3849" t="str">
            <v>2627L167</v>
          </cell>
          <cell r="D3849" t="str">
            <v>TTS50</v>
          </cell>
          <cell r="E3849">
            <v>46227</v>
          </cell>
        </row>
        <row r="3850">
          <cell r="A3850" t="str">
            <v>2628WW17</v>
          </cell>
          <cell r="D3850" t="str">
            <v>KBP55</v>
          </cell>
          <cell r="E3850">
            <v>46227</v>
          </cell>
        </row>
        <row r="3851">
          <cell r="A3851" t="str">
            <v>2627KG17</v>
          </cell>
          <cell r="D3851" t="str">
            <v>KBP86</v>
          </cell>
          <cell r="E3851">
            <v>46227</v>
          </cell>
        </row>
        <row r="3852">
          <cell r="A3852" t="str">
            <v>2627XJ57</v>
          </cell>
          <cell r="D3852" t="str">
            <v>KBP76</v>
          </cell>
          <cell r="E3852">
            <v>46227</v>
          </cell>
        </row>
        <row r="3853">
          <cell r="A3853" t="str">
            <v>2627DW57</v>
          </cell>
          <cell r="D3853" t="str">
            <v>FTW121KR</v>
          </cell>
          <cell r="E3853">
            <v>46227</v>
          </cell>
        </row>
        <row r="3854">
          <cell r="A3854" t="str">
            <v>2627SY67</v>
          </cell>
          <cell r="D3854" t="str">
            <v>KBP86</v>
          </cell>
          <cell r="E3854">
            <v>46227</v>
          </cell>
        </row>
        <row r="3855">
          <cell r="A3855" t="str">
            <v>2615HV27</v>
          </cell>
          <cell r="D3855" t="str">
            <v>STA156KA</v>
          </cell>
          <cell r="E3855">
            <v>46227</v>
          </cell>
        </row>
        <row r="3856">
          <cell r="A3856" t="str">
            <v>2627GE67</v>
          </cell>
          <cell r="D3856" t="str">
            <v>FTW121KR</v>
          </cell>
          <cell r="E3856">
            <v>46227</v>
          </cell>
        </row>
        <row r="3857">
          <cell r="A3857" t="str">
            <v>2628UL17</v>
          </cell>
          <cell r="D3857" t="str">
            <v>KBP52</v>
          </cell>
          <cell r="E3857">
            <v>46227</v>
          </cell>
        </row>
        <row r="3858">
          <cell r="A3858" t="str">
            <v>2627QS67</v>
          </cell>
          <cell r="D3858" t="str">
            <v>TTS80</v>
          </cell>
          <cell r="E3858">
            <v>46227</v>
          </cell>
        </row>
        <row r="3859">
          <cell r="A3859" t="str">
            <v>2625SK57</v>
          </cell>
          <cell r="D3859" t="str">
            <v>KBP86</v>
          </cell>
          <cell r="E3859">
            <v>46227</v>
          </cell>
        </row>
        <row r="3860">
          <cell r="A3860" t="str">
            <v>2627DQ57</v>
          </cell>
          <cell r="D3860" t="str">
            <v>FTW121KR</v>
          </cell>
          <cell r="E3860">
            <v>46227</v>
          </cell>
        </row>
        <row r="3861">
          <cell r="A3861" t="str">
            <v>2628XF17</v>
          </cell>
          <cell r="D3861" t="str">
            <v>TTS80</v>
          </cell>
          <cell r="E3861">
            <v>46227</v>
          </cell>
        </row>
        <row r="3862">
          <cell r="A3862" t="str">
            <v>2626OA47</v>
          </cell>
          <cell r="D3862" t="str">
            <v>KBP86</v>
          </cell>
          <cell r="E3862">
            <v>46227</v>
          </cell>
        </row>
        <row r="3863">
          <cell r="A3863" t="str">
            <v>2627QF67</v>
          </cell>
          <cell r="D3863" t="str">
            <v>TTS80</v>
          </cell>
          <cell r="E3863">
            <v>46227</v>
          </cell>
        </row>
        <row r="3864">
          <cell r="A3864" t="str">
            <v>2627ON67</v>
          </cell>
          <cell r="D3864" t="str">
            <v>KBP76</v>
          </cell>
          <cell r="E3864">
            <v>46227</v>
          </cell>
        </row>
        <row r="3865">
          <cell r="A3865" t="str">
            <v>2627LL37</v>
          </cell>
          <cell r="D3865" t="str">
            <v>FTW503</v>
          </cell>
          <cell r="E3865">
            <v>46227</v>
          </cell>
        </row>
        <row r="3866">
          <cell r="A3866" t="str">
            <v>2627QI47</v>
          </cell>
          <cell r="D3866" t="str">
            <v>TTS80</v>
          </cell>
          <cell r="E3866">
            <v>46227</v>
          </cell>
        </row>
        <row r="3867">
          <cell r="A3867" t="str">
            <v>2628LI47</v>
          </cell>
          <cell r="D3867" t="str">
            <v>TTS50</v>
          </cell>
          <cell r="E3867">
            <v>46227</v>
          </cell>
        </row>
        <row r="3868">
          <cell r="A3868" t="str">
            <v>2628OR37</v>
          </cell>
          <cell r="D3868" t="str">
            <v>KBP34</v>
          </cell>
          <cell r="E3868">
            <v>46227</v>
          </cell>
        </row>
        <row r="3869">
          <cell r="A3869" t="str">
            <v>2627HK47</v>
          </cell>
          <cell r="D3869" t="str">
            <v>FTW121KR</v>
          </cell>
          <cell r="E3869">
            <v>46227</v>
          </cell>
        </row>
        <row r="3870">
          <cell r="A3870" t="str">
            <v>2625KF47</v>
          </cell>
          <cell r="D3870" t="str">
            <v>S706</v>
          </cell>
          <cell r="E3870">
            <v>46227</v>
          </cell>
        </row>
        <row r="3871">
          <cell r="A3871" t="str">
            <v>2627HI47</v>
          </cell>
          <cell r="D3871" t="str">
            <v>FTW121KR</v>
          </cell>
          <cell r="E3871">
            <v>46227</v>
          </cell>
        </row>
        <row r="3872">
          <cell r="A3872" t="str">
            <v>2627LF17</v>
          </cell>
          <cell r="D3872" t="str">
            <v>FTW503</v>
          </cell>
          <cell r="E3872">
            <v>46227</v>
          </cell>
        </row>
        <row r="3873">
          <cell r="A3873" t="str">
            <v>2627PX17</v>
          </cell>
          <cell r="D3873" t="str">
            <v>FTW121KR</v>
          </cell>
          <cell r="E3873">
            <v>46227</v>
          </cell>
        </row>
        <row r="3874">
          <cell r="A3874" t="str">
            <v>2628DE67</v>
          </cell>
          <cell r="D3874" t="str">
            <v>FTP150</v>
          </cell>
          <cell r="E3874">
            <v>46227</v>
          </cell>
        </row>
        <row r="3875">
          <cell r="A3875" t="str">
            <v>2626SZ47</v>
          </cell>
          <cell r="D3875" t="str">
            <v>KBP55</v>
          </cell>
          <cell r="E3875">
            <v>46227</v>
          </cell>
        </row>
        <row r="3876">
          <cell r="A3876" t="str">
            <v>2627PL27</v>
          </cell>
          <cell r="D3876" t="str">
            <v>FTW503</v>
          </cell>
          <cell r="E3876">
            <v>46227</v>
          </cell>
        </row>
        <row r="3877">
          <cell r="A3877" t="str">
            <v>2625JS47</v>
          </cell>
          <cell r="D3877" t="str">
            <v>KBP86</v>
          </cell>
          <cell r="E3877">
            <v>46227</v>
          </cell>
        </row>
        <row r="3878">
          <cell r="A3878" t="str">
            <v>2627KZ67</v>
          </cell>
          <cell r="D3878" t="str">
            <v>TTS50</v>
          </cell>
          <cell r="E3878">
            <v>46227</v>
          </cell>
        </row>
        <row r="3879">
          <cell r="A3879" t="str">
            <v>2628UO17</v>
          </cell>
          <cell r="D3879" t="str">
            <v>KBP52</v>
          </cell>
          <cell r="E3879">
            <v>46227</v>
          </cell>
        </row>
        <row r="3880">
          <cell r="A3880" t="str">
            <v>2628LE47</v>
          </cell>
          <cell r="D3880" t="str">
            <v>TTS50</v>
          </cell>
          <cell r="E3880">
            <v>46227</v>
          </cell>
        </row>
        <row r="3881">
          <cell r="A3881" t="str">
            <v>2628I527</v>
          </cell>
          <cell r="D3881" t="str">
            <v>FTW102K</v>
          </cell>
          <cell r="E3881">
            <v>46227</v>
          </cell>
        </row>
        <row r="3882">
          <cell r="A3882" t="str">
            <v>2623B167</v>
          </cell>
          <cell r="D3882" t="str">
            <v>KBP86</v>
          </cell>
          <cell r="E3882">
            <v>46227</v>
          </cell>
        </row>
        <row r="3883">
          <cell r="A3883" t="str">
            <v>2625KS57</v>
          </cell>
          <cell r="D3883" t="str">
            <v>S706</v>
          </cell>
          <cell r="E3883">
            <v>46227</v>
          </cell>
        </row>
        <row r="3884">
          <cell r="A3884" t="str">
            <v>2627J367</v>
          </cell>
          <cell r="D3884" t="str">
            <v>S706</v>
          </cell>
          <cell r="E3884">
            <v>46227</v>
          </cell>
        </row>
        <row r="3885">
          <cell r="A3885" t="str">
            <v>2628W717</v>
          </cell>
          <cell r="D3885" t="str">
            <v>S706</v>
          </cell>
          <cell r="E3885">
            <v>46227</v>
          </cell>
        </row>
        <row r="3886">
          <cell r="A3886" t="str">
            <v>2628QD17</v>
          </cell>
          <cell r="D3886" t="str">
            <v>TTS50</v>
          </cell>
          <cell r="E3886">
            <v>46227</v>
          </cell>
        </row>
        <row r="3887">
          <cell r="A3887" t="str">
            <v>2627EJ67</v>
          </cell>
          <cell r="D3887" t="str">
            <v>FTW102K</v>
          </cell>
          <cell r="E3887">
            <v>46227</v>
          </cell>
        </row>
        <row r="3888">
          <cell r="A3888" t="str">
            <v>2628DK67</v>
          </cell>
          <cell r="D3888" t="str">
            <v>FTP150</v>
          </cell>
          <cell r="E3888">
            <v>46227</v>
          </cell>
        </row>
        <row r="3889">
          <cell r="A3889" t="str">
            <v>2627HB67</v>
          </cell>
          <cell r="D3889" t="str">
            <v>FTW121KR</v>
          </cell>
          <cell r="E3889">
            <v>46227</v>
          </cell>
        </row>
        <row r="3890">
          <cell r="A3890" t="str">
            <v>2626O747</v>
          </cell>
          <cell r="D3890" t="str">
            <v>KBP86</v>
          </cell>
          <cell r="E3890">
            <v>46227</v>
          </cell>
        </row>
        <row r="3891">
          <cell r="A3891" t="str">
            <v>2627JJ47</v>
          </cell>
          <cell r="D3891" t="str">
            <v>S706</v>
          </cell>
          <cell r="E3891">
            <v>46227</v>
          </cell>
        </row>
        <row r="3892">
          <cell r="A3892" t="str">
            <v>2628P547</v>
          </cell>
          <cell r="D3892" t="str">
            <v>S706</v>
          </cell>
          <cell r="E3892">
            <v>46227</v>
          </cell>
        </row>
        <row r="3893">
          <cell r="A3893" t="str">
            <v>2628B127</v>
          </cell>
          <cell r="D3893" t="str">
            <v>S15MB</v>
          </cell>
          <cell r="E3893">
            <v>46227</v>
          </cell>
        </row>
        <row r="3894">
          <cell r="A3894" t="str">
            <v>2627J857</v>
          </cell>
          <cell r="D3894" t="str">
            <v>KBP126</v>
          </cell>
          <cell r="E3894">
            <v>46227</v>
          </cell>
        </row>
        <row r="3895">
          <cell r="A3895" t="str">
            <v>2627JX17</v>
          </cell>
          <cell r="D3895" t="str">
            <v>S15MB</v>
          </cell>
          <cell r="E3895">
            <v>46227</v>
          </cell>
        </row>
        <row r="3896">
          <cell r="A3896" t="str">
            <v>2627QS17</v>
          </cell>
          <cell r="D3896" t="str">
            <v>FTW121KR</v>
          </cell>
          <cell r="E3896">
            <v>46227</v>
          </cell>
        </row>
        <row r="3897">
          <cell r="A3897" t="str">
            <v>2627LZ37</v>
          </cell>
          <cell r="D3897" t="str">
            <v>FTW503</v>
          </cell>
          <cell r="E3897">
            <v>46227</v>
          </cell>
        </row>
        <row r="3898">
          <cell r="A3898" t="str">
            <v>2627I467</v>
          </cell>
          <cell r="D3898" t="str">
            <v>S706</v>
          </cell>
          <cell r="E3898">
            <v>46227</v>
          </cell>
        </row>
        <row r="3899">
          <cell r="A3899" t="str">
            <v>2627PB37</v>
          </cell>
          <cell r="D3899" t="str">
            <v>FTW121KR</v>
          </cell>
          <cell r="E3899">
            <v>46227</v>
          </cell>
        </row>
        <row r="3900">
          <cell r="A3900" t="str">
            <v>2625KX57</v>
          </cell>
          <cell r="D3900" t="str">
            <v>S706</v>
          </cell>
          <cell r="E3900">
            <v>46227</v>
          </cell>
        </row>
        <row r="3901">
          <cell r="A3901" t="str">
            <v>2626CF37</v>
          </cell>
          <cell r="D3901" t="str">
            <v>S15MB</v>
          </cell>
          <cell r="E3901">
            <v>46227</v>
          </cell>
        </row>
        <row r="3902">
          <cell r="A3902" t="str">
            <v>2627DL57</v>
          </cell>
          <cell r="D3902" t="str">
            <v>FTW121KR</v>
          </cell>
          <cell r="E3902">
            <v>46227</v>
          </cell>
        </row>
        <row r="3903">
          <cell r="A3903" t="str">
            <v>2628BJ27</v>
          </cell>
          <cell r="D3903" t="str">
            <v>STA156KA</v>
          </cell>
          <cell r="E3903">
            <v>46227</v>
          </cell>
        </row>
        <row r="3904">
          <cell r="A3904" t="str">
            <v>2625KD47</v>
          </cell>
          <cell r="D3904" t="str">
            <v>S706</v>
          </cell>
          <cell r="E3904">
            <v>46227</v>
          </cell>
        </row>
        <row r="3905">
          <cell r="A3905" t="str">
            <v>2627SW67</v>
          </cell>
          <cell r="D3905" t="str">
            <v>KBP86</v>
          </cell>
          <cell r="E3905">
            <v>46227</v>
          </cell>
        </row>
        <row r="3906">
          <cell r="A3906" t="str">
            <v>2627YI57</v>
          </cell>
          <cell r="D3906" t="str">
            <v>FTW503</v>
          </cell>
          <cell r="E3906">
            <v>46227</v>
          </cell>
        </row>
        <row r="3907">
          <cell r="A3907" t="str">
            <v>2627LL17</v>
          </cell>
          <cell r="D3907" t="str">
            <v>FTW503</v>
          </cell>
          <cell r="E3907">
            <v>46227</v>
          </cell>
        </row>
        <row r="3908">
          <cell r="A3908" t="str">
            <v>2624WK57</v>
          </cell>
          <cell r="D3908" t="str">
            <v>KBP86</v>
          </cell>
          <cell r="E3908">
            <v>46227</v>
          </cell>
        </row>
        <row r="3909">
          <cell r="A3909" t="str">
            <v>2627IT67</v>
          </cell>
          <cell r="D3909" t="str">
            <v>S706</v>
          </cell>
          <cell r="E3909">
            <v>46227</v>
          </cell>
        </row>
        <row r="3910">
          <cell r="A3910" t="str">
            <v>2628VY17</v>
          </cell>
          <cell r="D3910" t="str">
            <v>S706</v>
          </cell>
          <cell r="E3910">
            <v>46227</v>
          </cell>
        </row>
        <row r="3911">
          <cell r="A3911" t="str">
            <v>2628WY17</v>
          </cell>
          <cell r="D3911" t="str">
            <v>TTS50</v>
          </cell>
          <cell r="E3911">
            <v>46227</v>
          </cell>
        </row>
        <row r="3912">
          <cell r="A3912" t="str">
            <v>2626PN67</v>
          </cell>
          <cell r="D3912" t="str">
            <v>KBP86</v>
          </cell>
          <cell r="E3912">
            <v>46227</v>
          </cell>
        </row>
        <row r="3913">
          <cell r="A3913" t="str">
            <v>2627G567</v>
          </cell>
          <cell r="D3913" t="str">
            <v>FTW121KR</v>
          </cell>
          <cell r="E3913">
            <v>46227</v>
          </cell>
        </row>
        <row r="3914">
          <cell r="A3914" t="str">
            <v>2625EN67</v>
          </cell>
          <cell r="D3914" t="str">
            <v>STA156KA</v>
          </cell>
          <cell r="E3914">
            <v>46227</v>
          </cell>
        </row>
        <row r="3915">
          <cell r="A3915" t="str">
            <v>2628PV37</v>
          </cell>
          <cell r="D3915" t="str">
            <v>KBP74</v>
          </cell>
          <cell r="E3915">
            <v>46227</v>
          </cell>
        </row>
        <row r="3916">
          <cell r="A3916" t="str">
            <v>2627YZ47</v>
          </cell>
          <cell r="D3916" t="str">
            <v>FTW503</v>
          </cell>
          <cell r="E3916">
            <v>46227</v>
          </cell>
        </row>
        <row r="3917">
          <cell r="A3917" t="str">
            <v>2627YO47</v>
          </cell>
          <cell r="D3917" t="str">
            <v>FTW503</v>
          </cell>
          <cell r="E3917">
            <v>46227</v>
          </cell>
        </row>
        <row r="3918">
          <cell r="A3918" t="str">
            <v>2627JV17</v>
          </cell>
          <cell r="D3918" t="str">
            <v>S15MB</v>
          </cell>
          <cell r="E3918">
            <v>46227</v>
          </cell>
        </row>
        <row r="3919">
          <cell r="A3919" t="str">
            <v>2627LA47</v>
          </cell>
          <cell r="D3919" t="str">
            <v>KBP76</v>
          </cell>
          <cell r="E3919">
            <v>46227</v>
          </cell>
        </row>
        <row r="3920">
          <cell r="A3920" t="str">
            <v>2625IN17</v>
          </cell>
          <cell r="D3920" t="str">
            <v>KBP86</v>
          </cell>
          <cell r="E3920">
            <v>46227</v>
          </cell>
        </row>
        <row r="3921">
          <cell r="A3921" t="str">
            <v>2627UK37</v>
          </cell>
          <cell r="D3921" t="str">
            <v>TTS80</v>
          </cell>
          <cell r="E3921">
            <v>46227</v>
          </cell>
        </row>
        <row r="3922">
          <cell r="A3922" t="str">
            <v>2628QE27</v>
          </cell>
          <cell r="D3922" t="str">
            <v>S706</v>
          </cell>
          <cell r="E3922">
            <v>46227</v>
          </cell>
        </row>
        <row r="3923">
          <cell r="A3923" t="str">
            <v>2627EB57</v>
          </cell>
          <cell r="D3923" t="str">
            <v>FTW121KR</v>
          </cell>
          <cell r="E3923">
            <v>46227</v>
          </cell>
        </row>
        <row r="3924">
          <cell r="A3924" t="str">
            <v>2627QM27</v>
          </cell>
          <cell r="D3924" t="str">
            <v>FTW121KR</v>
          </cell>
          <cell r="E3924">
            <v>46227</v>
          </cell>
        </row>
        <row r="3925">
          <cell r="A3925" t="str">
            <v>2627P937</v>
          </cell>
          <cell r="D3925" t="str">
            <v>FTW121KR</v>
          </cell>
          <cell r="E3925">
            <v>46227</v>
          </cell>
        </row>
        <row r="3926">
          <cell r="A3926" t="str">
            <v>2627QH47</v>
          </cell>
          <cell r="D3926" t="str">
            <v>KBP55</v>
          </cell>
          <cell r="E3926">
            <v>46227</v>
          </cell>
        </row>
        <row r="3927">
          <cell r="A3927" t="str">
            <v>2626OY27</v>
          </cell>
          <cell r="D3927" t="str">
            <v>S706</v>
          </cell>
          <cell r="E3927">
            <v>46227</v>
          </cell>
        </row>
        <row r="3928">
          <cell r="A3928" t="str">
            <v>2628ET17</v>
          </cell>
          <cell r="D3928" t="str">
            <v>KBP86</v>
          </cell>
          <cell r="E3928">
            <v>46227</v>
          </cell>
        </row>
        <row r="3929">
          <cell r="A3929" t="str">
            <v>2628JW37</v>
          </cell>
          <cell r="D3929" t="str">
            <v>FTP150</v>
          </cell>
          <cell r="E3929">
            <v>46227</v>
          </cell>
        </row>
        <row r="3930">
          <cell r="A3930" t="str">
            <v>2628XH17</v>
          </cell>
          <cell r="D3930" t="str">
            <v>TTS80</v>
          </cell>
          <cell r="E3930">
            <v>46227</v>
          </cell>
        </row>
        <row r="3931">
          <cell r="A3931" t="str">
            <v>2627DX57</v>
          </cell>
          <cell r="D3931" t="str">
            <v>FTW121KR</v>
          </cell>
          <cell r="E3931">
            <v>46227</v>
          </cell>
        </row>
        <row r="3932">
          <cell r="A3932" t="str">
            <v>2627HW67</v>
          </cell>
          <cell r="D3932" t="str">
            <v>S706</v>
          </cell>
          <cell r="E3932">
            <v>46227</v>
          </cell>
        </row>
        <row r="3933">
          <cell r="A3933" t="str">
            <v>2628S827</v>
          </cell>
          <cell r="D3933" t="str">
            <v>KBP74</v>
          </cell>
          <cell r="E3933">
            <v>46227</v>
          </cell>
        </row>
        <row r="3934">
          <cell r="A3934" t="str">
            <v>2627YB57</v>
          </cell>
          <cell r="D3934" t="str">
            <v>STA156KA</v>
          </cell>
          <cell r="E3934">
            <v>46227</v>
          </cell>
        </row>
        <row r="3935">
          <cell r="A3935" t="str">
            <v>2627S267</v>
          </cell>
          <cell r="D3935" t="str">
            <v>TTS80</v>
          </cell>
          <cell r="E3935">
            <v>46227</v>
          </cell>
        </row>
        <row r="3936">
          <cell r="A3936" t="str">
            <v>2627GY67</v>
          </cell>
          <cell r="D3936" t="str">
            <v>FTW121KR</v>
          </cell>
          <cell r="E3936">
            <v>46227</v>
          </cell>
        </row>
        <row r="3937">
          <cell r="A3937" t="str">
            <v>2627Q867</v>
          </cell>
          <cell r="D3937" t="str">
            <v>TTS80</v>
          </cell>
          <cell r="E3937">
            <v>46227</v>
          </cell>
        </row>
        <row r="3938">
          <cell r="A3938" t="str">
            <v>2627FW67</v>
          </cell>
          <cell r="D3938" t="str">
            <v>FTW121KR</v>
          </cell>
          <cell r="E3938">
            <v>46227</v>
          </cell>
        </row>
        <row r="3939">
          <cell r="A3939" t="str">
            <v>2625SN57</v>
          </cell>
          <cell r="D3939" t="str">
            <v>KBP86</v>
          </cell>
          <cell r="E3939">
            <v>46227</v>
          </cell>
        </row>
        <row r="3940">
          <cell r="A3940" t="str">
            <v>2628GB57</v>
          </cell>
          <cell r="D3940" t="str">
            <v>FTP200</v>
          </cell>
          <cell r="E3940">
            <v>46227</v>
          </cell>
        </row>
        <row r="3941">
          <cell r="A3941" t="str">
            <v>2628QI27</v>
          </cell>
          <cell r="D3941" t="str">
            <v>S706</v>
          </cell>
          <cell r="E3941">
            <v>46227</v>
          </cell>
        </row>
        <row r="3942">
          <cell r="A3942" t="str">
            <v>2628PW47</v>
          </cell>
          <cell r="D3942" t="str">
            <v>KBP74</v>
          </cell>
          <cell r="E3942">
            <v>46227</v>
          </cell>
        </row>
        <row r="3943">
          <cell r="A3943" t="str">
            <v>2628L767</v>
          </cell>
          <cell r="D3943" t="str">
            <v>STA156KA</v>
          </cell>
          <cell r="E3943">
            <v>46227</v>
          </cell>
        </row>
        <row r="3944">
          <cell r="A3944" t="str">
            <v>2628J847</v>
          </cell>
          <cell r="D3944" t="str">
            <v>FTW700</v>
          </cell>
          <cell r="E3944">
            <v>46227</v>
          </cell>
        </row>
        <row r="3945">
          <cell r="A3945" t="str">
            <v>2627GV67</v>
          </cell>
          <cell r="D3945" t="str">
            <v>FTW121KR</v>
          </cell>
          <cell r="E3945">
            <v>46227</v>
          </cell>
        </row>
        <row r="3946">
          <cell r="A3946" t="str">
            <v>2627EE67</v>
          </cell>
          <cell r="D3946" t="str">
            <v>FTW700</v>
          </cell>
          <cell r="E3946">
            <v>46227</v>
          </cell>
        </row>
        <row r="3947">
          <cell r="A3947" t="str">
            <v>2628DQ57</v>
          </cell>
          <cell r="D3947" t="str">
            <v>FTP150</v>
          </cell>
          <cell r="E3947">
            <v>46227</v>
          </cell>
        </row>
        <row r="3948">
          <cell r="A3948" t="str">
            <v>2626LA27</v>
          </cell>
          <cell r="D3948" t="str">
            <v>KBP86</v>
          </cell>
          <cell r="E3948">
            <v>46227</v>
          </cell>
        </row>
        <row r="3949">
          <cell r="A3949" t="str">
            <v>2628EM67</v>
          </cell>
          <cell r="D3949" t="str">
            <v>TTS50</v>
          </cell>
          <cell r="E3949">
            <v>46227</v>
          </cell>
        </row>
        <row r="3950">
          <cell r="A3950" t="str">
            <v>2628LH47</v>
          </cell>
          <cell r="D3950" t="str">
            <v>TTS50</v>
          </cell>
          <cell r="E3950">
            <v>46227</v>
          </cell>
        </row>
        <row r="3951">
          <cell r="A3951" t="str">
            <v>2628PK37</v>
          </cell>
          <cell r="D3951" t="str">
            <v>KBP76</v>
          </cell>
          <cell r="E3951">
            <v>46227</v>
          </cell>
        </row>
        <row r="3952">
          <cell r="A3952" t="str">
            <v>2627QL47</v>
          </cell>
          <cell r="D3952" t="str">
            <v>TTS80</v>
          </cell>
          <cell r="E3952">
            <v>46227</v>
          </cell>
        </row>
        <row r="3953">
          <cell r="A3953" t="str">
            <v>2625KC57</v>
          </cell>
          <cell r="D3953" t="str">
            <v>S706</v>
          </cell>
          <cell r="E3953">
            <v>46227</v>
          </cell>
        </row>
        <row r="3954">
          <cell r="A3954" t="str">
            <v>2628SB27</v>
          </cell>
          <cell r="D3954" t="str">
            <v>TTS50</v>
          </cell>
          <cell r="E3954">
            <v>46227</v>
          </cell>
        </row>
        <row r="3955">
          <cell r="A3955" t="str">
            <v>2628SX17</v>
          </cell>
          <cell r="D3955" t="str">
            <v>FTW121KR</v>
          </cell>
          <cell r="E3955">
            <v>46227</v>
          </cell>
        </row>
        <row r="3956">
          <cell r="A3956" t="str">
            <v>2625Q817</v>
          </cell>
          <cell r="D3956" t="str">
            <v>KBP74</v>
          </cell>
          <cell r="E3956">
            <v>46227</v>
          </cell>
        </row>
        <row r="3957">
          <cell r="A3957" t="str">
            <v>2627Q267</v>
          </cell>
          <cell r="D3957" t="str">
            <v>KBP55</v>
          </cell>
          <cell r="E3957">
            <v>46227</v>
          </cell>
        </row>
        <row r="3958">
          <cell r="A3958" t="str">
            <v>2625J637</v>
          </cell>
          <cell r="D3958" t="str">
            <v>FTW503</v>
          </cell>
          <cell r="E3958">
            <v>46227</v>
          </cell>
        </row>
        <row r="3959">
          <cell r="A3959" t="str">
            <v>2628O147</v>
          </cell>
          <cell r="D3959" t="str">
            <v>KBP34</v>
          </cell>
          <cell r="E3959">
            <v>46227</v>
          </cell>
        </row>
        <row r="3960">
          <cell r="A3960" t="str">
            <v>2627IP67</v>
          </cell>
          <cell r="D3960" t="str">
            <v>S706</v>
          </cell>
          <cell r="E3960">
            <v>46227</v>
          </cell>
        </row>
        <row r="3961">
          <cell r="A3961" t="str">
            <v>2627QJ47</v>
          </cell>
          <cell r="D3961" t="str">
            <v>TTS80</v>
          </cell>
          <cell r="E3961">
            <v>46227</v>
          </cell>
        </row>
        <row r="3962">
          <cell r="A3962" t="str">
            <v>2625SC57</v>
          </cell>
          <cell r="D3962" t="str">
            <v>KBP86</v>
          </cell>
          <cell r="E3962">
            <v>46227</v>
          </cell>
        </row>
        <row r="3963">
          <cell r="A3963" t="str">
            <v>2625LV47</v>
          </cell>
          <cell r="D3963" t="str">
            <v>TTS50</v>
          </cell>
          <cell r="E3963">
            <v>46227</v>
          </cell>
        </row>
        <row r="3964">
          <cell r="A3964" t="str">
            <v>2628IS67</v>
          </cell>
          <cell r="D3964" t="str">
            <v>FTP200</v>
          </cell>
          <cell r="E3964">
            <v>46227</v>
          </cell>
        </row>
        <row r="3965">
          <cell r="A3965" t="str">
            <v>2627JK67</v>
          </cell>
          <cell r="D3965" t="str">
            <v>KBP76</v>
          </cell>
          <cell r="E3965">
            <v>46227</v>
          </cell>
        </row>
        <row r="3966">
          <cell r="A3966" t="str">
            <v>2626D367</v>
          </cell>
          <cell r="D3966" t="str">
            <v>STA156KA</v>
          </cell>
          <cell r="E3966">
            <v>46227</v>
          </cell>
        </row>
        <row r="3967">
          <cell r="A3967" t="str">
            <v>2627AJ67</v>
          </cell>
          <cell r="D3967" t="str">
            <v>TTS50</v>
          </cell>
          <cell r="E3967">
            <v>46227</v>
          </cell>
        </row>
        <row r="3968">
          <cell r="A3968" t="str">
            <v>2627AI67</v>
          </cell>
          <cell r="D3968" t="str">
            <v>TTS50</v>
          </cell>
          <cell r="E3968">
            <v>46227</v>
          </cell>
        </row>
        <row r="3969">
          <cell r="A3969" t="str">
            <v>2627LJ47</v>
          </cell>
          <cell r="D3969" t="str">
            <v>KBP74</v>
          </cell>
          <cell r="E3969">
            <v>46227</v>
          </cell>
        </row>
        <row r="3970">
          <cell r="A3970" t="str">
            <v>2627JH67</v>
          </cell>
          <cell r="D3970" t="str">
            <v>KBP76</v>
          </cell>
          <cell r="E3970">
            <v>46227</v>
          </cell>
        </row>
        <row r="3971">
          <cell r="A3971" t="str">
            <v>2628FQ67</v>
          </cell>
          <cell r="D3971" t="str">
            <v>FTP200</v>
          </cell>
          <cell r="E3971">
            <v>46227</v>
          </cell>
        </row>
        <row r="3972">
          <cell r="A3972" t="str">
            <v>2629QP17</v>
          </cell>
          <cell r="D3972" t="str">
            <v>TTS80</v>
          </cell>
          <cell r="E3972">
            <v>46226</v>
          </cell>
        </row>
        <row r="3973">
          <cell r="A3973" t="str">
            <v>2628SK27</v>
          </cell>
          <cell r="D3973" t="str">
            <v>TTS80</v>
          </cell>
          <cell r="E3973">
            <v>46226</v>
          </cell>
        </row>
        <row r="3974">
          <cell r="A3974" t="str">
            <v>2627JZ17</v>
          </cell>
          <cell r="D3974" t="str">
            <v>S15MB</v>
          </cell>
          <cell r="E3974">
            <v>46226</v>
          </cell>
        </row>
        <row r="3975">
          <cell r="A3975" t="str">
            <v>2624Y557</v>
          </cell>
          <cell r="D3975" t="str">
            <v>TTS80</v>
          </cell>
          <cell r="E3975">
            <v>46226</v>
          </cell>
        </row>
        <row r="3976">
          <cell r="A3976" t="str">
            <v>2628VW17</v>
          </cell>
          <cell r="D3976" t="str">
            <v>S706</v>
          </cell>
          <cell r="E3976">
            <v>46226</v>
          </cell>
        </row>
        <row r="3977">
          <cell r="A3977" t="str">
            <v>2627OZ37</v>
          </cell>
          <cell r="D3977" t="str">
            <v>FTW121KR</v>
          </cell>
          <cell r="E3977">
            <v>46226</v>
          </cell>
        </row>
        <row r="3978">
          <cell r="A3978" t="str">
            <v>2625K957</v>
          </cell>
          <cell r="D3978" t="str">
            <v>S706</v>
          </cell>
          <cell r="E3978">
            <v>46226</v>
          </cell>
        </row>
        <row r="3979">
          <cell r="A3979" t="str">
            <v>2624ZW57</v>
          </cell>
          <cell r="D3979" t="str">
            <v>TTS80</v>
          </cell>
          <cell r="E3979">
            <v>46226</v>
          </cell>
        </row>
        <row r="3980">
          <cell r="A3980" t="str">
            <v>2628VZ17</v>
          </cell>
          <cell r="D3980" t="str">
            <v>S706</v>
          </cell>
          <cell r="E3980">
            <v>46226</v>
          </cell>
        </row>
        <row r="3981">
          <cell r="A3981" t="str">
            <v>2628HH47</v>
          </cell>
          <cell r="D3981" t="str">
            <v>FTP150</v>
          </cell>
          <cell r="E3981">
            <v>46226</v>
          </cell>
        </row>
        <row r="3982">
          <cell r="A3982" t="str">
            <v>2627S837</v>
          </cell>
          <cell r="D3982" t="str">
            <v>S706</v>
          </cell>
          <cell r="E3982">
            <v>46226</v>
          </cell>
        </row>
        <row r="3983">
          <cell r="A3983" t="str">
            <v>2625Z527</v>
          </cell>
          <cell r="D3983" t="str">
            <v>TTS80</v>
          </cell>
          <cell r="E3983">
            <v>46226</v>
          </cell>
        </row>
        <row r="3984">
          <cell r="A3984" t="str">
            <v>2628UW17</v>
          </cell>
          <cell r="D3984" t="str">
            <v>S706</v>
          </cell>
          <cell r="E3984">
            <v>46226</v>
          </cell>
        </row>
        <row r="3985">
          <cell r="A3985" t="str">
            <v>2628PY37</v>
          </cell>
          <cell r="D3985" t="str">
            <v>TTS80</v>
          </cell>
          <cell r="E3985">
            <v>46226</v>
          </cell>
        </row>
        <row r="3986">
          <cell r="A3986" t="str">
            <v>2627V827</v>
          </cell>
          <cell r="D3986" t="str">
            <v>STA156KA</v>
          </cell>
          <cell r="E3986">
            <v>46226</v>
          </cell>
        </row>
        <row r="3987">
          <cell r="A3987" t="str">
            <v>2624Y857</v>
          </cell>
          <cell r="D3987" t="str">
            <v>TTS80</v>
          </cell>
          <cell r="E3987">
            <v>46226</v>
          </cell>
        </row>
        <row r="3988">
          <cell r="A3988" t="str">
            <v>2627PA27</v>
          </cell>
          <cell r="D3988" t="str">
            <v>FTW503</v>
          </cell>
          <cell r="E3988">
            <v>46226</v>
          </cell>
        </row>
        <row r="3989">
          <cell r="A3989" t="str">
            <v>2628LZ47</v>
          </cell>
          <cell r="D3989" t="str">
            <v>KBP34</v>
          </cell>
          <cell r="E3989">
            <v>46226</v>
          </cell>
        </row>
        <row r="3990">
          <cell r="A3990" t="str">
            <v>2627Z657</v>
          </cell>
          <cell r="D3990" t="str">
            <v>FTW503</v>
          </cell>
          <cell r="E3990">
            <v>46226</v>
          </cell>
        </row>
        <row r="3991">
          <cell r="A3991" t="str">
            <v>2627PW67</v>
          </cell>
          <cell r="D3991" t="str">
            <v>FTP200</v>
          </cell>
          <cell r="E3991">
            <v>46226</v>
          </cell>
        </row>
        <row r="3992">
          <cell r="A3992" t="str">
            <v>2627QL67</v>
          </cell>
          <cell r="D3992" t="str">
            <v>TTS80</v>
          </cell>
          <cell r="E3992">
            <v>46226</v>
          </cell>
        </row>
        <row r="3993">
          <cell r="A3993" t="str">
            <v>2628X217</v>
          </cell>
          <cell r="D3993" t="str">
            <v>TTS50</v>
          </cell>
          <cell r="E3993">
            <v>46226</v>
          </cell>
        </row>
        <row r="3994">
          <cell r="A3994" t="str">
            <v>2627L647</v>
          </cell>
          <cell r="D3994" t="str">
            <v>KBP76</v>
          </cell>
          <cell r="E3994">
            <v>46226</v>
          </cell>
        </row>
        <row r="3995">
          <cell r="A3995" t="str">
            <v>2627GN67</v>
          </cell>
          <cell r="D3995" t="str">
            <v>FTW121KR</v>
          </cell>
          <cell r="E3995">
            <v>46226</v>
          </cell>
        </row>
        <row r="3996">
          <cell r="A3996" t="str">
            <v>2628LG47</v>
          </cell>
          <cell r="D3996" t="str">
            <v>TTS50</v>
          </cell>
          <cell r="E3996">
            <v>46226</v>
          </cell>
        </row>
        <row r="3997">
          <cell r="A3997" t="str">
            <v>2628QT27</v>
          </cell>
          <cell r="D3997" t="str">
            <v>KBP76</v>
          </cell>
          <cell r="E3997">
            <v>46226</v>
          </cell>
        </row>
        <row r="3998">
          <cell r="A3998" t="str">
            <v>2627GX67</v>
          </cell>
          <cell r="D3998" t="str">
            <v>FTW121KR</v>
          </cell>
          <cell r="E3998">
            <v>46226</v>
          </cell>
        </row>
        <row r="3999">
          <cell r="A3999" t="str">
            <v>2628PB37</v>
          </cell>
          <cell r="D3999" t="str">
            <v>S706</v>
          </cell>
          <cell r="E3999">
            <v>46226</v>
          </cell>
        </row>
        <row r="4000">
          <cell r="A4000" t="str">
            <v>2627HU67</v>
          </cell>
          <cell r="D4000" t="str">
            <v>S706</v>
          </cell>
          <cell r="E4000">
            <v>46226</v>
          </cell>
        </row>
        <row r="4001">
          <cell r="A4001" t="str">
            <v>2628PN17</v>
          </cell>
          <cell r="D4001" t="str">
            <v>TTS50</v>
          </cell>
          <cell r="E4001">
            <v>46226</v>
          </cell>
        </row>
        <row r="4002">
          <cell r="A4002" t="str">
            <v>2628U217</v>
          </cell>
          <cell r="D4002" t="str">
            <v>FTW121KR</v>
          </cell>
          <cell r="E4002">
            <v>46226</v>
          </cell>
        </row>
        <row r="4003">
          <cell r="A4003" t="str">
            <v>2627XE57</v>
          </cell>
          <cell r="D4003" t="str">
            <v>KBP126</v>
          </cell>
          <cell r="E4003">
            <v>46226</v>
          </cell>
        </row>
        <row r="4004">
          <cell r="A4004" t="str">
            <v>2628QU27</v>
          </cell>
          <cell r="D4004" t="str">
            <v>KBP76</v>
          </cell>
          <cell r="E4004">
            <v>46226</v>
          </cell>
        </row>
        <row r="4005">
          <cell r="A4005" t="str">
            <v>2628P837</v>
          </cell>
          <cell r="D4005" t="str">
            <v>S706</v>
          </cell>
          <cell r="E4005">
            <v>46226</v>
          </cell>
        </row>
        <row r="4006">
          <cell r="A4006" t="str">
            <v>2627Z857</v>
          </cell>
          <cell r="D4006" t="str">
            <v>FTW503</v>
          </cell>
          <cell r="E4006">
            <v>46226</v>
          </cell>
        </row>
        <row r="4007">
          <cell r="A4007" t="str">
            <v>2628S227</v>
          </cell>
          <cell r="D4007" t="str">
            <v>KBP76</v>
          </cell>
          <cell r="E4007">
            <v>46226</v>
          </cell>
        </row>
        <row r="4008">
          <cell r="A4008" t="str">
            <v>2627E757</v>
          </cell>
          <cell r="D4008" t="str">
            <v>FTW121KR</v>
          </cell>
          <cell r="E4008">
            <v>46226</v>
          </cell>
        </row>
        <row r="4009">
          <cell r="A4009" t="str">
            <v>2627IB67</v>
          </cell>
          <cell r="D4009" t="str">
            <v>S706</v>
          </cell>
          <cell r="E4009">
            <v>46226</v>
          </cell>
        </row>
        <row r="4010">
          <cell r="A4010" t="str">
            <v>2628H737</v>
          </cell>
          <cell r="D4010" t="str">
            <v>KBP86</v>
          </cell>
          <cell r="E4010">
            <v>46226</v>
          </cell>
        </row>
        <row r="4011">
          <cell r="A4011" t="str">
            <v>2625S757</v>
          </cell>
          <cell r="D4011" t="str">
            <v>KBP86</v>
          </cell>
          <cell r="E4011">
            <v>46226</v>
          </cell>
        </row>
        <row r="4012">
          <cell r="A4012" t="str">
            <v>2628UM17</v>
          </cell>
          <cell r="D4012" t="str">
            <v>KBP52</v>
          </cell>
          <cell r="E4012">
            <v>46226</v>
          </cell>
        </row>
        <row r="4013">
          <cell r="A4013" t="str">
            <v>2628PF17</v>
          </cell>
          <cell r="D4013" t="str">
            <v>TTS50</v>
          </cell>
          <cell r="E4013">
            <v>46226</v>
          </cell>
        </row>
        <row r="4014">
          <cell r="A4014" t="str">
            <v>2624X257</v>
          </cell>
          <cell r="D4014" t="str">
            <v>KBP86</v>
          </cell>
          <cell r="E4014">
            <v>46226</v>
          </cell>
        </row>
        <row r="4015">
          <cell r="A4015" t="str">
            <v>2628QG27</v>
          </cell>
          <cell r="D4015" t="str">
            <v>S706</v>
          </cell>
          <cell r="E4015">
            <v>46226</v>
          </cell>
        </row>
        <row r="4016">
          <cell r="A4016" t="str">
            <v>2628JC27</v>
          </cell>
          <cell r="D4016" t="str">
            <v>FTW121KR</v>
          </cell>
          <cell r="E4016">
            <v>46226</v>
          </cell>
        </row>
        <row r="4017">
          <cell r="A4017" t="str">
            <v>2627G667</v>
          </cell>
          <cell r="D4017" t="str">
            <v>FTW121KR</v>
          </cell>
          <cell r="E4017">
            <v>46226</v>
          </cell>
        </row>
        <row r="4018">
          <cell r="A4018" t="str">
            <v>2627LK37</v>
          </cell>
          <cell r="D4018" t="str">
            <v>FTW503</v>
          </cell>
          <cell r="E4018">
            <v>46226</v>
          </cell>
        </row>
        <row r="4019">
          <cell r="A4019" t="str">
            <v>2628IR67</v>
          </cell>
          <cell r="D4019" t="str">
            <v>FTP200</v>
          </cell>
          <cell r="E4019">
            <v>46226</v>
          </cell>
        </row>
        <row r="4020">
          <cell r="A4020" t="str">
            <v>2629QM17</v>
          </cell>
          <cell r="D4020" t="str">
            <v>TTS80</v>
          </cell>
          <cell r="E4020">
            <v>46226</v>
          </cell>
        </row>
        <row r="4021">
          <cell r="A4021" t="str">
            <v>2628KM37</v>
          </cell>
          <cell r="D4021" t="str">
            <v>FTW700</v>
          </cell>
          <cell r="E4021">
            <v>46226</v>
          </cell>
        </row>
        <row r="4022">
          <cell r="A4022" t="str">
            <v>2629QN17</v>
          </cell>
          <cell r="D4022" t="str">
            <v>TTS80</v>
          </cell>
          <cell r="E4022">
            <v>46226</v>
          </cell>
        </row>
        <row r="4023">
          <cell r="A4023" t="str">
            <v>2626EX67</v>
          </cell>
          <cell r="D4023" t="str">
            <v>KBP86</v>
          </cell>
          <cell r="E4023">
            <v>46226</v>
          </cell>
        </row>
        <row r="4024">
          <cell r="A4024" t="str">
            <v>2629QO17</v>
          </cell>
          <cell r="D4024" t="str">
            <v>TTS80</v>
          </cell>
          <cell r="E4024">
            <v>46226</v>
          </cell>
        </row>
        <row r="4025">
          <cell r="A4025" t="str">
            <v>2627Q967</v>
          </cell>
          <cell r="D4025" t="str">
            <v>TTS80</v>
          </cell>
          <cell r="E4025">
            <v>46226</v>
          </cell>
        </row>
        <row r="4026">
          <cell r="A4026" t="str">
            <v>2550Z827</v>
          </cell>
          <cell r="D4026" t="str">
            <v>KBP76E</v>
          </cell>
          <cell r="E4026">
            <v>46226</v>
          </cell>
        </row>
        <row r="4027">
          <cell r="A4027" t="str">
            <v>2628P737</v>
          </cell>
          <cell r="D4027" t="str">
            <v>S706</v>
          </cell>
          <cell r="E4027">
            <v>46226</v>
          </cell>
        </row>
        <row r="4028">
          <cell r="A4028" t="str">
            <v>2627JL67</v>
          </cell>
          <cell r="D4028" t="str">
            <v>KBP76</v>
          </cell>
          <cell r="E4028">
            <v>46226</v>
          </cell>
        </row>
        <row r="4029">
          <cell r="A4029" t="str">
            <v>2628HC47</v>
          </cell>
          <cell r="D4029" t="str">
            <v>FTP150</v>
          </cell>
          <cell r="E4029">
            <v>46226</v>
          </cell>
        </row>
        <row r="4030">
          <cell r="A4030" t="str">
            <v>2627ZL67</v>
          </cell>
          <cell r="D4030" t="str">
            <v>FTW503</v>
          </cell>
          <cell r="E4030">
            <v>46226</v>
          </cell>
        </row>
        <row r="4031">
          <cell r="A4031" t="str">
            <v>2627J167</v>
          </cell>
          <cell r="D4031" t="str">
            <v>S706</v>
          </cell>
          <cell r="E4031">
            <v>46226</v>
          </cell>
        </row>
        <row r="4032">
          <cell r="A4032" t="str">
            <v>2628QK27</v>
          </cell>
          <cell r="D4032" t="str">
            <v>S706</v>
          </cell>
          <cell r="E4032">
            <v>46226</v>
          </cell>
        </row>
        <row r="4033">
          <cell r="A4033" t="str">
            <v>2628EP67</v>
          </cell>
          <cell r="D4033" t="str">
            <v>TTS50</v>
          </cell>
          <cell r="E4033">
            <v>46226</v>
          </cell>
        </row>
        <row r="4034">
          <cell r="A4034" t="str">
            <v>2627X617</v>
          </cell>
          <cell r="D4034" t="str">
            <v>STA156KA</v>
          </cell>
          <cell r="E4034">
            <v>46226</v>
          </cell>
        </row>
        <row r="4035">
          <cell r="A4035" t="str">
            <v>2628SQ27</v>
          </cell>
          <cell r="D4035" t="str">
            <v>TTS80</v>
          </cell>
          <cell r="E4035">
            <v>46226</v>
          </cell>
        </row>
        <row r="4036">
          <cell r="A4036" t="str">
            <v>2628SM27</v>
          </cell>
          <cell r="D4036" t="str">
            <v>TTS80</v>
          </cell>
          <cell r="E4036">
            <v>46226</v>
          </cell>
        </row>
        <row r="4037">
          <cell r="A4037" t="str">
            <v>2626JT37</v>
          </cell>
          <cell r="D4037" t="str">
            <v>FTW503</v>
          </cell>
          <cell r="E4037">
            <v>46226</v>
          </cell>
        </row>
        <row r="4038">
          <cell r="A4038" t="str">
            <v>2625KC47</v>
          </cell>
          <cell r="D4038" t="str">
            <v>S706</v>
          </cell>
          <cell r="E4038">
            <v>46226</v>
          </cell>
        </row>
        <row r="4039">
          <cell r="A4039" t="str">
            <v>2628SC17</v>
          </cell>
          <cell r="D4039" t="str">
            <v>FTW121KR</v>
          </cell>
          <cell r="E4039">
            <v>46226</v>
          </cell>
        </row>
        <row r="4040">
          <cell r="A4040" t="str">
            <v>2627GM67</v>
          </cell>
          <cell r="D4040" t="str">
            <v>FTW121KR</v>
          </cell>
          <cell r="E4040">
            <v>46226</v>
          </cell>
        </row>
        <row r="4041">
          <cell r="A4041" t="str">
            <v>2628XK17</v>
          </cell>
          <cell r="D4041" t="str">
            <v>TTS80</v>
          </cell>
          <cell r="E4041">
            <v>46226</v>
          </cell>
        </row>
        <row r="4042">
          <cell r="A4042" t="str">
            <v>2628IA27</v>
          </cell>
          <cell r="D4042" t="str">
            <v>FTW700</v>
          </cell>
          <cell r="E4042">
            <v>46226</v>
          </cell>
        </row>
        <row r="4043">
          <cell r="A4043" t="str">
            <v>2627IA47</v>
          </cell>
          <cell r="D4043" t="str">
            <v>FTW121KR</v>
          </cell>
          <cell r="E4043">
            <v>46226</v>
          </cell>
        </row>
        <row r="4044">
          <cell r="A4044" t="str">
            <v>2628GE57</v>
          </cell>
          <cell r="D4044" t="str">
            <v>KBP34</v>
          </cell>
          <cell r="E4044">
            <v>46226</v>
          </cell>
        </row>
        <row r="4045">
          <cell r="A4045" t="str">
            <v>2627SR67</v>
          </cell>
          <cell r="D4045" t="str">
            <v>TTS80</v>
          </cell>
          <cell r="E4045">
            <v>46226</v>
          </cell>
        </row>
        <row r="4046">
          <cell r="A4046" t="str">
            <v>2627XI57</v>
          </cell>
          <cell r="D4046" t="str">
            <v>KBP76</v>
          </cell>
          <cell r="E4046">
            <v>46226</v>
          </cell>
        </row>
        <row r="4047">
          <cell r="A4047" t="str">
            <v>2624H837</v>
          </cell>
          <cell r="D4047" t="str">
            <v>KBP86</v>
          </cell>
          <cell r="E4047">
            <v>46226</v>
          </cell>
        </row>
        <row r="4048">
          <cell r="A4048" t="str">
            <v>2627ZD67</v>
          </cell>
          <cell r="D4048" t="str">
            <v>FTW503</v>
          </cell>
          <cell r="E4048">
            <v>46226</v>
          </cell>
        </row>
        <row r="4049">
          <cell r="A4049" t="str">
            <v>2628OX37</v>
          </cell>
          <cell r="D4049" t="str">
            <v>S706</v>
          </cell>
          <cell r="E4049">
            <v>46226</v>
          </cell>
        </row>
        <row r="4050">
          <cell r="A4050" t="str">
            <v>2627Q367</v>
          </cell>
          <cell r="D4050" t="str">
            <v>KBP55</v>
          </cell>
          <cell r="E4050">
            <v>46226</v>
          </cell>
        </row>
        <row r="4051">
          <cell r="A4051" t="str">
            <v>2627OQ67</v>
          </cell>
          <cell r="D4051" t="str">
            <v>KBP76</v>
          </cell>
          <cell r="E4051">
            <v>46226</v>
          </cell>
        </row>
        <row r="4052">
          <cell r="A4052" t="str">
            <v>2627FF37</v>
          </cell>
          <cell r="D4052" t="str">
            <v>S15MB</v>
          </cell>
          <cell r="E4052">
            <v>46226</v>
          </cell>
        </row>
        <row r="4053">
          <cell r="A4053" t="str">
            <v>2628L867</v>
          </cell>
          <cell r="D4053" t="str">
            <v>STA156KA</v>
          </cell>
          <cell r="E4053">
            <v>46226</v>
          </cell>
        </row>
        <row r="4054">
          <cell r="A4054" t="str">
            <v>2627ZV67</v>
          </cell>
          <cell r="D4054" t="str">
            <v>FTW503</v>
          </cell>
          <cell r="E4054">
            <v>46226</v>
          </cell>
        </row>
        <row r="4055">
          <cell r="A4055" t="str">
            <v>2628B217</v>
          </cell>
          <cell r="D4055" t="str">
            <v>KBP126</v>
          </cell>
          <cell r="E4055">
            <v>46226</v>
          </cell>
        </row>
        <row r="4056">
          <cell r="A4056" t="str">
            <v>2625S157</v>
          </cell>
          <cell r="D4056" t="str">
            <v>KBP86</v>
          </cell>
          <cell r="E4056">
            <v>46226</v>
          </cell>
        </row>
        <row r="4057">
          <cell r="A4057" t="str">
            <v>2628JX37</v>
          </cell>
          <cell r="D4057" t="str">
            <v>FTP150</v>
          </cell>
          <cell r="E4057">
            <v>46226</v>
          </cell>
        </row>
        <row r="4058">
          <cell r="A4058" t="str">
            <v>2627BC47</v>
          </cell>
          <cell r="D4058" t="str">
            <v>S15MB</v>
          </cell>
          <cell r="E4058">
            <v>46226</v>
          </cell>
        </row>
        <row r="4059">
          <cell r="A4059" t="str">
            <v>2627ZF67</v>
          </cell>
          <cell r="D4059" t="str">
            <v>FTW503</v>
          </cell>
          <cell r="E4059">
            <v>46226</v>
          </cell>
        </row>
        <row r="4060">
          <cell r="A4060" t="str">
            <v>2628QH17</v>
          </cell>
          <cell r="D4060" t="str">
            <v>TTS50</v>
          </cell>
          <cell r="E4060">
            <v>46226</v>
          </cell>
        </row>
        <row r="4061">
          <cell r="A4061" t="str">
            <v>2627Z557</v>
          </cell>
          <cell r="D4061" t="str">
            <v>FTW503</v>
          </cell>
          <cell r="E4061">
            <v>46226</v>
          </cell>
        </row>
        <row r="4062">
          <cell r="A4062" t="str">
            <v>2626GO57</v>
          </cell>
          <cell r="D4062" t="str">
            <v>FTW102K</v>
          </cell>
          <cell r="E4062">
            <v>46226</v>
          </cell>
        </row>
        <row r="4063">
          <cell r="A4063" t="str">
            <v>2628Q637</v>
          </cell>
          <cell r="D4063" t="str">
            <v>TTS80</v>
          </cell>
          <cell r="E4063">
            <v>46226</v>
          </cell>
        </row>
        <row r="4064">
          <cell r="A4064" t="str">
            <v>2627I767</v>
          </cell>
          <cell r="D4064" t="str">
            <v>S706</v>
          </cell>
          <cell r="E4064">
            <v>46226</v>
          </cell>
        </row>
        <row r="4065">
          <cell r="A4065" t="str">
            <v>2628Q837</v>
          </cell>
          <cell r="D4065" t="str">
            <v>TTS80</v>
          </cell>
          <cell r="E4065">
            <v>46226</v>
          </cell>
        </row>
        <row r="4066">
          <cell r="A4066" t="str">
            <v>2627AG27</v>
          </cell>
          <cell r="D4066" t="str">
            <v>S805</v>
          </cell>
          <cell r="E4066">
            <v>46226</v>
          </cell>
        </row>
        <row r="4067">
          <cell r="A4067" t="str">
            <v>2627K317</v>
          </cell>
          <cell r="D4067" t="str">
            <v>S15MB</v>
          </cell>
          <cell r="E4067">
            <v>46226</v>
          </cell>
        </row>
        <row r="4068">
          <cell r="A4068" t="str">
            <v>2627HA67</v>
          </cell>
          <cell r="D4068" t="str">
            <v>FTW121KR</v>
          </cell>
          <cell r="E4068">
            <v>46226</v>
          </cell>
        </row>
        <row r="4069">
          <cell r="A4069" t="str">
            <v>2628DT57</v>
          </cell>
          <cell r="D4069" t="str">
            <v>FTP150</v>
          </cell>
          <cell r="E4069">
            <v>46226</v>
          </cell>
        </row>
        <row r="4070">
          <cell r="A4070" t="str">
            <v>2625S557</v>
          </cell>
          <cell r="D4070" t="str">
            <v>KBP86</v>
          </cell>
          <cell r="E4070">
            <v>46226</v>
          </cell>
        </row>
        <row r="4071">
          <cell r="A4071" t="str">
            <v>2628L567</v>
          </cell>
          <cell r="D4071" t="str">
            <v>STA156KA</v>
          </cell>
          <cell r="E4071">
            <v>46226</v>
          </cell>
        </row>
        <row r="4072">
          <cell r="A4072" t="str">
            <v>2627YJ47</v>
          </cell>
          <cell r="D4072" t="str">
            <v>FTW503</v>
          </cell>
          <cell r="E4072">
            <v>46226</v>
          </cell>
        </row>
        <row r="4073">
          <cell r="A4073" t="str">
            <v>2627JQ17</v>
          </cell>
          <cell r="D4073" t="str">
            <v>KBP126</v>
          </cell>
          <cell r="E4073">
            <v>46226</v>
          </cell>
        </row>
        <row r="4074">
          <cell r="A4074" t="str">
            <v>2628WX17</v>
          </cell>
          <cell r="D4074" t="str">
            <v>KBP55</v>
          </cell>
          <cell r="E4074">
            <v>46226</v>
          </cell>
        </row>
        <row r="4075">
          <cell r="A4075" t="str">
            <v>2628QI17</v>
          </cell>
          <cell r="D4075" t="str">
            <v>FTW700</v>
          </cell>
          <cell r="E4075">
            <v>46226</v>
          </cell>
        </row>
        <row r="4076">
          <cell r="A4076" t="str">
            <v>2628KF27</v>
          </cell>
          <cell r="D4076" t="str">
            <v>KBP52</v>
          </cell>
          <cell r="E4076">
            <v>46226</v>
          </cell>
        </row>
        <row r="4077">
          <cell r="A4077" t="str">
            <v>2612ZA37</v>
          </cell>
          <cell r="D4077" t="str">
            <v>KBP76</v>
          </cell>
          <cell r="E4077">
            <v>46226</v>
          </cell>
        </row>
        <row r="4078">
          <cell r="A4078" t="str">
            <v>2628S917</v>
          </cell>
          <cell r="D4078" t="str">
            <v>FTW121KR</v>
          </cell>
          <cell r="E4078">
            <v>46226</v>
          </cell>
        </row>
        <row r="4079">
          <cell r="A4079" t="str">
            <v>2628EO67</v>
          </cell>
          <cell r="D4079" t="str">
            <v>TTS50</v>
          </cell>
          <cell r="E4079">
            <v>46226</v>
          </cell>
        </row>
        <row r="4080">
          <cell r="A4080" t="str">
            <v>2628LF47</v>
          </cell>
          <cell r="D4080" t="str">
            <v>TTS50</v>
          </cell>
          <cell r="E4080">
            <v>46226</v>
          </cell>
        </row>
        <row r="4081">
          <cell r="A4081" t="str">
            <v>2627PW27</v>
          </cell>
          <cell r="D4081" t="str">
            <v>S805</v>
          </cell>
          <cell r="E4081">
            <v>46226</v>
          </cell>
        </row>
        <row r="4082">
          <cell r="A4082" t="str">
            <v>2626JB67</v>
          </cell>
          <cell r="D4082" t="str">
            <v>FTW121KR</v>
          </cell>
          <cell r="E4082">
            <v>46226</v>
          </cell>
        </row>
        <row r="4083">
          <cell r="A4083" t="str">
            <v>2628XP17</v>
          </cell>
          <cell r="D4083" t="str">
            <v>KBP86</v>
          </cell>
          <cell r="E4083">
            <v>46226</v>
          </cell>
        </row>
        <row r="4084">
          <cell r="A4084" t="str">
            <v>2627EW37</v>
          </cell>
          <cell r="D4084" t="str">
            <v>KBP126</v>
          </cell>
          <cell r="E4084">
            <v>46226</v>
          </cell>
        </row>
        <row r="4085">
          <cell r="A4085" t="str">
            <v>2628SQ17</v>
          </cell>
          <cell r="D4085" t="str">
            <v>FTW121KR</v>
          </cell>
          <cell r="E4085">
            <v>46226</v>
          </cell>
        </row>
        <row r="4086">
          <cell r="A4086" t="str">
            <v>2628GD57</v>
          </cell>
          <cell r="D4086" t="str">
            <v>KBP34</v>
          </cell>
          <cell r="E4086">
            <v>46226</v>
          </cell>
        </row>
        <row r="4087">
          <cell r="A4087" t="str">
            <v>2627KF67</v>
          </cell>
          <cell r="D4087" t="str">
            <v>KBP86</v>
          </cell>
          <cell r="E4087">
            <v>46226</v>
          </cell>
        </row>
        <row r="4088">
          <cell r="A4088" t="str">
            <v>2627LD37</v>
          </cell>
          <cell r="D4088" t="str">
            <v>FTW503</v>
          </cell>
          <cell r="E4088">
            <v>46226</v>
          </cell>
        </row>
        <row r="4089">
          <cell r="A4089" t="str">
            <v>2626F557</v>
          </cell>
          <cell r="D4089" t="str">
            <v>KBP86</v>
          </cell>
          <cell r="E4089">
            <v>46226</v>
          </cell>
        </row>
        <row r="4090">
          <cell r="A4090" t="str">
            <v>2627I947</v>
          </cell>
          <cell r="D4090" t="str">
            <v>FTW121KR</v>
          </cell>
          <cell r="E4090">
            <v>46226</v>
          </cell>
        </row>
        <row r="4091">
          <cell r="A4091" t="str">
            <v>2625IS17</v>
          </cell>
          <cell r="D4091" t="str">
            <v>KBP86</v>
          </cell>
          <cell r="E4091">
            <v>46226</v>
          </cell>
        </row>
        <row r="4092">
          <cell r="A4092" t="str">
            <v>2628SJ17</v>
          </cell>
          <cell r="D4092" t="str">
            <v>FTW121KR</v>
          </cell>
          <cell r="E4092">
            <v>46226</v>
          </cell>
        </row>
        <row r="4093">
          <cell r="A4093" t="str">
            <v>2628KL37</v>
          </cell>
          <cell r="D4093" t="str">
            <v>TTS50</v>
          </cell>
          <cell r="E4093">
            <v>46226</v>
          </cell>
        </row>
        <row r="4094">
          <cell r="A4094" t="str">
            <v>2628LC67</v>
          </cell>
          <cell r="D4094" t="str">
            <v>STA156KA</v>
          </cell>
          <cell r="E4094">
            <v>46226</v>
          </cell>
        </row>
        <row r="4095">
          <cell r="A4095" t="str">
            <v>2625KG47</v>
          </cell>
          <cell r="D4095" t="str">
            <v>S706</v>
          </cell>
          <cell r="E4095">
            <v>46226</v>
          </cell>
        </row>
        <row r="4096">
          <cell r="A4096" t="str">
            <v>2626EY67</v>
          </cell>
          <cell r="D4096" t="str">
            <v>KBP86</v>
          </cell>
          <cell r="E4096">
            <v>46226</v>
          </cell>
        </row>
        <row r="4097">
          <cell r="A4097" t="str">
            <v>2627SE67</v>
          </cell>
          <cell r="D4097" t="str">
            <v>TTS80</v>
          </cell>
          <cell r="E4097">
            <v>46226</v>
          </cell>
        </row>
        <row r="4098">
          <cell r="A4098" t="str">
            <v>2627FN67</v>
          </cell>
          <cell r="D4098" t="str">
            <v>FTW121KR</v>
          </cell>
          <cell r="E4098">
            <v>46226</v>
          </cell>
        </row>
        <row r="4099">
          <cell r="A4099" t="str">
            <v>2626C447</v>
          </cell>
          <cell r="D4099" t="str">
            <v>KBP126</v>
          </cell>
          <cell r="E4099">
            <v>46226</v>
          </cell>
        </row>
        <row r="4100">
          <cell r="A4100" t="str">
            <v>2628AZ17</v>
          </cell>
          <cell r="D4100" t="str">
            <v>KBP126</v>
          </cell>
          <cell r="E4100">
            <v>46226</v>
          </cell>
        </row>
        <row r="4101">
          <cell r="A4101" t="str">
            <v>2628OY37</v>
          </cell>
          <cell r="D4101" t="str">
            <v>S706</v>
          </cell>
          <cell r="E4101">
            <v>46226</v>
          </cell>
        </row>
        <row r="4102">
          <cell r="A4102" t="str">
            <v>2625PO27</v>
          </cell>
          <cell r="D4102" t="str">
            <v>S706</v>
          </cell>
          <cell r="E4102">
            <v>46226</v>
          </cell>
        </row>
        <row r="4103">
          <cell r="A4103" t="str">
            <v>2627UI17</v>
          </cell>
          <cell r="D4103" t="str">
            <v>S706</v>
          </cell>
          <cell r="E4103">
            <v>46226</v>
          </cell>
        </row>
        <row r="4104">
          <cell r="A4104" t="str">
            <v>2628WN17</v>
          </cell>
          <cell r="D4104" t="str">
            <v>KBP76</v>
          </cell>
          <cell r="E4104">
            <v>46226</v>
          </cell>
        </row>
        <row r="4105">
          <cell r="A4105" t="str">
            <v>2627QR67</v>
          </cell>
          <cell r="D4105" t="str">
            <v>TTS80</v>
          </cell>
          <cell r="E4105">
            <v>46226</v>
          </cell>
        </row>
        <row r="4106">
          <cell r="A4106" t="str">
            <v>2627JD67</v>
          </cell>
          <cell r="D4106" t="str">
            <v>KBP76</v>
          </cell>
          <cell r="E4106">
            <v>46226</v>
          </cell>
        </row>
        <row r="4107">
          <cell r="A4107" t="str">
            <v>2627OU37</v>
          </cell>
          <cell r="D4107" t="str">
            <v>FTW121KR</v>
          </cell>
          <cell r="E4107">
            <v>46226</v>
          </cell>
        </row>
        <row r="4108">
          <cell r="A4108" t="str">
            <v>2620J457</v>
          </cell>
          <cell r="D4108" t="str">
            <v>KBP76</v>
          </cell>
          <cell r="E4108">
            <v>46226</v>
          </cell>
        </row>
        <row r="4109">
          <cell r="A4109" t="str">
            <v>2627HO67</v>
          </cell>
          <cell r="D4109" t="str">
            <v>KBP52</v>
          </cell>
          <cell r="E4109">
            <v>46226</v>
          </cell>
        </row>
        <row r="4110">
          <cell r="A4110" t="str">
            <v>2627OT67</v>
          </cell>
          <cell r="D4110" t="str">
            <v>KBP76</v>
          </cell>
          <cell r="E4110">
            <v>46226</v>
          </cell>
        </row>
        <row r="4111">
          <cell r="A4111" t="str">
            <v>2627PY67</v>
          </cell>
          <cell r="D4111" t="str">
            <v>KBP55</v>
          </cell>
          <cell r="E4111">
            <v>46226</v>
          </cell>
        </row>
        <row r="4112">
          <cell r="A4112" t="str">
            <v>2628LG67</v>
          </cell>
          <cell r="D4112" t="str">
            <v>STA156KA</v>
          </cell>
          <cell r="E4112">
            <v>46226</v>
          </cell>
        </row>
        <row r="4113">
          <cell r="A4113" t="str">
            <v>2627UL17</v>
          </cell>
          <cell r="D4113" t="str">
            <v>S706</v>
          </cell>
          <cell r="E4113">
            <v>46226</v>
          </cell>
        </row>
        <row r="4114">
          <cell r="A4114" t="str">
            <v>2627PX67</v>
          </cell>
          <cell r="D4114" t="str">
            <v>KBP55</v>
          </cell>
          <cell r="E4114">
            <v>46226</v>
          </cell>
        </row>
        <row r="4115">
          <cell r="A4115" t="str">
            <v>2625CO67</v>
          </cell>
          <cell r="D4115" t="str">
            <v>S706</v>
          </cell>
          <cell r="E4115">
            <v>46226</v>
          </cell>
        </row>
        <row r="4116">
          <cell r="A4116" t="str">
            <v>2624GX27</v>
          </cell>
          <cell r="D4116" t="str">
            <v>KBP86</v>
          </cell>
          <cell r="E4116">
            <v>46226</v>
          </cell>
        </row>
        <row r="4117">
          <cell r="A4117" t="str">
            <v>2627QF47</v>
          </cell>
          <cell r="D4117" t="str">
            <v>KBP55</v>
          </cell>
          <cell r="E4117">
            <v>46226</v>
          </cell>
        </row>
        <row r="4118">
          <cell r="A4118" t="str">
            <v>2627HF47</v>
          </cell>
          <cell r="D4118" t="str">
            <v>FTW121KR</v>
          </cell>
          <cell r="E4118">
            <v>46226</v>
          </cell>
        </row>
        <row r="4119">
          <cell r="A4119" t="str">
            <v>2625JU47</v>
          </cell>
          <cell r="D4119" t="str">
            <v>KBP86</v>
          </cell>
          <cell r="E4119">
            <v>46226</v>
          </cell>
        </row>
        <row r="4120">
          <cell r="A4120" t="str">
            <v>2627S567</v>
          </cell>
          <cell r="D4120" t="str">
            <v>TTS80</v>
          </cell>
          <cell r="E4120">
            <v>46226</v>
          </cell>
        </row>
        <row r="4121">
          <cell r="A4121" t="str">
            <v>2628EN67</v>
          </cell>
          <cell r="D4121" t="str">
            <v>TTS50</v>
          </cell>
          <cell r="E4121">
            <v>46226</v>
          </cell>
        </row>
        <row r="4122">
          <cell r="A4122" t="str">
            <v>2627SF67</v>
          </cell>
          <cell r="D4122" t="str">
            <v>TTS80</v>
          </cell>
          <cell r="E4122">
            <v>46226</v>
          </cell>
        </row>
        <row r="4123">
          <cell r="A4123" t="str">
            <v>2628AI27</v>
          </cell>
          <cell r="D4123" t="str">
            <v>KBP126</v>
          </cell>
          <cell r="E4123">
            <v>46226</v>
          </cell>
        </row>
        <row r="4124">
          <cell r="A4124" t="str">
            <v>2627YF47</v>
          </cell>
          <cell r="D4124" t="str">
            <v>FTW503</v>
          </cell>
          <cell r="E4124">
            <v>46226</v>
          </cell>
        </row>
        <row r="4125">
          <cell r="A4125" t="str">
            <v>2628L967</v>
          </cell>
          <cell r="D4125" t="str">
            <v>STA156KA</v>
          </cell>
          <cell r="E4125">
            <v>46226</v>
          </cell>
        </row>
        <row r="4126">
          <cell r="A4126" t="str">
            <v>2626L827</v>
          </cell>
          <cell r="D4126" t="str">
            <v>KBP86</v>
          </cell>
          <cell r="E4126">
            <v>46226</v>
          </cell>
        </row>
        <row r="4127">
          <cell r="A4127" t="str">
            <v>2628VU17</v>
          </cell>
          <cell r="D4127" t="str">
            <v>S706</v>
          </cell>
          <cell r="E4127">
            <v>46226</v>
          </cell>
        </row>
        <row r="4128">
          <cell r="A4128" t="str">
            <v>2626PP57</v>
          </cell>
          <cell r="D4128" t="str">
            <v>S15MB</v>
          </cell>
          <cell r="E4128">
            <v>46226</v>
          </cell>
        </row>
        <row r="4129">
          <cell r="A4129" t="str">
            <v>2628U717</v>
          </cell>
          <cell r="D4129" t="str">
            <v>KBP86</v>
          </cell>
          <cell r="E4129">
            <v>46226</v>
          </cell>
        </row>
        <row r="4130">
          <cell r="A4130" t="str">
            <v>2627ZR67</v>
          </cell>
          <cell r="D4130" t="str">
            <v>FTW503</v>
          </cell>
          <cell r="E4130">
            <v>46226</v>
          </cell>
        </row>
        <row r="4131">
          <cell r="A4131" t="str">
            <v>2627QS27</v>
          </cell>
          <cell r="D4131" t="str">
            <v>FTW121KR</v>
          </cell>
          <cell r="E4131">
            <v>46226</v>
          </cell>
        </row>
        <row r="4132">
          <cell r="A4132" t="str">
            <v>2628GF57</v>
          </cell>
          <cell r="D4132" t="str">
            <v>KBP34</v>
          </cell>
          <cell r="E4132">
            <v>46226</v>
          </cell>
        </row>
        <row r="4133">
          <cell r="A4133" t="str">
            <v>2628W417</v>
          </cell>
          <cell r="D4133" t="str">
            <v>S706</v>
          </cell>
          <cell r="E4133">
            <v>46226</v>
          </cell>
        </row>
        <row r="4134">
          <cell r="A4134" t="str">
            <v>2627G867</v>
          </cell>
          <cell r="D4134" t="str">
            <v>FTW121KR</v>
          </cell>
          <cell r="E4134">
            <v>46226</v>
          </cell>
        </row>
        <row r="4135">
          <cell r="A4135" t="str">
            <v>2628IP27</v>
          </cell>
          <cell r="D4135" t="str">
            <v>FTW121KR</v>
          </cell>
          <cell r="E4135">
            <v>46226</v>
          </cell>
        </row>
        <row r="4136">
          <cell r="A4136" t="str">
            <v>2627PZ67</v>
          </cell>
          <cell r="D4136" t="str">
            <v>KBP55</v>
          </cell>
          <cell r="E4136">
            <v>46226</v>
          </cell>
        </row>
        <row r="4137">
          <cell r="A4137" t="str">
            <v>2627JE67</v>
          </cell>
          <cell r="D4137" t="str">
            <v>KBP76</v>
          </cell>
          <cell r="E4137">
            <v>46226</v>
          </cell>
        </row>
        <row r="4138">
          <cell r="A4138" t="str">
            <v>2626JQ67</v>
          </cell>
          <cell r="D4138" t="str">
            <v>S706</v>
          </cell>
          <cell r="E4138">
            <v>46226</v>
          </cell>
        </row>
        <row r="4139">
          <cell r="A4139" t="str">
            <v>2625PC27</v>
          </cell>
          <cell r="D4139" t="str">
            <v>KBP86</v>
          </cell>
          <cell r="E4139">
            <v>46226</v>
          </cell>
        </row>
        <row r="4140">
          <cell r="A4140" t="str">
            <v>2628U327</v>
          </cell>
          <cell r="D4140" t="str">
            <v>KBP86</v>
          </cell>
          <cell r="E4140">
            <v>46226</v>
          </cell>
        </row>
        <row r="4141">
          <cell r="A4141" t="str">
            <v>2628PX37</v>
          </cell>
          <cell r="D4141" t="str">
            <v>TTS80</v>
          </cell>
          <cell r="E4141">
            <v>46226</v>
          </cell>
        </row>
        <row r="4142">
          <cell r="A4142" t="str">
            <v>2625PD47</v>
          </cell>
          <cell r="D4142" t="str">
            <v>KBP86</v>
          </cell>
          <cell r="E4142">
            <v>46226</v>
          </cell>
        </row>
        <row r="4143">
          <cell r="A4143" t="str">
            <v>2627GH67</v>
          </cell>
          <cell r="D4143" t="str">
            <v>FTW121KR</v>
          </cell>
          <cell r="E4143">
            <v>46226</v>
          </cell>
        </row>
        <row r="4144">
          <cell r="A4144" t="str">
            <v>2627EV37</v>
          </cell>
          <cell r="D4144" t="str">
            <v>KBP126</v>
          </cell>
          <cell r="E4144">
            <v>46226</v>
          </cell>
        </row>
        <row r="4145">
          <cell r="A4145" t="str">
            <v>2628DR57</v>
          </cell>
          <cell r="D4145" t="str">
            <v>FTP150</v>
          </cell>
          <cell r="E4145">
            <v>46226</v>
          </cell>
        </row>
        <row r="4146">
          <cell r="A4146" t="str">
            <v>2628Q527</v>
          </cell>
          <cell r="D4146" t="str">
            <v>TTS80</v>
          </cell>
          <cell r="E4146">
            <v>46225</v>
          </cell>
        </row>
        <row r="4147">
          <cell r="A4147" t="str">
            <v>2627UT27</v>
          </cell>
          <cell r="D4147" t="str">
            <v>S706</v>
          </cell>
          <cell r="E4147">
            <v>46225</v>
          </cell>
        </row>
        <row r="4148">
          <cell r="A4148" t="str">
            <v>2628WJ17</v>
          </cell>
          <cell r="D4148" t="str">
            <v>KBP52</v>
          </cell>
          <cell r="E4148">
            <v>46225</v>
          </cell>
        </row>
        <row r="4149">
          <cell r="A4149" t="str">
            <v>2625Y437</v>
          </cell>
          <cell r="D4149" t="str">
            <v>STA156KA</v>
          </cell>
          <cell r="E4149">
            <v>46225</v>
          </cell>
        </row>
        <row r="4150">
          <cell r="A4150" t="str">
            <v>2628Q427</v>
          </cell>
          <cell r="D4150" t="str">
            <v>TTS80</v>
          </cell>
          <cell r="E4150">
            <v>46225</v>
          </cell>
        </row>
        <row r="4151">
          <cell r="A4151" t="str">
            <v>2622VM47</v>
          </cell>
          <cell r="D4151" t="str">
            <v>KBP76</v>
          </cell>
          <cell r="E4151">
            <v>46225</v>
          </cell>
        </row>
        <row r="4152">
          <cell r="A4152" t="str">
            <v>2627I547</v>
          </cell>
          <cell r="D4152" t="str">
            <v>FTW121KE</v>
          </cell>
          <cell r="E4152">
            <v>46225</v>
          </cell>
        </row>
        <row r="4153">
          <cell r="A4153" t="str">
            <v>2627Z357</v>
          </cell>
          <cell r="D4153" t="str">
            <v>FTW503</v>
          </cell>
          <cell r="E4153">
            <v>46225</v>
          </cell>
        </row>
        <row r="4154">
          <cell r="A4154" t="str">
            <v>2628Q827</v>
          </cell>
          <cell r="D4154" t="str">
            <v>TTS80</v>
          </cell>
          <cell r="E4154">
            <v>46225</v>
          </cell>
        </row>
        <row r="4155">
          <cell r="A4155" t="str">
            <v>2628LV47</v>
          </cell>
          <cell r="D4155" t="str">
            <v>FTP200</v>
          </cell>
          <cell r="E4155">
            <v>46225</v>
          </cell>
        </row>
        <row r="4156">
          <cell r="A4156" t="str">
            <v>2622O247</v>
          </cell>
          <cell r="D4156" t="str">
            <v>S805</v>
          </cell>
          <cell r="E4156">
            <v>46225</v>
          </cell>
        </row>
        <row r="4157">
          <cell r="A4157" t="str">
            <v>2627LU17</v>
          </cell>
          <cell r="D4157" t="str">
            <v>FTW503</v>
          </cell>
          <cell r="E4157">
            <v>46225</v>
          </cell>
        </row>
        <row r="4158">
          <cell r="A4158" t="str">
            <v>2628OB37</v>
          </cell>
          <cell r="D4158" t="str">
            <v>TTS80</v>
          </cell>
          <cell r="E4158">
            <v>46225</v>
          </cell>
        </row>
        <row r="4159">
          <cell r="A4159" t="str">
            <v>2627WF27</v>
          </cell>
          <cell r="D4159" t="str">
            <v>KBP86</v>
          </cell>
          <cell r="E4159">
            <v>46225</v>
          </cell>
        </row>
        <row r="4160">
          <cell r="A4160" t="str">
            <v>2627PU37</v>
          </cell>
          <cell r="D4160" t="str">
            <v>FTW121KE</v>
          </cell>
          <cell r="E4160">
            <v>46225</v>
          </cell>
        </row>
        <row r="4161">
          <cell r="A4161" t="str">
            <v>2626FN60</v>
          </cell>
          <cell r="D4161" t="str">
            <v>TTS125</v>
          </cell>
          <cell r="E4161">
            <v>46225</v>
          </cell>
        </row>
        <row r="4162">
          <cell r="A4162" t="str">
            <v>2627Q567</v>
          </cell>
          <cell r="D4162" t="str">
            <v>FTP200</v>
          </cell>
          <cell r="E4162">
            <v>46225</v>
          </cell>
        </row>
        <row r="4163">
          <cell r="A4163" t="str">
            <v>2627W927</v>
          </cell>
          <cell r="D4163" t="str">
            <v>TTS80</v>
          </cell>
          <cell r="E4163">
            <v>46225</v>
          </cell>
        </row>
        <row r="4164">
          <cell r="A4164" t="str">
            <v>2627VB17</v>
          </cell>
          <cell r="D4164" t="str">
            <v>S706</v>
          </cell>
          <cell r="E4164">
            <v>46225</v>
          </cell>
        </row>
        <row r="4165">
          <cell r="A4165" t="str">
            <v>2627FR30</v>
          </cell>
          <cell r="D4165" t="str">
            <v>TTS125</v>
          </cell>
          <cell r="E4165">
            <v>46225</v>
          </cell>
        </row>
        <row r="4166">
          <cell r="A4166" t="str">
            <v>2623S637</v>
          </cell>
          <cell r="D4166" t="str">
            <v>KBP74</v>
          </cell>
          <cell r="E4166">
            <v>46225</v>
          </cell>
        </row>
        <row r="4167">
          <cell r="A4167" t="str">
            <v>2627XO57</v>
          </cell>
          <cell r="D4167" t="str">
            <v>KBP76</v>
          </cell>
          <cell r="E4167">
            <v>46225</v>
          </cell>
        </row>
        <row r="4168">
          <cell r="A4168" t="str">
            <v>2624CJ17</v>
          </cell>
          <cell r="D4168" t="str">
            <v>KBP86</v>
          </cell>
          <cell r="E4168">
            <v>46225</v>
          </cell>
        </row>
        <row r="4169">
          <cell r="A4169" t="str">
            <v>2627FQ80</v>
          </cell>
          <cell r="D4169" t="str">
            <v>TTS125</v>
          </cell>
          <cell r="E4169">
            <v>46225</v>
          </cell>
        </row>
        <row r="4170">
          <cell r="A4170" t="str">
            <v>2628UN17</v>
          </cell>
          <cell r="D4170" t="str">
            <v>KBP52</v>
          </cell>
          <cell r="E4170">
            <v>46225</v>
          </cell>
        </row>
        <row r="4171">
          <cell r="A4171" t="str">
            <v>2626K867</v>
          </cell>
          <cell r="D4171" t="str">
            <v>S706</v>
          </cell>
          <cell r="E4171">
            <v>46225</v>
          </cell>
        </row>
        <row r="4172">
          <cell r="A4172" t="str">
            <v>2628WK17</v>
          </cell>
          <cell r="D4172" t="str">
            <v>KBP52</v>
          </cell>
          <cell r="E4172">
            <v>46225</v>
          </cell>
        </row>
        <row r="4173">
          <cell r="A4173" t="str">
            <v>2627FQ70</v>
          </cell>
          <cell r="D4173" t="str">
            <v>TTS125</v>
          </cell>
          <cell r="E4173">
            <v>46225</v>
          </cell>
        </row>
        <row r="4174">
          <cell r="A4174" t="str">
            <v>2623LT47</v>
          </cell>
          <cell r="D4174" t="str">
            <v>KBP76</v>
          </cell>
          <cell r="E4174">
            <v>46225</v>
          </cell>
        </row>
        <row r="4175">
          <cell r="A4175" t="str">
            <v>2625PX27</v>
          </cell>
          <cell r="D4175" t="str">
            <v>S706</v>
          </cell>
          <cell r="E4175">
            <v>46225</v>
          </cell>
        </row>
        <row r="4176">
          <cell r="A4176" t="str">
            <v>2627ID47</v>
          </cell>
          <cell r="D4176" t="str">
            <v>FTW121KE</v>
          </cell>
          <cell r="E4176">
            <v>46225</v>
          </cell>
        </row>
        <row r="4177">
          <cell r="A4177" t="str">
            <v>2628P617</v>
          </cell>
          <cell r="D4177" t="str">
            <v>FTP150</v>
          </cell>
          <cell r="E4177">
            <v>46225</v>
          </cell>
        </row>
        <row r="4178">
          <cell r="A4178" t="str">
            <v>2628SE17</v>
          </cell>
          <cell r="D4178" t="str">
            <v>FTW121KE</v>
          </cell>
          <cell r="E4178">
            <v>46225</v>
          </cell>
        </row>
        <row r="4179">
          <cell r="A4179" t="str">
            <v>2627UH27</v>
          </cell>
          <cell r="D4179" t="str">
            <v>S706</v>
          </cell>
          <cell r="E4179">
            <v>46225</v>
          </cell>
        </row>
        <row r="4180">
          <cell r="A4180" t="str">
            <v>2624HC37</v>
          </cell>
          <cell r="D4180" t="str">
            <v>KBP86</v>
          </cell>
          <cell r="E4180">
            <v>46225</v>
          </cell>
        </row>
        <row r="4181">
          <cell r="A4181" t="str">
            <v>2627W727</v>
          </cell>
          <cell r="D4181" t="str">
            <v>TTS80</v>
          </cell>
          <cell r="E4181">
            <v>46225</v>
          </cell>
        </row>
        <row r="4182">
          <cell r="A4182" t="str">
            <v>2628LO47</v>
          </cell>
          <cell r="D4182" t="str">
            <v>KBP86</v>
          </cell>
          <cell r="E4182">
            <v>46225</v>
          </cell>
        </row>
        <row r="4183">
          <cell r="A4183" t="str">
            <v>2628O337</v>
          </cell>
          <cell r="D4183" t="str">
            <v>FTP200</v>
          </cell>
          <cell r="E4183">
            <v>46225</v>
          </cell>
        </row>
        <row r="4184">
          <cell r="A4184" t="str">
            <v>2627GT67</v>
          </cell>
          <cell r="D4184" t="str">
            <v>FTW121KE</v>
          </cell>
          <cell r="E4184">
            <v>46225</v>
          </cell>
        </row>
        <row r="4185">
          <cell r="A4185" t="str">
            <v>2627KG47</v>
          </cell>
          <cell r="D4185" t="str">
            <v>KBP76</v>
          </cell>
          <cell r="E4185">
            <v>46225</v>
          </cell>
        </row>
        <row r="4186">
          <cell r="A4186" t="str">
            <v>2627QJ27</v>
          </cell>
          <cell r="D4186" t="str">
            <v>FTW121KE</v>
          </cell>
          <cell r="E4186">
            <v>46225</v>
          </cell>
        </row>
        <row r="4187">
          <cell r="A4187" t="str">
            <v>2627PM37</v>
          </cell>
          <cell r="D4187" t="str">
            <v>FTW121KE</v>
          </cell>
          <cell r="E4187">
            <v>46225</v>
          </cell>
        </row>
        <row r="4188">
          <cell r="A4188" t="str">
            <v>2627LM47</v>
          </cell>
          <cell r="D4188" t="str">
            <v>TTS80</v>
          </cell>
          <cell r="E4188">
            <v>46225</v>
          </cell>
        </row>
        <row r="4189">
          <cell r="A4189" t="str">
            <v>2627P727</v>
          </cell>
          <cell r="D4189" t="str">
            <v>FTW503</v>
          </cell>
          <cell r="E4189">
            <v>46225</v>
          </cell>
        </row>
        <row r="4190">
          <cell r="A4190" t="str">
            <v>2625QK57</v>
          </cell>
          <cell r="D4190" t="str">
            <v>FTW503</v>
          </cell>
          <cell r="E4190">
            <v>46225</v>
          </cell>
        </row>
        <row r="4191">
          <cell r="A4191" t="str">
            <v>2509A827</v>
          </cell>
          <cell r="D4191" t="str">
            <v>STA156KA</v>
          </cell>
          <cell r="E4191">
            <v>46225</v>
          </cell>
        </row>
        <row r="4192">
          <cell r="A4192" t="str">
            <v>2626UF37</v>
          </cell>
          <cell r="D4192" t="str">
            <v>TTS80</v>
          </cell>
          <cell r="E4192">
            <v>46225</v>
          </cell>
        </row>
        <row r="4193">
          <cell r="A4193" t="str">
            <v>2627X217</v>
          </cell>
          <cell r="D4193" t="str">
            <v>KBP76</v>
          </cell>
          <cell r="E4193">
            <v>46225</v>
          </cell>
        </row>
        <row r="4194">
          <cell r="A4194" t="str">
            <v>2627DF57</v>
          </cell>
          <cell r="D4194" t="str">
            <v>FTW102K</v>
          </cell>
          <cell r="E4194">
            <v>46225</v>
          </cell>
        </row>
        <row r="4195">
          <cell r="A4195" t="str">
            <v>2627UW37</v>
          </cell>
          <cell r="D4195" t="str">
            <v>TTS80</v>
          </cell>
          <cell r="E4195">
            <v>46225</v>
          </cell>
        </row>
        <row r="4196">
          <cell r="A4196" t="str">
            <v>2627WK27</v>
          </cell>
          <cell r="D4196" t="str">
            <v>KBP86</v>
          </cell>
          <cell r="E4196">
            <v>46225</v>
          </cell>
        </row>
        <row r="4197">
          <cell r="A4197" t="str">
            <v>2626JI57</v>
          </cell>
          <cell r="D4197" t="str">
            <v>S706</v>
          </cell>
          <cell r="E4197">
            <v>46225</v>
          </cell>
        </row>
        <row r="4198">
          <cell r="A4198" t="str">
            <v>2627L117</v>
          </cell>
          <cell r="D4198" t="str">
            <v>FTW503</v>
          </cell>
          <cell r="E4198">
            <v>46225</v>
          </cell>
        </row>
        <row r="4199">
          <cell r="A4199" t="str">
            <v>2628UJ17</v>
          </cell>
          <cell r="D4199" t="str">
            <v>FTW102K</v>
          </cell>
          <cell r="E4199">
            <v>46225</v>
          </cell>
        </row>
        <row r="4200">
          <cell r="A4200" t="str">
            <v>2628LP47</v>
          </cell>
          <cell r="D4200" t="str">
            <v>KBP86</v>
          </cell>
          <cell r="E4200">
            <v>46225</v>
          </cell>
        </row>
        <row r="4201">
          <cell r="A4201" t="str">
            <v>2627EF67</v>
          </cell>
          <cell r="D4201" t="str">
            <v>FTW700</v>
          </cell>
          <cell r="E4201">
            <v>46225</v>
          </cell>
        </row>
        <row r="4202">
          <cell r="A4202" t="str">
            <v>2628JS37</v>
          </cell>
          <cell r="D4202" t="str">
            <v>FTP150</v>
          </cell>
          <cell r="E4202">
            <v>46225</v>
          </cell>
        </row>
        <row r="4203">
          <cell r="A4203" t="str">
            <v>2627DE57</v>
          </cell>
          <cell r="D4203" t="str">
            <v>FTW102K</v>
          </cell>
          <cell r="E4203">
            <v>46225</v>
          </cell>
        </row>
        <row r="4204">
          <cell r="A4204" t="str">
            <v>2627PV17</v>
          </cell>
          <cell r="D4204" t="str">
            <v>FTW121KE</v>
          </cell>
          <cell r="E4204">
            <v>46225</v>
          </cell>
        </row>
        <row r="4205">
          <cell r="A4205" t="str">
            <v>2627EP67</v>
          </cell>
          <cell r="D4205" t="str">
            <v>FTW102K</v>
          </cell>
          <cell r="E4205">
            <v>46225</v>
          </cell>
        </row>
        <row r="4206">
          <cell r="A4206" t="str">
            <v>2624QO37</v>
          </cell>
          <cell r="D4206" t="str">
            <v>KBP74</v>
          </cell>
          <cell r="E4206">
            <v>46225</v>
          </cell>
        </row>
        <row r="4207">
          <cell r="A4207" t="str">
            <v>2628P217</v>
          </cell>
          <cell r="D4207" t="str">
            <v>FTP150</v>
          </cell>
          <cell r="E4207">
            <v>46225</v>
          </cell>
        </row>
        <row r="4208">
          <cell r="A4208" t="str">
            <v>2625I447</v>
          </cell>
          <cell r="D4208" t="str">
            <v>KBP76</v>
          </cell>
          <cell r="E4208">
            <v>46225</v>
          </cell>
        </row>
        <row r="4209">
          <cell r="A4209" t="str">
            <v>2626OF67</v>
          </cell>
          <cell r="D4209" t="str">
            <v>TTS80</v>
          </cell>
          <cell r="E4209">
            <v>46225</v>
          </cell>
        </row>
        <row r="4210">
          <cell r="A4210" t="str">
            <v>2627DH57</v>
          </cell>
          <cell r="D4210" t="str">
            <v>FTW102K</v>
          </cell>
          <cell r="E4210">
            <v>46225</v>
          </cell>
        </row>
        <row r="4211">
          <cell r="A4211" t="str">
            <v>2627ED67</v>
          </cell>
          <cell r="D4211" t="str">
            <v>FTW700</v>
          </cell>
          <cell r="E4211">
            <v>46225</v>
          </cell>
        </row>
        <row r="4212">
          <cell r="A4212" t="str">
            <v>2626P217</v>
          </cell>
          <cell r="D4212" t="str">
            <v>KBP76</v>
          </cell>
          <cell r="E4212">
            <v>46225</v>
          </cell>
        </row>
        <row r="4213">
          <cell r="A4213" t="str">
            <v>2628O237</v>
          </cell>
          <cell r="D4213" t="str">
            <v>FTP200</v>
          </cell>
          <cell r="E4213">
            <v>46225</v>
          </cell>
        </row>
        <row r="4214">
          <cell r="A4214" t="str">
            <v>2627UD37</v>
          </cell>
          <cell r="D4214" t="str">
            <v>TTS80</v>
          </cell>
          <cell r="E4214">
            <v>46225</v>
          </cell>
        </row>
        <row r="4215">
          <cell r="A4215" t="str">
            <v>2614YV47</v>
          </cell>
          <cell r="D4215" t="str">
            <v>S706</v>
          </cell>
          <cell r="E4215">
            <v>46225</v>
          </cell>
        </row>
        <row r="4216">
          <cell r="A4216" t="str">
            <v>2627LO17</v>
          </cell>
          <cell r="D4216" t="str">
            <v>FTW503</v>
          </cell>
          <cell r="E4216">
            <v>46225</v>
          </cell>
        </row>
        <row r="4217">
          <cell r="A4217" t="str">
            <v>2627LP37</v>
          </cell>
          <cell r="D4217" t="str">
            <v>FTW503</v>
          </cell>
          <cell r="E4217">
            <v>46225</v>
          </cell>
        </row>
        <row r="4218">
          <cell r="A4218" t="str">
            <v>2627OW57</v>
          </cell>
          <cell r="D4218" t="str">
            <v>KBP86</v>
          </cell>
          <cell r="E4218">
            <v>46225</v>
          </cell>
        </row>
        <row r="4219">
          <cell r="A4219" t="str">
            <v>2626LJ17</v>
          </cell>
          <cell r="D4219" t="str">
            <v>S706</v>
          </cell>
          <cell r="E4219">
            <v>46225</v>
          </cell>
        </row>
        <row r="4220">
          <cell r="A4220" t="str">
            <v>2627LN37</v>
          </cell>
          <cell r="D4220" t="str">
            <v>FTW503</v>
          </cell>
          <cell r="E4220">
            <v>46225</v>
          </cell>
        </row>
        <row r="4221">
          <cell r="A4221" t="str">
            <v>2625QG57</v>
          </cell>
          <cell r="D4221" t="str">
            <v>FTW503</v>
          </cell>
          <cell r="E4221">
            <v>46225</v>
          </cell>
        </row>
        <row r="4222">
          <cell r="A4222" t="str">
            <v>2627YG57</v>
          </cell>
          <cell r="D4222" t="str">
            <v>FTW503</v>
          </cell>
          <cell r="E4222">
            <v>46225</v>
          </cell>
        </row>
        <row r="4223">
          <cell r="A4223" t="str">
            <v>2627A127</v>
          </cell>
          <cell r="D4223" t="str">
            <v>TTS80</v>
          </cell>
          <cell r="E4223">
            <v>46225</v>
          </cell>
        </row>
        <row r="4224">
          <cell r="A4224" t="str">
            <v>2627EC67</v>
          </cell>
          <cell r="D4224" t="str">
            <v>FTW700</v>
          </cell>
          <cell r="E4224">
            <v>46225</v>
          </cell>
        </row>
        <row r="4225">
          <cell r="A4225" t="str">
            <v>2627UD27</v>
          </cell>
          <cell r="D4225" t="str">
            <v>S706</v>
          </cell>
          <cell r="E4225">
            <v>46225</v>
          </cell>
        </row>
        <row r="4226">
          <cell r="A4226" t="str">
            <v>2627IG47</v>
          </cell>
          <cell r="D4226" t="str">
            <v>FTW121KE</v>
          </cell>
          <cell r="E4226">
            <v>46225</v>
          </cell>
        </row>
        <row r="4227">
          <cell r="A4227" t="str">
            <v>2627AQ67</v>
          </cell>
          <cell r="D4227" t="str">
            <v>TTS50</v>
          </cell>
          <cell r="E4227">
            <v>46225</v>
          </cell>
        </row>
        <row r="4228">
          <cell r="A4228" t="str">
            <v>2627P817</v>
          </cell>
          <cell r="D4228" t="str">
            <v>FTW102K</v>
          </cell>
          <cell r="E4228">
            <v>46225</v>
          </cell>
        </row>
        <row r="4229">
          <cell r="A4229" t="str">
            <v>2621Q127</v>
          </cell>
          <cell r="D4229" t="str">
            <v>KBP55</v>
          </cell>
          <cell r="E4229">
            <v>46225</v>
          </cell>
        </row>
        <row r="4230">
          <cell r="A4230" t="str">
            <v>2627ST27</v>
          </cell>
          <cell r="D4230" t="str">
            <v>S706</v>
          </cell>
          <cell r="E4230">
            <v>46225</v>
          </cell>
        </row>
        <row r="4231">
          <cell r="A4231" t="str">
            <v>2624I857</v>
          </cell>
          <cell r="D4231" t="str">
            <v>S706</v>
          </cell>
          <cell r="E4231">
            <v>46225</v>
          </cell>
        </row>
        <row r="4232">
          <cell r="A4232" t="str">
            <v>2625OZ67</v>
          </cell>
          <cell r="D4232" t="str">
            <v>FTW121KE</v>
          </cell>
          <cell r="E4232">
            <v>46225</v>
          </cell>
        </row>
        <row r="4233">
          <cell r="A4233" t="str">
            <v>2628LT47</v>
          </cell>
          <cell r="D4233" t="str">
            <v>FTP200</v>
          </cell>
          <cell r="E4233">
            <v>46225</v>
          </cell>
        </row>
        <row r="4234">
          <cell r="A4234" t="str">
            <v>2626PZ47</v>
          </cell>
          <cell r="D4234" t="str">
            <v>S706</v>
          </cell>
          <cell r="E4234">
            <v>46225</v>
          </cell>
        </row>
        <row r="4235">
          <cell r="A4235" t="str">
            <v>2627IZ67</v>
          </cell>
          <cell r="D4235" t="str">
            <v>S706</v>
          </cell>
          <cell r="E4235">
            <v>46225</v>
          </cell>
        </row>
        <row r="4236">
          <cell r="A4236" t="str">
            <v>2628O637</v>
          </cell>
          <cell r="D4236" t="str">
            <v>FTW102K</v>
          </cell>
          <cell r="E4236">
            <v>46225</v>
          </cell>
        </row>
        <row r="4237">
          <cell r="A4237" t="str">
            <v>2627OU57</v>
          </cell>
          <cell r="D4237" t="str">
            <v>KBP86</v>
          </cell>
          <cell r="E4237">
            <v>46225</v>
          </cell>
        </row>
        <row r="4238">
          <cell r="A4238" t="str">
            <v>2627A327</v>
          </cell>
          <cell r="D4238" t="str">
            <v>TTS80</v>
          </cell>
          <cell r="E4238">
            <v>46225</v>
          </cell>
        </row>
        <row r="4239">
          <cell r="A4239" t="str">
            <v>2626IN47</v>
          </cell>
          <cell r="D4239" t="str">
            <v>KBP76</v>
          </cell>
          <cell r="E4239">
            <v>46225</v>
          </cell>
        </row>
        <row r="4240">
          <cell r="A4240" t="str">
            <v>2628UH17</v>
          </cell>
          <cell r="D4240" t="str">
            <v>FTW102K</v>
          </cell>
          <cell r="E4240">
            <v>46225</v>
          </cell>
        </row>
        <row r="4241">
          <cell r="A4241" t="str">
            <v>2625K427</v>
          </cell>
          <cell r="D4241" t="str">
            <v>KBP86</v>
          </cell>
          <cell r="E4241">
            <v>46225</v>
          </cell>
        </row>
        <row r="4242">
          <cell r="A4242" t="str">
            <v>2615ZM27</v>
          </cell>
          <cell r="D4242" t="str">
            <v>S706</v>
          </cell>
          <cell r="E4242">
            <v>46225</v>
          </cell>
        </row>
        <row r="4243">
          <cell r="A4243" t="str">
            <v>2625I457</v>
          </cell>
          <cell r="D4243" t="str">
            <v>KBP76</v>
          </cell>
          <cell r="E4243">
            <v>46225</v>
          </cell>
        </row>
        <row r="4244">
          <cell r="A4244" t="str">
            <v>2625KM27</v>
          </cell>
          <cell r="D4244" t="str">
            <v>KBP76</v>
          </cell>
          <cell r="E4244">
            <v>46225</v>
          </cell>
        </row>
        <row r="4245">
          <cell r="A4245" t="str">
            <v>2627OJ67</v>
          </cell>
          <cell r="D4245" t="str">
            <v>KBP76</v>
          </cell>
          <cell r="E4245">
            <v>46225</v>
          </cell>
        </row>
        <row r="4246">
          <cell r="A4246" t="str">
            <v>2627HT67</v>
          </cell>
          <cell r="D4246" t="str">
            <v>S706</v>
          </cell>
          <cell r="E4246">
            <v>46225</v>
          </cell>
        </row>
        <row r="4247">
          <cell r="A4247" t="str">
            <v>2627PW37</v>
          </cell>
          <cell r="D4247" t="str">
            <v>FTW121KE</v>
          </cell>
          <cell r="E4247">
            <v>46225</v>
          </cell>
        </row>
        <row r="4248">
          <cell r="A4248" t="str">
            <v>2627PC37</v>
          </cell>
          <cell r="D4248" t="str">
            <v>FTW121KE</v>
          </cell>
          <cell r="E4248">
            <v>46225</v>
          </cell>
        </row>
        <row r="4249">
          <cell r="A4249" t="str">
            <v>2624HR57</v>
          </cell>
          <cell r="D4249" t="str">
            <v>KBP76</v>
          </cell>
          <cell r="E4249">
            <v>46225</v>
          </cell>
        </row>
        <row r="4250">
          <cell r="A4250" t="str">
            <v>2623Q417</v>
          </cell>
          <cell r="D4250" t="str">
            <v>KBP76</v>
          </cell>
          <cell r="E4250">
            <v>46225</v>
          </cell>
        </row>
        <row r="4251">
          <cell r="A4251" t="str">
            <v>2626PG17</v>
          </cell>
          <cell r="D4251" t="str">
            <v>KBP55</v>
          </cell>
          <cell r="E4251">
            <v>46225</v>
          </cell>
        </row>
        <row r="4252">
          <cell r="A4252" t="str">
            <v>2628U317</v>
          </cell>
          <cell r="D4252" t="str">
            <v>FTW121KE</v>
          </cell>
          <cell r="E4252">
            <v>46225</v>
          </cell>
        </row>
        <row r="4253">
          <cell r="A4253" t="str">
            <v>2627WZ17</v>
          </cell>
          <cell r="D4253" t="str">
            <v>KBP76</v>
          </cell>
          <cell r="E4253">
            <v>46225</v>
          </cell>
        </row>
        <row r="4254">
          <cell r="A4254" t="str">
            <v>2627L437</v>
          </cell>
          <cell r="D4254" t="str">
            <v>KBP76</v>
          </cell>
          <cell r="E4254">
            <v>46225</v>
          </cell>
        </row>
        <row r="4255">
          <cell r="A4255" t="str">
            <v>2625LV57</v>
          </cell>
          <cell r="D4255" t="str">
            <v>KBP55</v>
          </cell>
          <cell r="E4255">
            <v>46225</v>
          </cell>
        </row>
        <row r="4256">
          <cell r="A4256" t="str">
            <v>2627VS17</v>
          </cell>
          <cell r="D4256" t="str">
            <v>KBP76</v>
          </cell>
          <cell r="E4256">
            <v>46225</v>
          </cell>
        </row>
        <row r="4257">
          <cell r="A4257" t="str">
            <v>2628PV47</v>
          </cell>
          <cell r="D4257" t="str">
            <v>STA156KA</v>
          </cell>
          <cell r="E4257">
            <v>46225</v>
          </cell>
        </row>
        <row r="4258">
          <cell r="A4258" t="str">
            <v>2627PF27</v>
          </cell>
          <cell r="D4258" t="str">
            <v>FTW503</v>
          </cell>
          <cell r="E4258">
            <v>46225</v>
          </cell>
        </row>
        <row r="4259">
          <cell r="A4259" t="str">
            <v>2627SA27</v>
          </cell>
          <cell r="D4259" t="str">
            <v>FTW121KE</v>
          </cell>
          <cell r="E4259">
            <v>46225</v>
          </cell>
        </row>
        <row r="4260">
          <cell r="A4260" t="str">
            <v>2628JV37</v>
          </cell>
          <cell r="D4260" t="str">
            <v>FTP150</v>
          </cell>
          <cell r="E4260">
            <v>46225</v>
          </cell>
        </row>
        <row r="4261">
          <cell r="A4261" t="str">
            <v>2626SQ47</v>
          </cell>
          <cell r="D4261" t="str">
            <v>STA156KA</v>
          </cell>
          <cell r="E4261">
            <v>46225</v>
          </cell>
        </row>
        <row r="4262">
          <cell r="A4262" t="str">
            <v>2628Q547</v>
          </cell>
          <cell r="D4262" t="str">
            <v>TTS80</v>
          </cell>
          <cell r="E4262">
            <v>46225</v>
          </cell>
        </row>
        <row r="4263">
          <cell r="A4263" t="str">
            <v>2627HD67</v>
          </cell>
          <cell r="D4263" t="str">
            <v>FTW121KE</v>
          </cell>
          <cell r="E4263">
            <v>46225</v>
          </cell>
        </row>
        <row r="4264">
          <cell r="A4264" t="str">
            <v>2628DG67</v>
          </cell>
          <cell r="D4264" t="str">
            <v>FTP150</v>
          </cell>
          <cell r="E4264">
            <v>46225</v>
          </cell>
        </row>
        <row r="4265">
          <cell r="A4265" t="str">
            <v>2625QC57</v>
          </cell>
          <cell r="D4265" t="str">
            <v>FTW503</v>
          </cell>
          <cell r="E4265">
            <v>46225</v>
          </cell>
        </row>
        <row r="4266">
          <cell r="A4266" t="str">
            <v>2626IW37</v>
          </cell>
          <cell r="D4266" t="str">
            <v>KBP76</v>
          </cell>
          <cell r="E4266">
            <v>46225</v>
          </cell>
        </row>
        <row r="4267">
          <cell r="A4267" t="str">
            <v>2625ER67</v>
          </cell>
          <cell r="D4267" t="str">
            <v>KBP74</v>
          </cell>
          <cell r="E4267">
            <v>46225</v>
          </cell>
        </row>
        <row r="4268">
          <cell r="A4268" t="str">
            <v>2628HG47</v>
          </cell>
          <cell r="D4268" t="str">
            <v>FTP150</v>
          </cell>
          <cell r="E4268">
            <v>46225</v>
          </cell>
        </row>
        <row r="4269">
          <cell r="A4269" t="str">
            <v>2627F867</v>
          </cell>
          <cell r="D4269" t="str">
            <v>FTW102K</v>
          </cell>
          <cell r="E4269">
            <v>46225</v>
          </cell>
        </row>
        <row r="4270">
          <cell r="A4270" t="str">
            <v>2627PC27</v>
          </cell>
          <cell r="D4270" t="str">
            <v>FTW503</v>
          </cell>
          <cell r="E4270">
            <v>46225</v>
          </cell>
        </row>
        <row r="4271">
          <cell r="A4271" t="str">
            <v>2628LY47</v>
          </cell>
          <cell r="D4271" t="str">
            <v>FTW102K</v>
          </cell>
          <cell r="E4271">
            <v>46225</v>
          </cell>
        </row>
        <row r="4272">
          <cell r="A4272" t="str">
            <v>2627U927</v>
          </cell>
          <cell r="D4272" t="str">
            <v>S706</v>
          </cell>
          <cell r="E4272">
            <v>46225</v>
          </cell>
        </row>
        <row r="4273">
          <cell r="A4273" t="str">
            <v>2626KE67</v>
          </cell>
          <cell r="D4273" t="str">
            <v>STA156KA</v>
          </cell>
          <cell r="E4273">
            <v>46225</v>
          </cell>
        </row>
        <row r="4274">
          <cell r="A4274" t="str">
            <v>2623IC37</v>
          </cell>
          <cell r="D4274" t="str">
            <v>KBP86</v>
          </cell>
          <cell r="E4274">
            <v>46225</v>
          </cell>
        </row>
        <row r="4275">
          <cell r="A4275" t="str">
            <v>2627HT47</v>
          </cell>
          <cell r="D4275" t="str">
            <v>FTW121KE</v>
          </cell>
          <cell r="E4275">
            <v>46225</v>
          </cell>
        </row>
        <row r="4276">
          <cell r="A4276" t="str">
            <v>2626PB67</v>
          </cell>
          <cell r="D4276" t="str">
            <v>TTS80</v>
          </cell>
          <cell r="E4276">
            <v>46225</v>
          </cell>
        </row>
        <row r="4277">
          <cell r="A4277" t="str">
            <v>2626QX57</v>
          </cell>
          <cell r="D4277" t="str">
            <v>KBP76</v>
          </cell>
          <cell r="E4277">
            <v>46225</v>
          </cell>
        </row>
        <row r="4278">
          <cell r="A4278" t="str">
            <v>2627OW37</v>
          </cell>
          <cell r="D4278" t="str">
            <v>FTW121KE</v>
          </cell>
          <cell r="E4278">
            <v>46225</v>
          </cell>
        </row>
        <row r="4279">
          <cell r="A4279" t="str">
            <v>2627XJ17</v>
          </cell>
          <cell r="D4279" t="str">
            <v>KBP55</v>
          </cell>
          <cell r="E4279">
            <v>46225</v>
          </cell>
        </row>
        <row r="4280">
          <cell r="A4280" t="str">
            <v>2627AX67</v>
          </cell>
          <cell r="D4280" t="str">
            <v>TTS50</v>
          </cell>
          <cell r="E4280">
            <v>46225</v>
          </cell>
        </row>
        <row r="4281">
          <cell r="A4281" t="str">
            <v>2625J437</v>
          </cell>
          <cell r="D4281" t="str">
            <v>FTW503</v>
          </cell>
          <cell r="E4281">
            <v>46225</v>
          </cell>
        </row>
        <row r="4282">
          <cell r="A4282" t="str">
            <v>2626P767</v>
          </cell>
          <cell r="D4282" t="str">
            <v>TTS80</v>
          </cell>
          <cell r="E4282">
            <v>46225</v>
          </cell>
        </row>
        <row r="4283">
          <cell r="A4283" t="str">
            <v>2627QT37</v>
          </cell>
          <cell r="D4283" t="str">
            <v>S706</v>
          </cell>
          <cell r="E4283">
            <v>46225</v>
          </cell>
        </row>
        <row r="4284">
          <cell r="A4284" t="str">
            <v>2614YA47</v>
          </cell>
          <cell r="D4284" t="str">
            <v>S706</v>
          </cell>
          <cell r="E4284">
            <v>46225</v>
          </cell>
        </row>
        <row r="4285">
          <cell r="A4285" t="str">
            <v>2627E367</v>
          </cell>
          <cell r="D4285" t="str">
            <v>TTS50</v>
          </cell>
          <cell r="E4285">
            <v>46225</v>
          </cell>
        </row>
        <row r="4286">
          <cell r="A4286" t="str">
            <v>2627QL27</v>
          </cell>
          <cell r="D4286" t="str">
            <v>FTW121KE</v>
          </cell>
          <cell r="E4286">
            <v>46225</v>
          </cell>
        </row>
        <row r="4287">
          <cell r="A4287" t="str">
            <v>2627GX47</v>
          </cell>
          <cell r="D4287" t="str">
            <v>S805</v>
          </cell>
          <cell r="E4287">
            <v>46225</v>
          </cell>
        </row>
        <row r="4288">
          <cell r="A4288" t="str">
            <v>2627JQ47</v>
          </cell>
          <cell r="D4288" t="str">
            <v>S706</v>
          </cell>
          <cell r="E4288">
            <v>46225</v>
          </cell>
        </row>
        <row r="4289">
          <cell r="A4289" t="str">
            <v>2626O947</v>
          </cell>
          <cell r="D4289" t="str">
            <v>KBP86</v>
          </cell>
          <cell r="E4289">
            <v>46225</v>
          </cell>
        </row>
        <row r="4290">
          <cell r="A4290" t="str">
            <v>2627Q667</v>
          </cell>
          <cell r="D4290" t="str">
            <v>FTP200</v>
          </cell>
          <cell r="E4290">
            <v>46225</v>
          </cell>
        </row>
        <row r="4291">
          <cell r="A4291" t="str">
            <v>2628O537</v>
          </cell>
          <cell r="D4291" t="str">
            <v>FTW102K</v>
          </cell>
          <cell r="E4291">
            <v>46225</v>
          </cell>
        </row>
        <row r="4292">
          <cell r="A4292" t="str">
            <v>2627L817</v>
          </cell>
          <cell r="D4292" t="str">
            <v>FTW503</v>
          </cell>
          <cell r="E4292">
            <v>46225</v>
          </cell>
        </row>
        <row r="4293">
          <cell r="A4293" t="str">
            <v>2628UE17</v>
          </cell>
          <cell r="D4293" t="str">
            <v>FTW102K</v>
          </cell>
          <cell r="E4293">
            <v>46225</v>
          </cell>
        </row>
        <row r="4294">
          <cell r="A4294" t="str">
            <v>2627I747</v>
          </cell>
          <cell r="D4294" t="str">
            <v>FTW121KE</v>
          </cell>
          <cell r="E4294">
            <v>46225</v>
          </cell>
        </row>
        <row r="4295">
          <cell r="A4295" t="str">
            <v>2627K147</v>
          </cell>
          <cell r="D4295" t="str">
            <v>S706</v>
          </cell>
          <cell r="E4295">
            <v>46225</v>
          </cell>
        </row>
        <row r="4296">
          <cell r="A4296" t="str">
            <v>2627OU27</v>
          </cell>
          <cell r="D4296" t="str">
            <v>KBP76</v>
          </cell>
          <cell r="E4296">
            <v>46225</v>
          </cell>
        </row>
        <row r="4297">
          <cell r="A4297" t="str">
            <v>2624PX37</v>
          </cell>
          <cell r="D4297" t="str">
            <v>KBP76</v>
          </cell>
          <cell r="E4297">
            <v>46225</v>
          </cell>
        </row>
        <row r="4298">
          <cell r="A4298" t="str">
            <v>2627UG27</v>
          </cell>
          <cell r="D4298" t="str">
            <v>S706</v>
          </cell>
          <cell r="E4298">
            <v>46225</v>
          </cell>
        </row>
        <row r="4299">
          <cell r="A4299" t="str">
            <v>2627P327</v>
          </cell>
          <cell r="D4299" t="str">
            <v>FTW503</v>
          </cell>
          <cell r="E4299">
            <v>46225</v>
          </cell>
        </row>
        <row r="4300">
          <cell r="A4300" t="str">
            <v>2626P867</v>
          </cell>
          <cell r="D4300" t="str">
            <v>TTS80</v>
          </cell>
          <cell r="E4300">
            <v>46225</v>
          </cell>
        </row>
        <row r="4301">
          <cell r="A4301" t="str">
            <v>2627P737</v>
          </cell>
          <cell r="D4301" t="str">
            <v>FTW121KE</v>
          </cell>
          <cell r="E4301">
            <v>46225</v>
          </cell>
        </row>
        <row r="4302">
          <cell r="A4302" t="str">
            <v>2625FB67</v>
          </cell>
          <cell r="D4302" t="str">
            <v>KBP55</v>
          </cell>
          <cell r="E4302">
            <v>46225</v>
          </cell>
        </row>
        <row r="4303">
          <cell r="A4303" t="str">
            <v>2622BG67</v>
          </cell>
          <cell r="D4303" t="str">
            <v>KBP86</v>
          </cell>
          <cell r="E4303">
            <v>46225</v>
          </cell>
        </row>
        <row r="4304">
          <cell r="A4304" t="str">
            <v>2627LG47</v>
          </cell>
          <cell r="D4304" t="str">
            <v>TTS50</v>
          </cell>
          <cell r="E4304">
            <v>46225</v>
          </cell>
        </row>
        <row r="4305">
          <cell r="A4305" t="str">
            <v>2628U127</v>
          </cell>
          <cell r="D4305" t="str">
            <v>TTS80</v>
          </cell>
          <cell r="E4305">
            <v>46225</v>
          </cell>
        </row>
        <row r="4306">
          <cell r="A4306" t="str">
            <v>2628HE47</v>
          </cell>
          <cell r="D4306" t="str">
            <v>FTP150</v>
          </cell>
          <cell r="E4306">
            <v>46225</v>
          </cell>
        </row>
        <row r="4307">
          <cell r="A4307" t="str">
            <v>2628GM57</v>
          </cell>
          <cell r="D4307" t="str">
            <v>KBP76</v>
          </cell>
          <cell r="E4307">
            <v>46225</v>
          </cell>
        </row>
        <row r="4308">
          <cell r="A4308" t="str">
            <v>2626G257</v>
          </cell>
          <cell r="D4308" t="str">
            <v>FTW503</v>
          </cell>
          <cell r="E4308">
            <v>46225</v>
          </cell>
        </row>
        <row r="4309">
          <cell r="A4309" t="str">
            <v>2626PB57</v>
          </cell>
          <cell r="D4309" t="str">
            <v>KBP126</v>
          </cell>
          <cell r="E4309">
            <v>46225</v>
          </cell>
        </row>
        <row r="4310">
          <cell r="A4310" t="str">
            <v>2624I957</v>
          </cell>
          <cell r="D4310" t="str">
            <v>S706</v>
          </cell>
          <cell r="E4310">
            <v>46225</v>
          </cell>
        </row>
        <row r="4311">
          <cell r="A4311" t="str">
            <v>2623L147</v>
          </cell>
          <cell r="D4311" t="str">
            <v>KBP86</v>
          </cell>
          <cell r="E4311">
            <v>46225</v>
          </cell>
        </row>
        <row r="4312">
          <cell r="A4312" t="str">
            <v>2626UT57</v>
          </cell>
          <cell r="D4312" t="str">
            <v>FTW121KE</v>
          </cell>
          <cell r="E4312">
            <v>46225</v>
          </cell>
        </row>
        <row r="4313">
          <cell r="A4313" t="str">
            <v>2627EU37</v>
          </cell>
          <cell r="D4313" t="str">
            <v>KBP126</v>
          </cell>
          <cell r="E4313">
            <v>46225</v>
          </cell>
        </row>
        <row r="4314">
          <cell r="A4314" t="str">
            <v>2627VB27</v>
          </cell>
          <cell r="D4314" t="str">
            <v>KBP76</v>
          </cell>
          <cell r="E4314">
            <v>46225</v>
          </cell>
        </row>
        <row r="4315">
          <cell r="A4315" t="str">
            <v>2627U837</v>
          </cell>
          <cell r="D4315" t="str">
            <v>TTS80</v>
          </cell>
          <cell r="E4315">
            <v>46225</v>
          </cell>
        </row>
        <row r="4316">
          <cell r="A4316" t="str">
            <v>2627QP27</v>
          </cell>
          <cell r="D4316" t="str">
            <v>FTW121KR</v>
          </cell>
          <cell r="E4316">
            <v>46225</v>
          </cell>
        </row>
        <row r="4317">
          <cell r="A4317" t="str">
            <v>2627I647</v>
          </cell>
          <cell r="D4317" t="str">
            <v>FTW121KR</v>
          </cell>
          <cell r="E4317">
            <v>46225</v>
          </cell>
        </row>
        <row r="4318">
          <cell r="A4318" t="str">
            <v>2625JY47</v>
          </cell>
          <cell r="D4318" t="str">
            <v>KBP86</v>
          </cell>
          <cell r="E4318">
            <v>46225</v>
          </cell>
        </row>
        <row r="4319">
          <cell r="A4319" t="str">
            <v>2627LJ17</v>
          </cell>
          <cell r="D4319" t="str">
            <v>FTW503</v>
          </cell>
          <cell r="E4319">
            <v>46225</v>
          </cell>
        </row>
        <row r="4320">
          <cell r="A4320" t="str">
            <v>2625HT57</v>
          </cell>
          <cell r="D4320" t="str">
            <v>KBP86</v>
          </cell>
          <cell r="E4320">
            <v>46225</v>
          </cell>
        </row>
        <row r="4321">
          <cell r="A4321" t="str">
            <v>2628PA17</v>
          </cell>
          <cell r="D4321" t="str">
            <v>FTP150</v>
          </cell>
          <cell r="E4321">
            <v>46225</v>
          </cell>
        </row>
        <row r="4322">
          <cell r="A4322" t="str">
            <v>2627V617</v>
          </cell>
          <cell r="D4322" t="str">
            <v>S706</v>
          </cell>
          <cell r="E4322">
            <v>46225</v>
          </cell>
        </row>
        <row r="4323">
          <cell r="A4323" t="str">
            <v>2627SD67</v>
          </cell>
          <cell r="D4323" t="str">
            <v>TTS80</v>
          </cell>
          <cell r="E4323">
            <v>46225</v>
          </cell>
        </row>
        <row r="4324">
          <cell r="A4324" t="str">
            <v>2626FN80</v>
          </cell>
          <cell r="D4324" t="str">
            <v>TTS125</v>
          </cell>
          <cell r="E4324">
            <v>46224</v>
          </cell>
        </row>
        <row r="4325">
          <cell r="A4325" t="str">
            <v>2626FN57</v>
          </cell>
          <cell r="D4325" t="str">
            <v>FTW503</v>
          </cell>
          <cell r="E4325">
            <v>46224</v>
          </cell>
        </row>
        <row r="4326">
          <cell r="A4326" t="str">
            <v>2627PT27</v>
          </cell>
          <cell r="D4326" t="str">
            <v>S805</v>
          </cell>
          <cell r="E4326">
            <v>46224</v>
          </cell>
        </row>
        <row r="4327">
          <cell r="A4327" t="str">
            <v>2627PG37</v>
          </cell>
          <cell r="D4327" t="str">
            <v>FTW121KE</v>
          </cell>
          <cell r="E4327">
            <v>46224</v>
          </cell>
        </row>
        <row r="4328">
          <cell r="A4328" t="str">
            <v>2626FP10</v>
          </cell>
          <cell r="D4328" t="str">
            <v>TTS125</v>
          </cell>
          <cell r="E4328">
            <v>46224</v>
          </cell>
        </row>
        <row r="4329">
          <cell r="A4329" t="str">
            <v>2626FN10</v>
          </cell>
          <cell r="D4329" t="str">
            <v>TTS125</v>
          </cell>
          <cell r="E4329">
            <v>46224</v>
          </cell>
        </row>
        <row r="4330">
          <cell r="A4330" t="str">
            <v>2627S227</v>
          </cell>
          <cell r="D4330" t="str">
            <v>FTW121KE</v>
          </cell>
          <cell r="E4330">
            <v>46224</v>
          </cell>
        </row>
        <row r="4331">
          <cell r="A4331" t="str">
            <v>2627UN27</v>
          </cell>
          <cell r="D4331" t="str">
            <v>S706</v>
          </cell>
          <cell r="E4331">
            <v>46224</v>
          </cell>
        </row>
        <row r="4332">
          <cell r="A4332" t="str">
            <v>2626FN50</v>
          </cell>
          <cell r="D4332" t="str">
            <v>TTS125</v>
          </cell>
          <cell r="E4332">
            <v>46224</v>
          </cell>
        </row>
        <row r="4333">
          <cell r="A4333" t="str">
            <v>2625Y437</v>
          </cell>
          <cell r="D4333" t="str">
            <v>STA156KA</v>
          </cell>
          <cell r="E4333">
            <v>46224</v>
          </cell>
        </row>
        <row r="4334">
          <cell r="A4334" t="str">
            <v>2627JH47</v>
          </cell>
          <cell r="D4334" t="str">
            <v>S706</v>
          </cell>
          <cell r="E4334">
            <v>46224</v>
          </cell>
        </row>
        <row r="4335">
          <cell r="A4335" t="str">
            <v>2628WI17</v>
          </cell>
          <cell r="D4335" t="str">
            <v>KBP52</v>
          </cell>
          <cell r="E4335">
            <v>46224</v>
          </cell>
        </row>
        <row r="4336">
          <cell r="A4336" t="str">
            <v>2625FM40</v>
          </cell>
          <cell r="D4336" t="str">
            <v>TTS125</v>
          </cell>
          <cell r="E4336">
            <v>46224</v>
          </cell>
        </row>
        <row r="4337">
          <cell r="A4337" t="str">
            <v>2627P537</v>
          </cell>
          <cell r="D4337" t="str">
            <v>FTW121KE</v>
          </cell>
          <cell r="E4337">
            <v>46224</v>
          </cell>
        </row>
        <row r="4338">
          <cell r="A4338" t="str">
            <v>2627LQ17</v>
          </cell>
          <cell r="D4338" t="str">
            <v>FTW503</v>
          </cell>
          <cell r="E4338">
            <v>46224</v>
          </cell>
        </row>
        <row r="4339">
          <cell r="A4339" t="str">
            <v>2626JX47</v>
          </cell>
          <cell r="D4339" t="str">
            <v>FTW503</v>
          </cell>
          <cell r="E4339">
            <v>46224</v>
          </cell>
        </row>
        <row r="4340">
          <cell r="A4340" t="str">
            <v>2626FN70</v>
          </cell>
          <cell r="D4340" t="str">
            <v>TTS125</v>
          </cell>
          <cell r="E4340">
            <v>46224</v>
          </cell>
        </row>
        <row r="4341">
          <cell r="A4341" t="str">
            <v>2627IQ67</v>
          </cell>
          <cell r="D4341" t="str">
            <v>S706</v>
          </cell>
          <cell r="E4341">
            <v>46224</v>
          </cell>
        </row>
        <row r="4342">
          <cell r="A4342" t="str">
            <v>2627AF27</v>
          </cell>
          <cell r="D4342" t="str">
            <v>S805</v>
          </cell>
          <cell r="E4342">
            <v>46224</v>
          </cell>
        </row>
        <row r="4343">
          <cell r="A4343" t="str">
            <v>2628LN47</v>
          </cell>
          <cell r="D4343" t="str">
            <v>KBP86</v>
          </cell>
          <cell r="E4343">
            <v>46224</v>
          </cell>
        </row>
        <row r="4344">
          <cell r="A4344" t="str">
            <v>2626FN40</v>
          </cell>
          <cell r="D4344" t="str">
            <v>TTS125</v>
          </cell>
          <cell r="E4344">
            <v>46224</v>
          </cell>
        </row>
        <row r="4345">
          <cell r="A4345" t="str">
            <v>2627UF37</v>
          </cell>
          <cell r="D4345" t="str">
            <v>TTS80</v>
          </cell>
          <cell r="E4345">
            <v>46224</v>
          </cell>
        </row>
        <row r="4346">
          <cell r="A4346" t="str">
            <v>2627SW37</v>
          </cell>
          <cell r="D4346" t="str">
            <v>STA156KA</v>
          </cell>
          <cell r="E4346">
            <v>46224</v>
          </cell>
        </row>
        <row r="4347">
          <cell r="A4347" t="str">
            <v>2627SN67</v>
          </cell>
          <cell r="D4347" t="str">
            <v>TTS80</v>
          </cell>
          <cell r="E4347">
            <v>46224</v>
          </cell>
        </row>
        <row r="4348">
          <cell r="A4348" t="str">
            <v>2625IR47</v>
          </cell>
          <cell r="D4348" t="str">
            <v>FTW503</v>
          </cell>
          <cell r="E4348">
            <v>46224</v>
          </cell>
        </row>
        <row r="4349">
          <cell r="A4349" t="str">
            <v>2627UA37</v>
          </cell>
          <cell r="D4349" t="str">
            <v>TTS80</v>
          </cell>
          <cell r="E4349">
            <v>46224</v>
          </cell>
        </row>
        <row r="4350">
          <cell r="A4350" t="str">
            <v>2613JS27</v>
          </cell>
          <cell r="D4350" t="str">
            <v>KBP76</v>
          </cell>
          <cell r="E4350">
            <v>46224</v>
          </cell>
        </row>
        <row r="4351">
          <cell r="A4351" t="str">
            <v>2626SK57</v>
          </cell>
          <cell r="D4351" t="str">
            <v>FTW503</v>
          </cell>
          <cell r="E4351">
            <v>46224</v>
          </cell>
        </row>
        <row r="4352">
          <cell r="A4352" t="str">
            <v>2627P627</v>
          </cell>
          <cell r="D4352" t="str">
            <v>FTW503</v>
          </cell>
          <cell r="E4352">
            <v>46224</v>
          </cell>
        </row>
        <row r="4353">
          <cell r="A4353" t="str">
            <v>2626D627</v>
          </cell>
          <cell r="D4353" t="str">
            <v>S15MB</v>
          </cell>
          <cell r="E4353">
            <v>46224</v>
          </cell>
        </row>
        <row r="4354">
          <cell r="A4354" t="str">
            <v>2625E867</v>
          </cell>
          <cell r="D4354" t="str">
            <v>KBP86</v>
          </cell>
          <cell r="E4354">
            <v>46224</v>
          </cell>
        </row>
        <row r="4355">
          <cell r="A4355" t="str">
            <v>2628WL17</v>
          </cell>
          <cell r="D4355" t="str">
            <v>KBP52</v>
          </cell>
          <cell r="E4355">
            <v>46224</v>
          </cell>
        </row>
        <row r="4356">
          <cell r="A4356" t="str">
            <v>2627P427</v>
          </cell>
          <cell r="D4356" t="str">
            <v>FTW503</v>
          </cell>
          <cell r="E4356">
            <v>46224</v>
          </cell>
        </row>
        <row r="4357">
          <cell r="A4357" t="str">
            <v>2627HL47</v>
          </cell>
          <cell r="D4357" t="str">
            <v>FTW121KE</v>
          </cell>
          <cell r="E4357">
            <v>46224</v>
          </cell>
        </row>
        <row r="4358">
          <cell r="A4358" t="str">
            <v>2626JO27</v>
          </cell>
          <cell r="D4358" t="str">
            <v>FTW503</v>
          </cell>
          <cell r="E4358">
            <v>46224</v>
          </cell>
        </row>
        <row r="4359">
          <cell r="A4359" t="str">
            <v>2627ZL57</v>
          </cell>
          <cell r="D4359" t="str">
            <v>FTW503</v>
          </cell>
          <cell r="E4359">
            <v>46224</v>
          </cell>
        </row>
        <row r="4360">
          <cell r="A4360" t="str">
            <v>2627ZD57</v>
          </cell>
          <cell r="D4360" t="str">
            <v>FTW503</v>
          </cell>
          <cell r="E4360">
            <v>46224</v>
          </cell>
        </row>
        <row r="4361">
          <cell r="A4361" t="str">
            <v>2624DI67</v>
          </cell>
          <cell r="D4361" t="str">
            <v>KBP86</v>
          </cell>
          <cell r="E4361">
            <v>46224</v>
          </cell>
        </row>
        <row r="4362">
          <cell r="A4362" t="str">
            <v>2627UJ37</v>
          </cell>
          <cell r="D4362" t="str">
            <v>TTS80</v>
          </cell>
          <cell r="E4362">
            <v>46224</v>
          </cell>
        </row>
        <row r="4363">
          <cell r="A4363" t="str">
            <v>2627KT47</v>
          </cell>
          <cell r="D4363" t="str">
            <v>KBP76</v>
          </cell>
          <cell r="E4363">
            <v>46224</v>
          </cell>
        </row>
        <row r="4364">
          <cell r="A4364" t="str">
            <v>2627ZQ57</v>
          </cell>
          <cell r="D4364" t="str">
            <v>FTW503</v>
          </cell>
          <cell r="E4364">
            <v>46224</v>
          </cell>
        </row>
        <row r="4365">
          <cell r="A4365" t="str">
            <v>2628LQ47</v>
          </cell>
          <cell r="D4365" t="str">
            <v>KBP86</v>
          </cell>
          <cell r="E4365">
            <v>46224</v>
          </cell>
        </row>
        <row r="4366">
          <cell r="A4366" t="str">
            <v>2627LL47</v>
          </cell>
          <cell r="D4366" t="str">
            <v>TTS80</v>
          </cell>
          <cell r="E4366">
            <v>46224</v>
          </cell>
        </row>
        <row r="4367">
          <cell r="A4367" t="str">
            <v>2627Q747</v>
          </cell>
          <cell r="D4367" t="str">
            <v>STA200KA</v>
          </cell>
          <cell r="E4367">
            <v>46224</v>
          </cell>
        </row>
        <row r="4368">
          <cell r="A4368" t="str">
            <v>2625K837</v>
          </cell>
          <cell r="D4368" t="str">
            <v>KBP86</v>
          </cell>
          <cell r="E4368">
            <v>46224</v>
          </cell>
        </row>
        <row r="4369">
          <cell r="A4369" t="str">
            <v>2627VD17</v>
          </cell>
          <cell r="D4369" t="str">
            <v>S706</v>
          </cell>
          <cell r="E4369">
            <v>46224</v>
          </cell>
        </row>
        <row r="4370">
          <cell r="A4370" t="str">
            <v>2627Z957</v>
          </cell>
          <cell r="D4370" t="str">
            <v>FTW503</v>
          </cell>
          <cell r="E4370">
            <v>46224</v>
          </cell>
        </row>
        <row r="4371">
          <cell r="A4371" t="str">
            <v>2627VH27</v>
          </cell>
          <cell r="D4371" t="str">
            <v>KBP76</v>
          </cell>
          <cell r="E4371">
            <v>46224</v>
          </cell>
        </row>
        <row r="4372">
          <cell r="A4372" t="str">
            <v>2628JN27</v>
          </cell>
          <cell r="D4372" t="str">
            <v>KBP86</v>
          </cell>
          <cell r="E4372">
            <v>46224</v>
          </cell>
        </row>
        <row r="4373">
          <cell r="A4373" t="str">
            <v>2620D167</v>
          </cell>
          <cell r="D4373" t="str">
            <v>KBP74</v>
          </cell>
          <cell r="E4373">
            <v>46224</v>
          </cell>
        </row>
        <row r="4374">
          <cell r="A4374" t="str">
            <v>2622U847</v>
          </cell>
          <cell r="D4374" t="str">
            <v>KBP86</v>
          </cell>
          <cell r="E4374">
            <v>46224</v>
          </cell>
        </row>
        <row r="4375">
          <cell r="A4375" t="str">
            <v>2627YJ57</v>
          </cell>
          <cell r="D4375" t="str">
            <v>FTW503</v>
          </cell>
          <cell r="E4375">
            <v>46224</v>
          </cell>
        </row>
        <row r="4376">
          <cell r="A4376" t="str">
            <v>2627HE67</v>
          </cell>
          <cell r="D4376" t="str">
            <v>FTW121KE</v>
          </cell>
          <cell r="E4376">
            <v>46224</v>
          </cell>
        </row>
        <row r="4377">
          <cell r="A4377" t="str">
            <v>2627PD37</v>
          </cell>
          <cell r="D4377" t="str">
            <v>FTW121KE</v>
          </cell>
          <cell r="E4377">
            <v>46224</v>
          </cell>
        </row>
        <row r="4378">
          <cell r="A4378" t="str">
            <v>2627H367</v>
          </cell>
          <cell r="D4378" t="str">
            <v>FTW121KE</v>
          </cell>
          <cell r="E4378">
            <v>46224</v>
          </cell>
        </row>
        <row r="4379">
          <cell r="A4379" t="str">
            <v>2615ZI17</v>
          </cell>
          <cell r="D4379" t="str">
            <v>S706</v>
          </cell>
          <cell r="E4379">
            <v>46224</v>
          </cell>
        </row>
        <row r="4380">
          <cell r="A4380" t="str">
            <v>2627JY47</v>
          </cell>
          <cell r="D4380" t="str">
            <v>S706</v>
          </cell>
          <cell r="E4380">
            <v>46224</v>
          </cell>
        </row>
        <row r="4381">
          <cell r="A4381" t="str">
            <v>2628WM17</v>
          </cell>
          <cell r="D4381" t="str">
            <v>KBP52</v>
          </cell>
          <cell r="E4381">
            <v>46224</v>
          </cell>
        </row>
        <row r="4382">
          <cell r="A4382" t="str">
            <v>2627FQ67</v>
          </cell>
          <cell r="D4382" t="str">
            <v>FTW121KE</v>
          </cell>
          <cell r="E4382">
            <v>46224</v>
          </cell>
        </row>
        <row r="4383">
          <cell r="A4383" t="str">
            <v>2628DA37</v>
          </cell>
          <cell r="D4383" t="str">
            <v>KBP76</v>
          </cell>
          <cell r="E4383">
            <v>46224</v>
          </cell>
        </row>
        <row r="4384">
          <cell r="A4384" t="str">
            <v>2624J427</v>
          </cell>
          <cell r="D4384" t="str">
            <v>FTW700</v>
          </cell>
          <cell r="E4384">
            <v>46224</v>
          </cell>
        </row>
        <row r="4385">
          <cell r="A4385" t="str">
            <v>2625XN57</v>
          </cell>
          <cell r="D4385" t="str">
            <v>KBP86</v>
          </cell>
          <cell r="E4385">
            <v>46224</v>
          </cell>
        </row>
        <row r="4386">
          <cell r="A4386" t="str">
            <v>2627QI67</v>
          </cell>
          <cell r="D4386" t="str">
            <v>TTS80</v>
          </cell>
          <cell r="E4386">
            <v>46224</v>
          </cell>
        </row>
        <row r="4387">
          <cell r="A4387" t="str">
            <v>2627HS67</v>
          </cell>
          <cell r="D4387" t="str">
            <v>KBP52</v>
          </cell>
          <cell r="E4387">
            <v>46224</v>
          </cell>
        </row>
        <row r="4388">
          <cell r="A4388" t="str">
            <v>2626JF47</v>
          </cell>
          <cell r="D4388" t="str">
            <v>FTW503</v>
          </cell>
          <cell r="E4388">
            <v>46224</v>
          </cell>
        </row>
        <row r="4389">
          <cell r="A4389" t="str">
            <v>2626IJ47</v>
          </cell>
          <cell r="D4389" t="str">
            <v>KBP86</v>
          </cell>
          <cell r="E4389">
            <v>46224</v>
          </cell>
        </row>
        <row r="4390">
          <cell r="A4390" t="str">
            <v>2627LX17</v>
          </cell>
          <cell r="D4390" t="str">
            <v>FTW503</v>
          </cell>
          <cell r="E4390">
            <v>46224</v>
          </cell>
        </row>
        <row r="4391">
          <cell r="A4391" t="str">
            <v>2627OU67</v>
          </cell>
          <cell r="D4391" t="str">
            <v>KBP76</v>
          </cell>
          <cell r="E4391">
            <v>46224</v>
          </cell>
        </row>
        <row r="4392">
          <cell r="A4392" t="str">
            <v>2625ZM37</v>
          </cell>
          <cell r="D4392" t="str">
            <v>TTS80</v>
          </cell>
          <cell r="E4392">
            <v>46224</v>
          </cell>
        </row>
        <row r="4393">
          <cell r="A4393" t="str">
            <v>2627UN17</v>
          </cell>
          <cell r="D4393" t="str">
            <v>S706</v>
          </cell>
          <cell r="E4393">
            <v>46224</v>
          </cell>
        </row>
        <row r="4394">
          <cell r="A4394" t="str">
            <v>2625ZG37</v>
          </cell>
          <cell r="D4394" t="str">
            <v>TTS80</v>
          </cell>
          <cell r="E4394">
            <v>46224</v>
          </cell>
        </row>
        <row r="4395">
          <cell r="A4395" t="str">
            <v>2614YZ17</v>
          </cell>
          <cell r="D4395" t="str">
            <v>S706</v>
          </cell>
          <cell r="E4395">
            <v>46224</v>
          </cell>
        </row>
        <row r="4396">
          <cell r="A4396" t="str">
            <v>2628V417</v>
          </cell>
          <cell r="D4396" t="str">
            <v>TTS80</v>
          </cell>
          <cell r="E4396">
            <v>46224</v>
          </cell>
        </row>
        <row r="4397">
          <cell r="A4397" t="str">
            <v>2627JO47</v>
          </cell>
          <cell r="D4397" t="str">
            <v>S706</v>
          </cell>
          <cell r="E4397">
            <v>46224</v>
          </cell>
        </row>
        <row r="4398">
          <cell r="A4398" t="str">
            <v>2628V617</v>
          </cell>
          <cell r="D4398" t="str">
            <v>TTS80</v>
          </cell>
          <cell r="E4398">
            <v>46224</v>
          </cell>
        </row>
        <row r="4399">
          <cell r="A4399" t="str">
            <v>2627XP17</v>
          </cell>
          <cell r="D4399" t="str">
            <v>TTS80</v>
          </cell>
          <cell r="E4399">
            <v>46224</v>
          </cell>
        </row>
        <row r="4400">
          <cell r="A4400" t="str">
            <v>2628Q227</v>
          </cell>
          <cell r="D4400" t="str">
            <v>TTS80</v>
          </cell>
          <cell r="E4400">
            <v>46224</v>
          </cell>
        </row>
        <row r="4401">
          <cell r="A4401" t="str">
            <v>2624S337</v>
          </cell>
          <cell r="D4401" t="str">
            <v>TTS50</v>
          </cell>
          <cell r="E4401">
            <v>46224</v>
          </cell>
        </row>
        <row r="4402">
          <cell r="A4402" t="str">
            <v>2628Q327</v>
          </cell>
          <cell r="D4402" t="str">
            <v>TTS80</v>
          </cell>
          <cell r="E4402">
            <v>46224</v>
          </cell>
        </row>
        <row r="4403">
          <cell r="A4403" t="str">
            <v>2627JS17</v>
          </cell>
          <cell r="D4403" t="str">
            <v>KBP126</v>
          </cell>
          <cell r="E4403">
            <v>46224</v>
          </cell>
        </row>
        <row r="4404">
          <cell r="A4404" t="str">
            <v>2627IU67</v>
          </cell>
          <cell r="D4404" t="str">
            <v>S706</v>
          </cell>
          <cell r="E4404">
            <v>46224</v>
          </cell>
        </row>
        <row r="4405">
          <cell r="A4405" t="str">
            <v>2627L767</v>
          </cell>
          <cell r="D4405" t="str">
            <v>KBP86</v>
          </cell>
          <cell r="E4405">
            <v>46224</v>
          </cell>
        </row>
        <row r="4406">
          <cell r="A4406" t="str">
            <v>2625Q127</v>
          </cell>
          <cell r="D4406" t="str">
            <v>S706</v>
          </cell>
          <cell r="E4406">
            <v>46224</v>
          </cell>
        </row>
        <row r="4407">
          <cell r="A4407" t="str">
            <v>2627PP67</v>
          </cell>
          <cell r="D4407" t="str">
            <v>STA156KA</v>
          </cell>
          <cell r="E4407">
            <v>46224</v>
          </cell>
        </row>
        <row r="4408">
          <cell r="A4408" t="str">
            <v>2626JE57</v>
          </cell>
          <cell r="D4408" t="str">
            <v>S706</v>
          </cell>
          <cell r="E4408">
            <v>46224</v>
          </cell>
        </row>
        <row r="4409">
          <cell r="A4409" t="str">
            <v>2627KC47</v>
          </cell>
          <cell r="D4409" t="str">
            <v>S706</v>
          </cell>
          <cell r="E4409">
            <v>46224</v>
          </cell>
        </row>
        <row r="4410">
          <cell r="A4410" t="str">
            <v>2624B467</v>
          </cell>
          <cell r="D4410" t="str">
            <v>KBP86</v>
          </cell>
          <cell r="E4410">
            <v>46224</v>
          </cell>
        </row>
        <row r="4411">
          <cell r="A4411" t="str">
            <v>2627DY67</v>
          </cell>
          <cell r="D4411" t="str">
            <v>TTS50</v>
          </cell>
          <cell r="E4411">
            <v>46224</v>
          </cell>
        </row>
        <row r="4412">
          <cell r="A4412" t="str">
            <v>2627QG17</v>
          </cell>
          <cell r="D4412" t="str">
            <v>FTW121KE</v>
          </cell>
          <cell r="E4412">
            <v>46224</v>
          </cell>
        </row>
        <row r="4413">
          <cell r="A4413" t="str">
            <v>2627ZZ67</v>
          </cell>
          <cell r="D4413" t="str">
            <v>FTW503</v>
          </cell>
          <cell r="E4413">
            <v>46224</v>
          </cell>
        </row>
        <row r="4414">
          <cell r="A4414" t="str">
            <v>2627P437</v>
          </cell>
          <cell r="D4414" t="str">
            <v>FTW121KE</v>
          </cell>
          <cell r="E4414">
            <v>46224</v>
          </cell>
        </row>
        <row r="4415">
          <cell r="A4415" t="str">
            <v>2626SX57</v>
          </cell>
          <cell r="D4415" t="str">
            <v>FTW503</v>
          </cell>
          <cell r="E4415">
            <v>46224</v>
          </cell>
        </row>
        <row r="4416">
          <cell r="A4416" t="str">
            <v>2626LI67</v>
          </cell>
          <cell r="D4416" t="str">
            <v>STA156KA</v>
          </cell>
          <cell r="E4416">
            <v>46224</v>
          </cell>
        </row>
        <row r="4417">
          <cell r="A4417" t="str">
            <v>2626FQ57</v>
          </cell>
          <cell r="D4417" t="str">
            <v>FTW503</v>
          </cell>
          <cell r="E4417">
            <v>46224</v>
          </cell>
        </row>
        <row r="4418">
          <cell r="A4418" t="str">
            <v>2627I847</v>
          </cell>
          <cell r="D4418" t="str">
            <v>FTW121KE</v>
          </cell>
          <cell r="E4418">
            <v>46224</v>
          </cell>
        </row>
        <row r="4419">
          <cell r="A4419" t="str">
            <v>2627V817</v>
          </cell>
          <cell r="D4419" t="str">
            <v>S706</v>
          </cell>
          <cell r="E4419">
            <v>46224</v>
          </cell>
        </row>
        <row r="4420">
          <cell r="A4420" t="str">
            <v>2627US27</v>
          </cell>
          <cell r="D4420" t="str">
            <v>S706</v>
          </cell>
          <cell r="E4420">
            <v>46224</v>
          </cell>
        </row>
        <row r="4421">
          <cell r="A4421" t="str">
            <v>2627FP67</v>
          </cell>
          <cell r="D4421" t="str">
            <v>FTW121KE</v>
          </cell>
          <cell r="E4421">
            <v>46224</v>
          </cell>
        </row>
        <row r="4422">
          <cell r="A4422" t="str">
            <v>2626LH27</v>
          </cell>
          <cell r="D4422" t="str">
            <v>KBP86</v>
          </cell>
          <cell r="E4422">
            <v>46224</v>
          </cell>
        </row>
        <row r="4423">
          <cell r="A4423" t="str">
            <v>2626SX37</v>
          </cell>
          <cell r="D4423" t="str">
            <v>KBP55</v>
          </cell>
          <cell r="E4423">
            <v>46224</v>
          </cell>
        </row>
        <row r="4424">
          <cell r="A4424" t="str">
            <v>2626SJ57</v>
          </cell>
          <cell r="D4424" t="str">
            <v>FTW503</v>
          </cell>
          <cell r="E4424">
            <v>46224</v>
          </cell>
        </row>
        <row r="4425">
          <cell r="A4425" t="str">
            <v>2625XL57</v>
          </cell>
          <cell r="D4425" t="str">
            <v>KBP86</v>
          </cell>
          <cell r="E4425">
            <v>46224</v>
          </cell>
        </row>
        <row r="4426">
          <cell r="A4426" t="str">
            <v>2626P427</v>
          </cell>
          <cell r="D4426" t="str">
            <v>S706</v>
          </cell>
          <cell r="E4426">
            <v>46224</v>
          </cell>
        </row>
        <row r="4427">
          <cell r="A4427" t="str">
            <v>2624KF47</v>
          </cell>
          <cell r="D4427" t="str">
            <v>S805</v>
          </cell>
          <cell r="E4427">
            <v>46224</v>
          </cell>
        </row>
        <row r="4428">
          <cell r="A4428" t="str">
            <v>2627OE37</v>
          </cell>
          <cell r="D4428" t="str">
            <v>FTW102K</v>
          </cell>
          <cell r="E4428">
            <v>46224</v>
          </cell>
        </row>
        <row r="4429">
          <cell r="A4429" t="str">
            <v>2627P637</v>
          </cell>
          <cell r="D4429" t="str">
            <v>FTW121KE</v>
          </cell>
          <cell r="E4429">
            <v>46224</v>
          </cell>
        </row>
        <row r="4430">
          <cell r="A4430" t="str">
            <v>2623HZ57</v>
          </cell>
          <cell r="D4430" t="str">
            <v>FTW102K</v>
          </cell>
          <cell r="E4430">
            <v>46224</v>
          </cell>
        </row>
        <row r="4431">
          <cell r="A4431" t="str">
            <v>2625FN67</v>
          </cell>
          <cell r="D4431" t="str">
            <v>TTS80</v>
          </cell>
          <cell r="E4431">
            <v>46224</v>
          </cell>
        </row>
        <row r="4432">
          <cell r="A4432" t="str">
            <v>2626L167</v>
          </cell>
          <cell r="D4432" t="str">
            <v>KBP76</v>
          </cell>
          <cell r="E4432">
            <v>46224</v>
          </cell>
        </row>
        <row r="4433">
          <cell r="A4433" t="str">
            <v>2625KB27</v>
          </cell>
          <cell r="D4433" t="str">
            <v>KBP86</v>
          </cell>
          <cell r="E4433">
            <v>46224</v>
          </cell>
        </row>
        <row r="4434">
          <cell r="A4434" t="str">
            <v>2627VT27</v>
          </cell>
          <cell r="D4434" t="str">
            <v>TTS80</v>
          </cell>
          <cell r="E4434">
            <v>46224</v>
          </cell>
        </row>
        <row r="4435">
          <cell r="A4435" t="str">
            <v>2627HY47</v>
          </cell>
          <cell r="D4435" t="str">
            <v>FTW121KE</v>
          </cell>
          <cell r="E4435">
            <v>46224</v>
          </cell>
        </row>
        <row r="4436">
          <cell r="A4436" t="str">
            <v>2626UC37</v>
          </cell>
          <cell r="D4436" t="str">
            <v>TTS80</v>
          </cell>
          <cell r="E4436">
            <v>46224</v>
          </cell>
        </row>
        <row r="4437">
          <cell r="A4437" t="str">
            <v>2627JI67</v>
          </cell>
          <cell r="D4437" t="str">
            <v>KBP76</v>
          </cell>
          <cell r="E4437">
            <v>46224</v>
          </cell>
        </row>
        <row r="4438">
          <cell r="A4438" t="str">
            <v>2627LB17</v>
          </cell>
          <cell r="D4438" t="str">
            <v>FTW503</v>
          </cell>
          <cell r="E4438">
            <v>46224</v>
          </cell>
        </row>
        <row r="4439">
          <cell r="A4439" t="str">
            <v>2627L667</v>
          </cell>
          <cell r="D4439" t="str">
            <v>KBP86</v>
          </cell>
          <cell r="E4439">
            <v>46224</v>
          </cell>
        </row>
        <row r="4440">
          <cell r="A4440" t="str">
            <v>2626PD57</v>
          </cell>
          <cell r="D4440" t="str">
            <v>KBP126</v>
          </cell>
          <cell r="E4440">
            <v>46224</v>
          </cell>
        </row>
        <row r="4441">
          <cell r="A4441" t="str">
            <v>2627ET37</v>
          </cell>
          <cell r="D4441" t="str">
            <v>KBP126</v>
          </cell>
          <cell r="E4441">
            <v>46224</v>
          </cell>
        </row>
        <row r="4442">
          <cell r="A4442" t="str">
            <v>2627EX37</v>
          </cell>
          <cell r="D4442" t="str">
            <v>KBP126</v>
          </cell>
          <cell r="E4442">
            <v>46224</v>
          </cell>
        </row>
        <row r="4443">
          <cell r="A4443" t="str">
            <v>2627K747</v>
          </cell>
          <cell r="D4443" t="str">
            <v>S706</v>
          </cell>
          <cell r="E4443">
            <v>46224</v>
          </cell>
        </row>
        <row r="4444">
          <cell r="A4444" t="str">
            <v>2626SP47</v>
          </cell>
          <cell r="D4444" t="str">
            <v>STA156KA</v>
          </cell>
          <cell r="E4444">
            <v>46224</v>
          </cell>
        </row>
        <row r="4445">
          <cell r="A4445" t="str">
            <v>2626JK27</v>
          </cell>
          <cell r="D4445" t="str">
            <v>FTW503</v>
          </cell>
          <cell r="E4445">
            <v>46224</v>
          </cell>
        </row>
        <row r="4446">
          <cell r="A4446" t="str">
            <v>2627QG27</v>
          </cell>
          <cell r="D4446" t="str">
            <v>FTW121KE</v>
          </cell>
          <cell r="E4446">
            <v>46224</v>
          </cell>
        </row>
        <row r="4447">
          <cell r="A4447" t="str">
            <v>2627AE47</v>
          </cell>
          <cell r="D4447" t="str">
            <v>KBP126</v>
          </cell>
          <cell r="E4447">
            <v>46224</v>
          </cell>
        </row>
        <row r="4448">
          <cell r="A4448" t="str">
            <v>2627JR17</v>
          </cell>
          <cell r="D4448" t="str">
            <v>KBP126</v>
          </cell>
          <cell r="E4448">
            <v>46224</v>
          </cell>
        </row>
        <row r="4449">
          <cell r="A4449" t="str">
            <v>2628PP17</v>
          </cell>
          <cell r="D4449" t="str">
            <v>TTS50</v>
          </cell>
          <cell r="E4449">
            <v>46224</v>
          </cell>
        </row>
        <row r="4450">
          <cell r="A4450" t="str">
            <v>2627PP17</v>
          </cell>
          <cell r="D4450" t="str">
            <v>FTW121KE</v>
          </cell>
          <cell r="E4450">
            <v>46224</v>
          </cell>
        </row>
        <row r="4451">
          <cell r="A4451" t="str">
            <v>2627Q227</v>
          </cell>
          <cell r="D4451" t="str">
            <v>FTW700</v>
          </cell>
          <cell r="E4451">
            <v>46224</v>
          </cell>
        </row>
        <row r="4452">
          <cell r="A4452" t="str">
            <v>2625U157</v>
          </cell>
          <cell r="D4452" t="str">
            <v>TTS50</v>
          </cell>
          <cell r="E4452">
            <v>46224</v>
          </cell>
        </row>
        <row r="4453">
          <cell r="A4453" t="str">
            <v>2627HF67</v>
          </cell>
          <cell r="D4453" t="str">
            <v>FTW121KE</v>
          </cell>
          <cell r="E4453">
            <v>46224</v>
          </cell>
        </row>
        <row r="4454">
          <cell r="A4454" t="str">
            <v>2627UY37</v>
          </cell>
          <cell r="D4454" t="str">
            <v>TTS80</v>
          </cell>
          <cell r="E4454">
            <v>46224</v>
          </cell>
        </row>
        <row r="4455">
          <cell r="A4455" t="str">
            <v>2627WH27</v>
          </cell>
          <cell r="D4455" t="str">
            <v>KBP86</v>
          </cell>
          <cell r="E4455">
            <v>46224</v>
          </cell>
        </row>
        <row r="4456">
          <cell r="A4456" t="str">
            <v>2627EB67</v>
          </cell>
          <cell r="D4456" t="str">
            <v>FTW700</v>
          </cell>
          <cell r="E4456">
            <v>46224</v>
          </cell>
        </row>
        <row r="4457">
          <cell r="A4457" t="str">
            <v>2627HK27</v>
          </cell>
          <cell r="D4457" t="str">
            <v>KBP126</v>
          </cell>
          <cell r="E4457">
            <v>46224</v>
          </cell>
        </row>
        <row r="4458">
          <cell r="A4458" t="str">
            <v>2625KE47</v>
          </cell>
          <cell r="D4458" t="str">
            <v>S706</v>
          </cell>
          <cell r="E4458">
            <v>46224</v>
          </cell>
        </row>
        <row r="4459">
          <cell r="A4459" t="str">
            <v>2628WU17</v>
          </cell>
          <cell r="D4459" t="str">
            <v>STA156KA</v>
          </cell>
          <cell r="E4459">
            <v>46224</v>
          </cell>
        </row>
        <row r="4460">
          <cell r="A4460" t="str">
            <v>2626JE27</v>
          </cell>
          <cell r="D4460" t="str">
            <v>FTW503</v>
          </cell>
          <cell r="E4460">
            <v>46224</v>
          </cell>
        </row>
        <row r="4461">
          <cell r="A4461" t="str">
            <v>2627O537</v>
          </cell>
          <cell r="D4461" t="str">
            <v>S805</v>
          </cell>
          <cell r="E4461">
            <v>46224</v>
          </cell>
        </row>
        <row r="4462">
          <cell r="A4462" t="str">
            <v>2628UA17</v>
          </cell>
          <cell r="D4462" t="str">
            <v>KBP86</v>
          </cell>
          <cell r="E4462">
            <v>46224</v>
          </cell>
        </row>
        <row r="4463">
          <cell r="A4463" t="str">
            <v>2627V317</v>
          </cell>
          <cell r="D4463" t="str">
            <v>S706</v>
          </cell>
          <cell r="E4463">
            <v>46224</v>
          </cell>
        </row>
        <row r="4464">
          <cell r="A4464" t="str">
            <v>2628U917</v>
          </cell>
          <cell r="D4464" t="str">
            <v>KBP86</v>
          </cell>
          <cell r="E4464">
            <v>46224</v>
          </cell>
        </row>
        <row r="4465">
          <cell r="A4465" t="str">
            <v>2627SG67</v>
          </cell>
          <cell r="D4465" t="str">
            <v>TTS80</v>
          </cell>
          <cell r="E4465">
            <v>46224</v>
          </cell>
        </row>
        <row r="4466">
          <cell r="A4466" t="str">
            <v>2622QF27</v>
          </cell>
          <cell r="D4466" t="str">
            <v>KBP55</v>
          </cell>
          <cell r="E4466">
            <v>46224</v>
          </cell>
        </row>
        <row r="4467">
          <cell r="A4467" t="str">
            <v>2627VI27</v>
          </cell>
          <cell r="D4467" t="str">
            <v>STA156KA</v>
          </cell>
          <cell r="E4467">
            <v>46224</v>
          </cell>
        </row>
        <row r="4468">
          <cell r="A4468" t="str">
            <v>2626UI37</v>
          </cell>
          <cell r="D4468" t="str">
            <v>TTS80</v>
          </cell>
          <cell r="E4468">
            <v>46224</v>
          </cell>
        </row>
        <row r="4469">
          <cell r="A4469" t="str">
            <v>2627JP47</v>
          </cell>
          <cell r="D4469" t="str">
            <v>S706</v>
          </cell>
          <cell r="E4469">
            <v>46224</v>
          </cell>
        </row>
        <row r="4470">
          <cell r="A4470" t="str">
            <v>2627LD17</v>
          </cell>
          <cell r="D4470" t="str">
            <v>FTW503</v>
          </cell>
          <cell r="E4470">
            <v>46224</v>
          </cell>
        </row>
        <row r="4471">
          <cell r="A4471" t="str">
            <v>2626JA67</v>
          </cell>
          <cell r="D4471" t="str">
            <v>FTW121KE</v>
          </cell>
          <cell r="E4471">
            <v>46224</v>
          </cell>
        </row>
        <row r="4472">
          <cell r="A4472" t="str">
            <v>2620CW67</v>
          </cell>
          <cell r="D4472" t="str">
            <v>KBP74</v>
          </cell>
          <cell r="E4472">
            <v>46224</v>
          </cell>
        </row>
        <row r="4473">
          <cell r="A4473" t="str">
            <v>2626HY17</v>
          </cell>
          <cell r="D4473" t="str">
            <v>STA156KA</v>
          </cell>
          <cell r="E4473">
            <v>46224</v>
          </cell>
        </row>
        <row r="4474">
          <cell r="A4474" t="str">
            <v>2626SK47</v>
          </cell>
          <cell r="D4474" t="str">
            <v>KBP76</v>
          </cell>
          <cell r="E4474">
            <v>46224</v>
          </cell>
        </row>
        <row r="4475">
          <cell r="A4475" t="str">
            <v>2627AD47</v>
          </cell>
          <cell r="D4475" t="str">
            <v>KBP126</v>
          </cell>
          <cell r="E4475">
            <v>46224</v>
          </cell>
        </row>
        <row r="4476">
          <cell r="A4476" t="str">
            <v>2627FL67</v>
          </cell>
          <cell r="D4476" t="str">
            <v>FTW121KE</v>
          </cell>
          <cell r="E4476">
            <v>46224</v>
          </cell>
        </row>
        <row r="4477">
          <cell r="A4477" t="str">
            <v>2627U337</v>
          </cell>
          <cell r="D4477" t="str">
            <v>KBP76</v>
          </cell>
          <cell r="E4477">
            <v>46224</v>
          </cell>
        </row>
        <row r="4478">
          <cell r="A4478" t="str">
            <v>2628OX17</v>
          </cell>
          <cell r="D4478" t="str">
            <v>KBP76</v>
          </cell>
          <cell r="E4478">
            <v>46224</v>
          </cell>
        </row>
        <row r="4479">
          <cell r="A4479" t="str">
            <v>2625LA27</v>
          </cell>
          <cell r="D4479" t="str">
            <v>FTW503</v>
          </cell>
          <cell r="E4479">
            <v>46224</v>
          </cell>
        </row>
        <row r="4480">
          <cell r="A4480" t="str">
            <v>2627V337</v>
          </cell>
          <cell r="D4480" t="str">
            <v>KBP86</v>
          </cell>
          <cell r="E4480">
            <v>46224</v>
          </cell>
        </row>
        <row r="4481">
          <cell r="A4481" t="str">
            <v>2623OC17</v>
          </cell>
          <cell r="D4481" t="str">
            <v>KBP86</v>
          </cell>
          <cell r="E4481">
            <v>46224</v>
          </cell>
        </row>
        <row r="4482">
          <cell r="A4482" t="str">
            <v>2628H537</v>
          </cell>
          <cell r="D4482" t="str">
            <v>KBP126</v>
          </cell>
          <cell r="E4482">
            <v>46224</v>
          </cell>
        </row>
        <row r="4483">
          <cell r="A4483" t="str">
            <v>2627DZ67</v>
          </cell>
          <cell r="D4483" t="str">
            <v>TTS50</v>
          </cell>
          <cell r="E4483">
            <v>46224</v>
          </cell>
        </row>
        <row r="4484">
          <cell r="A4484" t="str">
            <v>2627OM37</v>
          </cell>
          <cell r="D4484" t="str">
            <v>FTW102K</v>
          </cell>
          <cell r="E4484">
            <v>46224</v>
          </cell>
        </row>
        <row r="4485">
          <cell r="A4485" t="str">
            <v>2625IW37</v>
          </cell>
          <cell r="D4485" t="str">
            <v>FTW503</v>
          </cell>
          <cell r="E4485">
            <v>46224</v>
          </cell>
        </row>
        <row r="4486">
          <cell r="A4486" t="str">
            <v>2617QL57</v>
          </cell>
          <cell r="D4486" t="str">
            <v>KBP52</v>
          </cell>
          <cell r="E4486">
            <v>46224</v>
          </cell>
        </row>
        <row r="4487">
          <cell r="A4487" t="str">
            <v>2626LH67</v>
          </cell>
          <cell r="D4487" t="str">
            <v>STA156KA</v>
          </cell>
          <cell r="E4487">
            <v>46224</v>
          </cell>
        </row>
        <row r="4488">
          <cell r="A4488" t="str">
            <v>2627S237</v>
          </cell>
          <cell r="D4488" t="str">
            <v>S706</v>
          </cell>
          <cell r="E4488">
            <v>46224</v>
          </cell>
        </row>
        <row r="4489">
          <cell r="A4489" t="str">
            <v>2627QB27</v>
          </cell>
          <cell r="D4489" t="str">
            <v>FTW121KE</v>
          </cell>
          <cell r="E4489">
            <v>46224</v>
          </cell>
        </row>
        <row r="4490">
          <cell r="A4490" t="str">
            <v>2627HC47</v>
          </cell>
          <cell r="D4490" t="str">
            <v>FTW121KE</v>
          </cell>
          <cell r="E4490">
            <v>46224</v>
          </cell>
        </row>
        <row r="4491">
          <cell r="A4491" t="str">
            <v>2626CC27</v>
          </cell>
          <cell r="D4491" t="str">
            <v>S15MB</v>
          </cell>
          <cell r="E4491">
            <v>46224</v>
          </cell>
        </row>
        <row r="4492">
          <cell r="A4492" t="str">
            <v>2627DK57</v>
          </cell>
          <cell r="D4492" t="str">
            <v>FTW121KR</v>
          </cell>
          <cell r="E4492">
            <v>46224</v>
          </cell>
        </row>
        <row r="4493">
          <cell r="A4493" t="str">
            <v>2627PK37</v>
          </cell>
          <cell r="D4493" t="str">
            <v>FTW121KR</v>
          </cell>
          <cell r="E4493">
            <v>46224</v>
          </cell>
        </row>
        <row r="4494">
          <cell r="A4494" t="str">
            <v>2627W627</v>
          </cell>
          <cell r="D4494" t="str">
            <v>TTS80</v>
          </cell>
          <cell r="E4494">
            <v>46224</v>
          </cell>
        </row>
        <row r="4495">
          <cell r="A4495" t="str">
            <v>2625LM27</v>
          </cell>
          <cell r="D4495" t="str">
            <v>FTW503</v>
          </cell>
          <cell r="E4495">
            <v>46224</v>
          </cell>
        </row>
        <row r="4496">
          <cell r="A4496" t="str">
            <v>2626PM37</v>
          </cell>
          <cell r="D4496" t="str">
            <v>TTS80</v>
          </cell>
          <cell r="E4496">
            <v>46223</v>
          </cell>
        </row>
        <row r="4497">
          <cell r="A4497" t="str">
            <v>2624YF57</v>
          </cell>
          <cell r="D4497" t="str">
            <v>TTS80</v>
          </cell>
          <cell r="E4497">
            <v>46223</v>
          </cell>
        </row>
        <row r="4498">
          <cell r="A4498" t="str">
            <v>2609E447</v>
          </cell>
          <cell r="D4498" t="str">
            <v>TTS80</v>
          </cell>
          <cell r="E4498">
            <v>46223</v>
          </cell>
        </row>
        <row r="4499">
          <cell r="A4499" t="str">
            <v>2626JM47</v>
          </cell>
          <cell r="D4499" t="str">
            <v>FTW503</v>
          </cell>
          <cell r="E4499">
            <v>46223</v>
          </cell>
        </row>
        <row r="4500">
          <cell r="A4500" t="str">
            <v>2626PI37</v>
          </cell>
          <cell r="D4500" t="str">
            <v>TTS80</v>
          </cell>
          <cell r="E4500">
            <v>46223</v>
          </cell>
        </row>
        <row r="4501">
          <cell r="A4501" t="str">
            <v>2626JX57</v>
          </cell>
          <cell r="D4501" t="str">
            <v>FTP200</v>
          </cell>
          <cell r="E4501">
            <v>46223</v>
          </cell>
        </row>
        <row r="4502">
          <cell r="A4502" t="str">
            <v>2609E547</v>
          </cell>
          <cell r="D4502" t="str">
            <v>TTS80</v>
          </cell>
          <cell r="E4502">
            <v>46223</v>
          </cell>
        </row>
        <row r="4503">
          <cell r="A4503" t="str">
            <v>2626QE47</v>
          </cell>
          <cell r="D4503" t="str">
            <v>S706</v>
          </cell>
          <cell r="E4503">
            <v>46223</v>
          </cell>
        </row>
        <row r="4504">
          <cell r="A4504" t="str">
            <v>2627QK17</v>
          </cell>
          <cell r="D4504" t="str">
            <v>FTW121KE</v>
          </cell>
          <cell r="E4504">
            <v>46223</v>
          </cell>
        </row>
        <row r="4505">
          <cell r="A4505" t="str">
            <v>2627JW47</v>
          </cell>
          <cell r="D4505" t="str">
            <v>S706</v>
          </cell>
          <cell r="E4505">
            <v>46223</v>
          </cell>
        </row>
        <row r="4506">
          <cell r="A4506" t="str">
            <v>2626OJ67</v>
          </cell>
          <cell r="D4506" t="str">
            <v>TTS80</v>
          </cell>
          <cell r="E4506">
            <v>46223</v>
          </cell>
        </row>
        <row r="4507">
          <cell r="A4507" t="str">
            <v>2627UB37</v>
          </cell>
          <cell r="D4507" t="str">
            <v>TTS80</v>
          </cell>
          <cell r="E4507">
            <v>46223</v>
          </cell>
        </row>
        <row r="4508">
          <cell r="A4508" t="str">
            <v>2627UA27</v>
          </cell>
          <cell r="D4508" t="str">
            <v>S706</v>
          </cell>
          <cell r="E4508">
            <v>46223</v>
          </cell>
        </row>
        <row r="4509">
          <cell r="A4509" t="str">
            <v>2627KA27</v>
          </cell>
          <cell r="D4509" t="str">
            <v>STA156KA</v>
          </cell>
          <cell r="E4509">
            <v>46223</v>
          </cell>
        </row>
        <row r="4510">
          <cell r="A4510" t="str">
            <v>2627GW47</v>
          </cell>
          <cell r="D4510" t="str">
            <v>S805</v>
          </cell>
          <cell r="E4510">
            <v>46223</v>
          </cell>
        </row>
        <row r="4511">
          <cell r="A4511" t="str">
            <v>2626CJ27</v>
          </cell>
          <cell r="D4511" t="str">
            <v>S15MB</v>
          </cell>
          <cell r="E4511">
            <v>46223</v>
          </cell>
        </row>
        <row r="4512">
          <cell r="A4512" t="str">
            <v>2626JJ57</v>
          </cell>
          <cell r="D4512" t="str">
            <v>S706</v>
          </cell>
          <cell r="E4512">
            <v>46223</v>
          </cell>
        </row>
        <row r="4513">
          <cell r="A4513" t="str">
            <v>2628QV27</v>
          </cell>
          <cell r="D4513" t="str">
            <v>KBP76</v>
          </cell>
          <cell r="E4513">
            <v>46223</v>
          </cell>
        </row>
        <row r="4514">
          <cell r="A4514" t="str">
            <v>2628PB17</v>
          </cell>
          <cell r="D4514" t="str">
            <v>FTP150</v>
          </cell>
          <cell r="E4514">
            <v>46223</v>
          </cell>
        </row>
        <row r="4515">
          <cell r="A4515" t="str">
            <v>2627XA17</v>
          </cell>
          <cell r="D4515" t="str">
            <v>TTS50</v>
          </cell>
          <cell r="E4515">
            <v>46223</v>
          </cell>
        </row>
        <row r="4516">
          <cell r="A4516" t="str">
            <v>2626S657</v>
          </cell>
          <cell r="D4516" t="str">
            <v>KBP76</v>
          </cell>
          <cell r="E4516">
            <v>46223</v>
          </cell>
        </row>
        <row r="4517">
          <cell r="A4517" t="str">
            <v>2627AO67</v>
          </cell>
          <cell r="D4517" t="str">
            <v>TTS50</v>
          </cell>
          <cell r="E4517">
            <v>46223</v>
          </cell>
        </row>
        <row r="4518">
          <cell r="A4518" t="str">
            <v>2627LF37</v>
          </cell>
          <cell r="D4518" t="str">
            <v>FTW503</v>
          </cell>
          <cell r="E4518">
            <v>46223</v>
          </cell>
        </row>
        <row r="4519">
          <cell r="A4519" t="str">
            <v>2628P317</v>
          </cell>
          <cell r="D4519" t="str">
            <v>FTP150</v>
          </cell>
          <cell r="E4519">
            <v>46223</v>
          </cell>
        </row>
        <row r="4520">
          <cell r="A4520" t="str">
            <v>2627L467</v>
          </cell>
          <cell r="D4520" t="str">
            <v>KBP86</v>
          </cell>
          <cell r="E4520">
            <v>46223</v>
          </cell>
        </row>
        <row r="4521">
          <cell r="A4521" t="str">
            <v>2627AS47</v>
          </cell>
          <cell r="D4521" t="str">
            <v>S15MB</v>
          </cell>
          <cell r="E4521">
            <v>46223</v>
          </cell>
        </row>
        <row r="4522">
          <cell r="A4522" t="str">
            <v>2614OT27</v>
          </cell>
          <cell r="D4522" t="str">
            <v>STA156KA</v>
          </cell>
          <cell r="E4522">
            <v>46223</v>
          </cell>
        </row>
        <row r="4523">
          <cell r="A4523" t="str">
            <v>2626K667</v>
          </cell>
          <cell r="D4523" t="str">
            <v>S706</v>
          </cell>
          <cell r="E4523">
            <v>46223</v>
          </cell>
        </row>
        <row r="4524">
          <cell r="A4524" t="str">
            <v>2626JY57</v>
          </cell>
          <cell r="D4524" t="str">
            <v>FTP200</v>
          </cell>
          <cell r="E4524">
            <v>46223</v>
          </cell>
        </row>
        <row r="4525">
          <cell r="A4525" t="str">
            <v>2625F567</v>
          </cell>
          <cell r="D4525" t="str">
            <v>KBP55</v>
          </cell>
          <cell r="E4525">
            <v>46223</v>
          </cell>
        </row>
        <row r="4526">
          <cell r="A4526" t="str">
            <v>2625EW67</v>
          </cell>
          <cell r="D4526" t="str">
            <v>KBP74</v>
          </cell>
          <cell r="E4526">
            <v>46223</v>
          </cell>
        </row>
        <row r="4527">
          <cell r="A4527" t="str">
            <v>2627QR27</v>
          </cell>
          <cell r="D4527" t="str">
            <v>FTW121KE</v>
          </cell>
          <cell r="E4527">
            <v>46223</v>
          </cell>
        </row>
        <row r="4528">
          <cell r="A4528" t="str">
            <v>2627PU27</v>
          </cell>
          <cell r="D4528" t="str">
            <v>S805</v>
          </cell>
          <cell r="E4528">
            <v>46223</v>
          </cell>
        </row>
        <row r="4529">
          <cell r="A4529" t="str">
            <v>2627ED57</v>
          </cell>
          <cell r="D4529" t="str">
            <v>FTP200</v>
          </cell>
          <cell r="E4529">
            <v>46223</v>
          </cell>
        </row>
        <row r="4530">
          <cell r="A4530" t="str">
            <v>2627O437</v>
          </cell>
          <cell r="D4530" t="str">
            <v>S805</v>
          </cell>
          <cell r="E4530">
            <v>46223</v>
          </cell>
        </row>
        <row r="4531">
          <cell r="A4531" t="str">
            <v>2627JW47</v>
          </cell>
          <cell r="D4531" t="str">
            <v>S706</v>
          </cell>
          <cell r="E4531">
            <v>46223</v>
          </cell>
        </row>
        <row r="4532">
          <cell r="A4532" t="str">
            <v>2625SW57</v>
          </cell>
          <cell r="D4532" t="str">
            <v>KBP86</v>
          </cell>
          <cell r="E4532">
            <v>46223</v>
          </cell>
        </row>
        <row r="4533">
          <cell r="A4533" t="str">
            <v>2627GY47</v>
          </cell>
          <cell r="D4533" t="str">
            <v>S805</v>
          </cell>
          <cell r="E4533">
            <v>46223</v>
          </cell>
        </row>
        <row r="4534">
          <cell r="A4534" t="str">
            <v>2626FN20</v>
          </cell>
          <cell r="D4534" t="str">
            <v>TTS125</v>
          </cell>
          <cell r="E4534">
            <v>46223</v>
          </cell>
        </row>
        <row r="4535">
          <cell r="A4535" t="str">
            <v>2627S527</v>
          </cell>
          <cell r="D4535" t="str">
            <v>FTW121KE</v>
          </cell>
          <cell r="E4535">
            <v>46223</v>
          </cell>
        </row>
        <row r="4536">
          <cell r="A4536" t="str">
            <v>2625FM50</v>
          </cell>
          <cell r="D4536" t="str">
            <v>TTS125</v>
          </cell>
          <cell r="E4536">
            <v>46223</v>
          </cell>
        </row>
        <row r="4537">
          <cell r="A4537" t="str">
            <v>2626SF27</v>
          </cell>
          <cell r="D4537" t="str">
            <v>TTS80</v>
          </cell>
          <cell r="E4537">
            <v>46223</v>
          </cell>
        </row>
        <row r="4538">
          <cell r="A4538" t="str">
            <v>2626QG47</v>
          </cell>
          <cell r="D4538" t="str">
            <v>S706</v>
          </cell>
          <cell r="E4538">
            <v>46223</v>
          </cell>
        </row>
        <row r="4539">
          <cell r="A4539" t="str">
            <v>2627VV27</v>
          </cell>
          <cell r="D4539" t="str">
            <v>TTS80</v>
          </cell>
          <cell r="E4539">
            <v>46223</v>
          </cell>
        </row>
        <row r="4540">
          <cell r="A4540" t="str">
            <v>2625J317</v>
          </cell>
          <cell r="D4540" t="str">
            <v>S805</v>
          </cell>
          <cell r="E4540">
            <v>46223</v>
          </cell>
        </row>
        <row r="4541">
          <cell r="A4541" t="str">
            <v>2626D467</v>
          </cell>
          <cell r="D4541" t="str">
            <v>KBP76</v>
          </cell>
          <cell r="E4541">
            <v>46223</v>
          </cell>
        </row>
        <row r="4542">
          <cell r="A4542" t="str">
            <v>2627LB67</v>
          </cell>
          <cell r="D4542" t="str">
            <v>KBP86</v>
          </cell>
          <cell r="E4542">
            <v>46223</v>
          </cell>
        </row>
        <row r="4543">
          <cell r="A4543" t="str">
            <v>2627Q467</v>
          </cell>
          <cell r="D4543" t="str">
            <v>FTP200</v>
          </cell>
          <cell r="E4543">
            <v>46223</v>
          </cell>
        </row>
        <row r="4544">
          <cell r="A4544" t="str">
            <v>2627WL27</v>
          </cell>
          <cell r="D4544" t="str">
            <v>KBP86</v>
          </cell>
          <cell r="E4544">
            <v>46223</v>
          </cell>
        </row>
        <row r="4545">
          <cell r="A4545" t="str">
            <v>2626JY57</v>
          </cell>
          <cell r="D4545" t="str">
            <v>FTP200</v>
          </cell>
          <cell r="E4545">
            <v>46223</v>
          </cell>
        </row>
        <row r="4546">
          <cell r="A4546" t="str">
            <v>2626G557</v>
          </cell>
          <cell r="D4546" t="str">
            <v>FTW503</v>
          </cell>
          <cell r="E4546">
            <v>46223</v>
          </cell>
        </row>
        <row r="4547">
          <cell r="A4547" t="str">
            <v>2627AS67</v>
          </cell>
          <cell r="D4547" t="str">
            <v>TTS50</v>
          </cell>
          <cell r="E4547">
            <v>46223</v>
          </cell>
        </row>
        <row r="4548">
          <cell r="A4548" t="str">
            <v>2627L847</v>
          </cell>
          <cell r="D4548" t="str">
            <v>KBP76</v>
          </cell>
          <cell r="E4548">
            <v>46223</v>
          </cell>
        </row>
        <row r="4549">
          <cell r="A4549" t="str">
            <v>2625IJ37</v>
          </cell>
          <cell r="D4549" t="str">
            <v>KBP76</v>
          </cell>
          <cell r="E4549">
            <v>46223</v>
          </cell>
        </row>
        <row r="4550">
          <cell r="A4550" t="str">
            <v>2627LA67</v>
          </cell>
          <cell r="D4550" t="str">
            <v>KBP86</v>
          </cell>
          <cell r="E4550">
            <v>46223</v>
          </cell>
        </row>
        <row r="4551">
          <cell r="A4551" t="str">
            <v>2626OU67</v>
          </cell>
          <cell r="D4551" t="str">
            <v>TTS80</v>
          </cell>
          <cell r="E4551">
            <v>46223</v>
          </cell>
        </row>
        <row r="4552">
          <cell r="A4552" t="str">
            <v>2627PB67</v>
          </cell>
          <cell r="D4552" t="str">
            <v>KBP52</v>
          </cell>
          <cell r="E4552">
            <v>46223</v>
          </cell>
        </row>
        <row r="4553">
          <cell r="A4553" t="str">
            <v>2624D267</v>
          </cell>
          <cell r="D4553" t="str">
            <v>KBP86</v>
          </cell>
          <cell r="E4553">
            <v>46223</v>
          </cell>
        </row>
        <row r="4554">
          <cell r="A4554" t="str">
            <v>2627L537</v>
          </cell>
          <cell r="D4554" t="str">
            <v>KBP76</v>
          </cell>
          <cell r="E4554">
            <v>46223</v>
          </cell>
        </row>
        <row r="4555">
          <cell r="A4555" t="str">
            <v>2625LU57</v>
          </cell>
          <cell r="D4555" t="str">
            <v>KBP55</v>
          </cell>
          <cell r="E4555">
            <v>46223</v>
          </cell>
        </row>
        <row r="4556">
          <cell r="A4556" t="str">
            <v>2625IU47</v>
          </cell>
          <cell r="D4556" t="str">
            <v>FTW503</v>
          </cell>
          <cell r="E4556">
            <v>46223</v>
          </cell>
        </row>
        <row r="4557">
          <cell r="A4557" t="str">
            <v>2627L867</v>
          </cell>
          <cell r="D4557" t="str">
            <v>KBP86</v>
          </cell>
          <cell r="E4557">
            <v>46223</v>
          </cell>
        </row>
        <row r="4558">
          <cell r="A4558" t="str">
            <v>2627VC27</v>
          </cell>
          <cell r="D4558" t="str">
            <v>KBP76</v>
          </cell>
          <cell r="E4558">
            <v>46223</v>
          </cell>
        </row>
        <row r="4559">
          <cell r="A4559" t="str">
            <v>2625PY27</v>
          </cell>
          <cell r="D4559" t="str">
            <v>S706</v>
          </cell>
          <cell r="E4559">
            <v>46223</v>
          </cell>
        </row>
        <row r="4560">
          <cell r="A4560" t="str">
            <v>2627L947</v>
          </cell>
          <cell r="D4560" t="str">
            <v>KBP76</v>
          </cell>
          <cell r="E4560">
            <v>46223</v>
          </cell>
        </row>
        <row r="4561">
          <cell r="A4561" t="str">
            <v>2627XN17</v>
          </cell>
          <cell r="D4561" t="str">
            <v>TTS80</v>
          </cell>
          <cell r="E4561">
            <v>46223</v>
          </cell>
        </row>
        <row r="4562">
          <cell r="A4562" t="str">
            <v>2624HC67</v>
          </cell>
          <cell r="D4562" t="str">
            <v>TTS50</v>
          </cell>
          <cell r="E4562">
            <v>46223</v>
          </cell>
        </row>
        <row r="4563">
          <cell r="A4563" t="str">
            <v>2627O237</v>
          </cell>
          <cell r="D4563" t="str">
            <v>S805</v>
          </cell>
          <cell r="E4563">
            <v>46223</v>
          </cell>
        </row>
        <row r="4564">
          <cell r="A4564" t="str">
            <v>2627QA17</v>
          </cell>
          <cell r="D4564" t="str">
            <v>FTW121KE</v>
          </cell>
          <cell r="E4564">
            <v>46223</v>
          </cell>
        </row>
        <row r="4565">
          <cell r="A4565" t="str">
            <v>2627FY67</v>
          </cell>
          <cell r="D4565" t="str">
            <v>FTW121KE</v>
          </cell>
          <cell r="E4565">
            <v>46223</v>
          </cell>
        </row>
        <row r="4566">
          <cell r="A4566" t="str">
            <v>2627O637</v>
          </cell>
          <cell r="D4566" t="str">
            <v>FTW700</v>
          </cell>
          <cell r="E4566">
            <v>46223</v>
          </cell>
        </row>
        <row r="4567">
          <cell r="A4567" t="str">
            <v>2627UK27</v>
          </cell>
          <cell r="D4567" t="str">
            <v>S706</v>
          </cell>
          <cell r="E4567">
            <v>46223</v>
          </cell>
        </row>
        <row r="4568">
          <cell r="A4568" t="str">
            <v>2626JQ27</v>
          </cell>
          <cell r="D4568" t="str">
            <v>FTW503</v>
          </cell>
          <cell r="E4568">
            <v>46223</v>
          </cell>
        </row>
        <row r="4569">
          <cell r="A4569" t="str">
            <v>2626FM80</v>
          </cell>
          <cell r="D4569" t="str">
            <v>TTS125</v>
          </cell>
          <cell r="E4569">
            <v>46223</v>
          </cell>
        </row>
        <row r="4570">
          <cell r="A4570" t="str">
            <v>2621P747</v>
          </cell>
          <cell r="D4570" t="str">
            <v>KBP86</v>
          </cell>
          <cell r="E4570">
            <v>46223</v>
          </cell>
        </row>
        <row r="4571">
          <cell r="A4571" t="str">
            <v>2627QJ37</v>
          </cell>
          <cell r="D4571" t="str">
            <v>S706</v>
          </cell>
          <cell r="E4571">
            <v>46223</v>
          </cell>
        </row>
        <row r="4572">
          <cell r="A4572" t="str">
            <v>2628SP17</v>
          </cell>
          <cell r="D4572" t="str">
            <v>FTW121KE</v>
          </cell>
          <cell r="E4572">
            <v>46223</v>
          </cell>
        </row>
        <row r="4573">
          <cell r="A4573" t="str">
            <v>2628P917</v>
          </cell>
          <cell r="D4573" t="str">
            <v>FTP150</v>
          </cell>
          <cell r="E4573">
            <v>46223</v>
          </cell>
        </row>
        <row r="4574">
          <cell r="A4574" t="str">
            <v>2626ID27</v>
          </cell>
          <cell r="D4574" t="str">
            <v>KBP86</v>
          </cell>
          <cell r="E4574">
            <v>46223</v>
          </cell>
        </row>
        <row r="4575">
          <cell r="A4575" t="str">
            <v>2628U817</v>
          </cell>
          <cell r="D4575" t="str">
            <v>KBP86</v>
          </cell>
          <cell r="E4575">
            <v>46223</v>
          </cell>
        </row>
        <row r="4576">
          <cell r="A4576" t="str">
            <v>2625OJ17</v>
          </cell>
          <cell r="D4576" t="str">
            <v>S706</v>
          </cell>
          <cell r="E4576">
            <v>46223</v>
          </cell>
        </row>
        <row r="4577">
          <cell r="A4577" t="str">
            <v>2626JM37</v>
          </cell>
          <cell r="D4577" t="str">
            <v>FTW503</v>
          </cell>
          <cell r="E4577">
            <v>46223</v>
          </cell>
        </row>
        <row r="4578">
          <cell r="A4578" t="str">
            <v>2627Q527</v>
          </cell>
          <cell r="D4578" t="str">
            <v>FTW102K</v>
          </cell>
          <cell r="E4578">
            <v>46223</v>
          </cell>
        </row>
        <row r="4579">
          <cell r="A4579" t="str">
            <v>2627L967</v>
          </cell>
          <cell r="D4579" t="str">
            <v>KBP86</v>
          </cell>
          <cell r="E4579">
            <v>46223</v>
          </cell>
        </row>
        <row r="4580">
          <cell r="A4580" t="str">
            <v>2627JN67</v>
          </cell>
          <cell r="D4580" t="str">
            <v>KBP76</v>
          </cell>
          <cell r="E4580">
            <v>46223</v>
          </cell>
        </row>
        <row r="4581">
          <cell r="A4581" t="str">
            <v>2626LC37</v>
          </cell>
          <cell r="D4581" t="str">
            <v>FTW121KE</v>
          </cell>
          <cell r="E4581">
            <v>46223</v>
          </cell>
        </row>
        <row r="4582">
          <cell r="A4582" t="str">
            <v>2626O137</v>
          </cell>
          <cell r="D4582" t="str">
            <v>KBP86</v>
          </cell>
          <cell r="E4582">
            <v>46223</v>
          </cell>
        </row>
        <row r="4583">
          <cell r="A4583" t="str">
            <v>2625I937</v>
          </cell>
          <cell r="D4583" t="str">
            <v>KBP76</v>
          </cell>
          <cell r="E4583">
            <v>46223</v>
          </cell>
        </row>
        <row r="4584">
          <cell r="A4584" t="str">
            <v>2622BL67</v>
          </cell>
          <cell r="D4584" t="str">
            <v>KBP86</v>
          </cell>
          <cell r="E4584">
            <v>46223</v>
          </cell>
        </row>
        <row r="4585">
          <cell r="A4585" t="str">
            <v>2624I937</v>
          </cell>
          <cell r="D4585" t="str">
            <v>S805</v>
          </cell>
          <cell r="E4585">
            <v>46223</v>
          </cell>
        </row>
        <row r="4586">
          <cell r="A4586" t="str">
            <v>2627UP37</v>
          </cell>
          <cell r="D4586" t="str">
            <v>TTS80</v>
          </cell>
          <cell r="E4586">
            <v>46223</v>
          </cell>
        </row>
        <row r="4587">
          <cell r="A4587" t="str">
            <v>2628UD17</v>
          </cell>
          <cell r="D4587" t="str">
            <v>FTP200</v>
          </cell>
          <cell r="E4587">
            <v>46223</v>
          </cell>
        </row>
        <row r="4588">
          <cell r="A4588" t="str">
            <v>2624DO67</v>
          </cell>
          <cell r="D4588" t="str">
            <v>KBP86</v>
          </cell>
          <cell r="E4588">
            <v>46223</v>
          </cell>
        </row>
        <row r="4589">
          <cell r="A4589" t="str">
            <v>2627PS37</v>
          </cell>
          <cell r="D4589" t="str">
            <v>FTW121KE</v>
          </cell>
          <cell r="E4589">
            <v>46223</v>
          </cell>
        </row>
        <row r="4590">
          <cell r="A4590" t="str">
            <v>2627AU67</v>
          </cell>
          <cell r="D4590" t="str">
            <v>TTS50</v>
          </cell>
          <cell r="E4590">
            <v>46223</v>
          </cell>
        </row>
        <row r="4591">
          <cell r="A4591" t="str">
            <v>2627LG37</v>
          </cell>
          <cell r="D4591" t="str">
            <v>FTW503</v>
          </cell>
          <cell r="E4591">
            <v>46223</v>
          </cell>
        </row>
        <row r="4592">
          <cell r="A4592" t="str">
            <v>2627QK27</v>
          </cell>
          <cell r="D4592" t="str">
            <v>FTW121KE</v>
          </cell>
          <cell r="E4592">
            <v>46223</v>
          </cell>
        </row>
        <row r="4593">
          <cell r="A4593" t="str">
            <v>2626U137</v>
          </cell>
          <cell r="D4593" t="str">
            <v>KBP55</v>
          </cell>
          <cell r="E4593">
            <v>46223</v>
          </cell>
        </row>
        <row r="4594">
          <cell r="A4594" t="str">
            <v>2626JD47</v>
          </cell>
          <cell r="D4594" t="str">
            <v>FTW503</v>
          </cell>
          <cell r="E4594">
            <v>46223</v>
          </cell>
        </row>
        <row r="4595">
          <cell r="A4595" t="str">
            <v>2625OU67</v>
          </cell>
          <cell r="D4595" t="str">
            <v>FTW121KE</v>
          </cell>
          <cell r="E4595">
            <v>46223</v>
          </cell>
        </row>
        <row r="4596">
          <cell r="A4596" t="str">
            <v>2627D547</v>
          </cell>
          <cell r="D4596" t="str">
            <v>KBP86</v>
          </cell>
          <cell r="E4596">
            <v>46223</v>
          </cell>
        </row>
        <row r="4597">
          <cell r="A4597" t="str">
            <v>2615ZP17</v>
          </cell>
          <cell r="D4597" t="str">
            <v>S706</v>
          </cell>
          <cell r="E4597">
            <v>46223</v>
          </cell>
        </row>
        <row r="4598">
          <cell r="A4598" t="str">
            <v>2626GR57</v>
          </cell>
          <cell r="D4598" t="str">
            <v>KBP44</v>
          </cell>
          <cell r="E4598">
            <v>46223</v>
          </cell>
        </row>
        <row r="4599">
          <cell r="A4599" t="str">
            <v>2627QV17</v>
          </cell>
          <cell r="D4599" t="str">
            <v>FTW121KE</v>
          </cell>
          <cell r="E4599">
            <v>46223</v>
          </cell>
        </row>
        <row r="4600">
          <cell r="A4600" t="str">
            <v>2626QD37</v>
          </cell>
          <cell r="D4600" t="str">
            <v>S706</v>
          </cell>
          <cell r="E4600">
            <v>46223</v>
          </cell>
        </row>
        <row r="4601">
          <cell r="A4601" t="str">
            <v>2627I447</v>
          </cell>
          <cell r="D4601" t="str">
            <v>FTW121KE</v>
          </cell>
          <cell r="E4601">
            <v>46223</v>
          </cell>
        </row>
        <row r="4602">
          <cell r="A4602" t="str">
            <v>2626JB47</v>
          </cell>
          <cell r="D4602" t="str">
            <v>FTW503</v>
          </cell>
          <cell r="E4602">
            <v>46223</v>
          </cell>
        </row>
        <row r="4603">
          <cell r="A4603" t="str">
            <v>2627O337</v>
          </cell>
          <cell r="D4603" t="str">
            <v>S805</v>
          </cell>
          <cell r="E4603">
            <v>46223</v>
          </cell>
        </row>
        <row r="4604">
          <cell r="A4604" t="str">
            <v>2627UQ37</v>
          </cell>
          <cell r="D4604" t="str">
            <v>TTS80</v>
          </cell>
          <cell r="E4604">
            <v>46223</v>
          </cell>
        </row>
        <row r="4605">
          <cell r="A4605" t="str">
            <v>2627K817</v>
          </cell>
          <cell r="D4605" t="str">
            <v>KBP76</v>
          </cell>
          <cell r="E4605">
            <v>46223</v>
          </cell>
        </row>
        <row r="4606">
          <cell r="A4606" t="str">
            <v>2627OP37</v>
          </cell>
          <cell r="D4606" t="str">
            <v>FTW121KE</v>
          </cell>
          <cell r="E4606">
            <v>46223</v>
          </cell>
        </row>
        <row r="4607">
          <cell r="A4607" t="str">
            <v>2627DY57</v>
          </cell>
          <cell r="D4607" t="str">
            <v>FTW121KE</v>
          </cell>
          <cell r="E4607">
            <v>46223</v>
          </cell>
        </row>
        <row r="4608">
          <cell r="A4608" t="str">
            <v>2627Q767</v>
          </cell>
          <cell r="D4608" t="str">
            <v>FTP200</v>
          </cell>
          <cell r="E4608">
            <v>46223</v>
          </cell>
        </row>
        <row r="4609">
          <cell r="A4609" t="str">
            <v>2625KU57</v>
          </cell>
          <cell r="D4609" t="str">
            <v>S706</v>
          </cell>
          <cell r="E4609">
            <v>46223</v>
          </cell>
        </row>
        <row r="4610">
          <cell r="A4610" t="str">
            <v>2628P417</v>
          </cell>
          <cell r="D4610" t="str">
            <v>FTP150</v>
          </cell>
          <cell r="E4610">
            <v>46223</v>
          </cell>
        </row>
        <row r="4611">
          <cell r="A4611" t="str">
            <v>2626HG17</v>
          </cell>
          <cell r="D4611" t="str">
            <v>S15MB</v>
          </cell>
          <cell r="E4611">
            <v>46223</v>
          </cell>
        </row>
        <row r="4612">
          <cell r="A4612" t="str">
            <v>2627XI17</v>
          </cell>
          <cell r="D4612" t="str">
            <v>KBP55</v>
          </cell>
          <cell r="E4612">
            <v>46223</v>
          </cell>
        </row>
        <row r="4613">
          <cell r="A4613" t="str">
            <v>2624WR57</v>
          </cell>
          <cell r="D4613" t="str">
            <v>KBP86</v>
          </cell>
          <cell r="E4613">
            <v>46223</v>
          </cell>
        </row>
        <row r="4614">
          <cell r="A4614" t="str">
            <v>2627UC37</v>
          </cell>
          <cell r="D4614" t="str">
            <v>TTS80</v>
          </cell>
          <cell r="E4614">
            <v>46223</v>
          </cell>
        </row>
        <row r="4615">
          <cell r="A4615" t="str">
            <v>2627Q217</v>
          </cell>
          <cell r="D4615" t="str">
            <v>FTW121KE</v>
          </cell>
          <cell r="E4615">
            <v>46223</v>
          </cell>
        </row>
        <row r="4616">
          <cell r="A4616" t="str">
            <v>2627P417</v>
          </cell>
          <cell r="D4616" t="str">
            <v>FTW700</v>
          </cell>
          <cell r="E4616">
            <v>46223</v>
          </cell>
        </row>
        <row r="4617">
          <cell r="A4617" t="str">
            <v>2627VF27</v>
          </cell>
          <cell r="D4617" t="str">
            <v>KBP76</v>
          </cell>
          <cell r="E4617">
            <v>46223</v>
          </cell>
        </row>
        <row r="4618">
          <cell r="A4618" t="str">
            <v>2627X517</v>
          </cell>
          <cell r="D4618" t="str">
            <v>KBP74</v>
          </cell>
          <cell r="E4618">
            <v>46223</v>
          </cell>
        </row>
        <row r="4619">
          <cell r="A4619" t="str">
            <v>2627S427</v>
          </cell>
          <cell r="D4619" t="str">
            <v>FTW121KE</v>
          </cell>
          <cell r="E4619">
            <v>46223</v>
          </cell>
        </row>
        <row r="4620">
          <cell r="A4620" t="str">
            <v>2627EK57</v>
          </cell>
          <cell r="D4620" t="str">
            <v>FTP200</v>
          </cell>
          <cell r="E4620">
            <v>46223</v>
          </cell>
        </row>
        <row r="4621">
          <cell r="A4621" t="str">
            <v>2627V917</v>
          </cell>
          <cell r="D4621" t="str">
            <v>S706</v>
          </cell>
          <cell r="E4621">
            <v>46223</v>
          </cell>
        </row>
        <row r="4622">
          <cell r="A4622" t="str">
            <v>2626P167</v>
          </cell>
          <cell r="D4622" t="str">
            <v>TTS80</v>
          </cell>
          <cell r="E4622">
            <v>46223</v>
          </cell>
        </row>
        <row r="4623">
          <cell r="A4623" t="str">
            <v>2627LH17</v>
          </cell>
          <cell r="D4623" t="str">
            <v>FTW503</v>
          </cell>
          <cell r="E4623">
            <v>46223</v>
          </cell>
        </row>
        <row r="4624">
          <cell r="A4624" t="str">
            <v>2627S737</v>
          </cell>
          <cell r="D4624" t="str">
            <v>S706</v>
          </cell>
          <cell r="E4624">
            <v>46223</v>
          </cell>
        </row>
        <row r="4625">
          <cell r="A4625" t="str">
            <v>2626JQ37</v>
          </cell>
          <cell r="D4625" t="str">
            <v>FTW503</v>
          </cell>
          <cell r="E4625">
            <v>46223</v>
          </cell>
        </row>
        <row r="4626">
          <cell r="A4626" t="str">
            <v>2627LS47</v>
          </cell>
          <cell r="D4626" t="str">
            <v>KBP86</v>
          </cell>
          <cell r="E4626">
            <v>46223</v>
          </cell>
        </row>
        <row r="4627">
          <cell r="A4627" t="str">
            <v>2626SV57</v>
          </cell>
          <cell r="D4627" t="str">
            <v>FTW503</v>
          </cell>
          <cell r="E4627">
            <v>46223</v>
          </cell>
        </row>
        <row r="4628">
          <cell r="A4628" t="str">
            <v>2626JP47</v>
          </cell>
          <cell r="D4628" t="str">
            <v>FTW503</v>
          </cell>
          <cell r="E4628">
            <v>46223</v>
          </cell>
        </row>
        <row r="4629">
          <cell r="A4629" t="str">
            <v>2626IP17</v>
          </cell>
          <cell r="D4629" t="str">
            <v>FTW503</v>
          </cell>
          <cell r="E4629">
            <v>46223</v>
          </cell>
        </row>
        <row r="4630">
          <cell r="A4630" t="str">
            <v>2626PI57</v>
          </cell>
          <cell r="D4630" t="str">
            <v>KBP126</v>
          </cell>
          <cell r="E4630">
            <v>46223</v>
          </cell>
        </row>
        <row r="4631">
          <cell r="A4631" t="str">
            <v>2626JN47</v>
          </cell>
          <cell r="D4631" t="str">
            <v>FTW503</v>
          </cell>
          <cell r="E4631">
            <v>46223</v>
          </cell>
        </row>
        <row r="4632">
          <cell r="A4632" t="str">
            <v>2628SF17</v>
          </cell>
          <cell r="D4632" t="str">
            <v>FTW121KE</v>
          </cell>
          <cell r="E4632">
            <v>46223</v>
          </cell>
        </row>
        <row r="4633">
          <cell r="A4633" t="str">
            <v>2627PC67</v>
          </cell>
          <cell r="D4633" t="str">
            <v>KBP52</v>
          </cell>
          <cell r="E4633">
            <v>46223</v>
          </cell>
        </row>
        <row r="4634">
          <cell r="A4634" t="str">
            <v>2625HZ57</v>
          </cell>
          <cell r="D4634" t="str">
            <v>KBP76</v>
          </cell>
          <cell r="E4634">
            <v>46223</v>
          </cell>
        </row>
        <row r="4635">
          <cell r="A4635" t="str">
            <v>2627CY57</v>
          </cell>
          <cell r="D4635" t="str">
            <v>KBP52</v>
          </cell>
          <cell r="E4635">
            <v>46223</v>
          </cell>
        </row>
        <row r="4636">
          <cell r="A4636" t="str">
            <v>2627IN67</v>
          </cell>
          <cell r="D4636" t="str">
            <v>S706</v>
          </cell>
          <cell r="E4636">
            <v>46223</v>
          </cell>
        </row>
        <row r="4637">
          <cell r="A4637" t="str">
            <v>2620OY37</v>
          </cell>
          <cell r="D4637" t="str">
            <v>KBP52</v>
          </cell>
          <cell r="E4637">
            <v>46223</v>
          </cell>
        </row>
        <row r="4638">
          <cell r="A4638" t="str">
            <v>2627VU27</v>
          </cell>
          <cell r="D4638" t="str">
            <v>TTS80</v>
          </cell>
          <cell r="E4638">
            <v>46223</v>
          </cell>
        </row>
        <row r="4639">
          <cell r="A4639" t="str">
            <v>2627AE27</v>
          </cell>
          <cell r="D4639" t="str">
            <v>S805</v>
          </cell>
          <cell r="E4639">
            <v>46223</v>
          </cell>
        </row>
        <row r="4640">
          <cell r="A4640" t="str">
            <v>2627UU27</v>
          </cell>
          <cell r="D4640" t="str">
            <v>S706</v>
          </cell>
          <cell r="E4640">
            <v>46223</v>
          </cell>
        </row>
        <row r="4641">
          <cell r="A4641" t="str">
            <v>2625XP57</v>
          </cell>
          <cell r="D4641" t="str">
            <v>KBP86</v>
          </cell>
          <cell r="E4641">
            <v>46223</v>
          </cell>
        </row>
        <row r="4642">
          <cell r="A4642" t="str">
            <v>2626IO17</v>
          </cell>
          <cell r="D4642" t="str">
            <v>FTW503</v>
          </cell>
          <cell r="E4642">
            <v>46223</v>
          </cell>
        </row>
        <row r="4643">
          <cell r="A4643" t="str">
            <v>2627EA67</v>
          </cell>
          <cell r="D4643" t="str">
            <v>FTW700</v>
          </cell>
          <cell r="E4643">
            <v>46223</v>
          </cell>
        </row>
        <row r="4644">
          <cell r="A4644" t="str">
            <v>2627V517</v>
          </cell>
          <cell r="D4644" t="str">
            <v>S706</v>
          </cell>
          <cell r="E4644">
            <v>46223</v>
          </cell>
        </row>
        <row r="4645">
          <cell r="A4645" t="str">
            <v>2623CU67</v>
          </cell>
          <cell r="D4645" t="str">
            <v>KBP76</v>
          </cell>
          <cell r="E4645">
            <v>46223</v>
          </cell>
        </row>
        <row r="4646">
          <cell r="A4646" t="str">
            <v>2627EG57</v>
          </cell>
          <cell r="D4646" t="str">
            <v>FTP200</v>
          </cell>
          <cell r="E4646">
            <v>46223</v>
          </cell>
        </row>
        <row r="4647">
          <cell r="A4647" t="str">
            <v>2627KD17</v>
          </cell>
          <cell r="D4647" t="str">
            <v>STA156KA</v>
          </cell>
          <cell r="E4647">
            <v>46223</v>
          </cell>
        </row>
        <row r="4648">
          <cell r="A4648" t="str">
            <v>2627QN27</v>
          </cell>
          <cell r="D4648" t="str">
            <v>FTW121KE</v>
          </cell>
          <cell r="E4648">
            <v>46223</v>
          </cell>
        </row>
        <row r="4649">
          <cell r="A4649" t="str">
            <v>2627EY57</v>
          </cell>
          <cell r="D4649" t="str">
            <v>KBP76</v>
          </cell>
          <cell r="E4649">
            <v>46223</v>
          </cell>
        </row>
        <row r="4650">
          <cell r="A4650" t="str">
            <v>2625FK80</v>
          </cell>
          <cell r="D4650" t="str">
            <v>TTS125</v>
          </cell>
          <cell r="E4650">
            <v>46223</v>
          </cell>
        </row>
        <row r="4651">
          <cell r="A4651" t="str">
            <v>2624O857</v>
          </cell>
          <cell r="D4651" t="str">
            <v>KBP55</v>
          </cell>
          <cell r="E4651">
            <v>46223</v>
          </cell>
        </row>
        <row r="4652">
          <cell r="A4652" t="str">
            <v>2620OM27</v>
          </cell>
          <cell r="D4652" t="str">
            <v>KBP74</v>
          </cell>
          <cell r="E4652">
            <v>46223</v>
          </cell>
        </row>
        <row r="4653">
          <cell r="A4653" t="str">
            <v>2627UV17</v>
          </cell>
          <cell r="D4653" t="str">
            <v>S706</v>
          </cell>
          <cell r="E4653">
            <v>46223</v>
          </cell>
        </row>
        <row r="4654">
          <cell r="A4654" t="str">
            <v>2626U937</v>
          </cell>
          <cell r="D4654" t="str">
            <v>FTP200</v>
          </cell>
          <cell r="E4654">
            <v>46223</v>
          </cell>
        </row>
        <row r="4655">
          <cell r="A4655" t="str">
            <v>2627PT17</v>
          </cell>
          <cell r="D4655" t="str">
            <v>FTW121KE</v>
          </cell>
          <cell r="E4655">
            <v>46223</v>
          </cell>
        </row>
        <row r="4656">
          <cell r="A4656" t="str">
            <v>2627SA67</v>
          </cell>
          <cell r="D4656" t="str">
            <v>TTS80</v>
          </cell>
          <cell r="E4656">
            <v>46223</v>
          </cell>
        </row>
        <row r="4657">
          <cell r="A4657" t="str">
            <v>2627PP37</v>
          </cell>
          <cell r="D4657" t="str">
            <v>FTW121KE</v>
          </cell>
          <cell r="E4657">
            <v>46223</v>
          </cell>
        </row>
        <row r="4658">
          <cell r="A4658" t="str">
            <v>2626HP57</v>
          </cell>
          <cell r="D4658" t="str">
            <v>FTW121KE</v>
          </cell>
          <cell r="E4658">
            <v>46223</v>
          </cell>
        </row>
        <row r="4659">
          <cell r="A4659" t="str">
            <v>2627JC67</v>
          </cell>
          <cell r="D4659" t="str">
            <v>KBP76</v>
          </cell>
          <cell r="E4659">
            <v>46223</v>
          </cell>
        </row>
        <row r="4660">
          <cell r="A4660" t="str">
            <v>2549EN17</v>
          </cell>
          <cell r="D4660" t="str">
            <v>KBP40</v>
          </cell>
          <cell r="E4660">
            <v>46223</v>
          </cell>
        </row>
        <row r="4661">
          <cell r="A4661" t="str">
            <v>2628P817</v>
          </cell>
          <cell r="D4661" t="str">
            <v>FTP150</v>
          </cell>
          <cell r="E4661">
            <v>46223</v>
          </cell>
        </row>
        <row r="4662">
          <cell r="A4662" t="str">
            <v>2625KE57</v>
          </cell>
          <cell r="D4662" t="str">
            <v>S706</v>
          </cell>
          <cell r="E4662">
            <v>46223</v>
          </cell>
        </row>
        <row r="4663">
          <cell r="A4663" t="str">
            <v>2627HX47</v>
          </cell>
          <cell r="D4663" t="str">
            <v>FTW121KE</v>
          </cell>
          <cell r="E4663">
            <v>46223</v>
          </cell>
        </row>
        <row r="4664">
          <cell r="A4664" t="str">
            <v>2623I747</v>
          </cell>
          <cell r="D4664" t="str">
            <v>KBP86</v>
          </cell>
          <cell r="E4664">
            <v>46223</v>
          </cell>
        </row>
        <row r="4665">
          <cell r="A4665" t="str">
            <v>2626IY17</v>
          </cell>
          <cell r="D4665" t="str">
            <v>FTW503</v>
          </cell>
          <cell r="E4665">
            <v>46223</v>
          </cell>
        </row>
        <row r="4666">
          <cell r="A4666" t="str">
            <v>2627I627</v>
          </cell>
          <cell r="D4666" t="str">
            <v>S15MB</v>
          </cell>
          <cell r="E4666">
            <v>46223</v>
          </cell>
        </row>
        <row r="4667">
          <cell r="A4667" t="str">
            <v>2627SR27</v>
          </cell>
          <cell r="D4667" t="str">
            <v>S706</v>
          </cell>
          <cell r="E4667">
            <v>46223</v>
          </cell>
        </row>
        <row r="4668">
          <cell r="A4668" t="str">
            <v>2626S557</v>
          </cell>
          <cell r="D4668" t="str">
            <v>KBP76</v>
          </cell>
          <cell r="E4668">
            <v>46223</v>
          </cell>
        </row>
        <row r="4669">
          <cell r="A4669" t="str">
            <v>2627XU17</v>
          </cell>
          <cell r="D4669" t="str">
            <v>TTS80</v>
          </cell>
          <cell r="E4669">
            <v>46223</v>
          </cell>
        </row>
        <row r="4670">
          <cell r="A4670" t="str">
            <v>2627W827</v>
          </cell>
          <cell r="D4670" t="str">
            <v>TTS80</v>
          </cell>
          <cell r="E4670">
            <v>46223</v>
          </cell>
        </row>
        <row r="4671">
          <cell r="A4671" t="str">
            <v>2627AH27</v>
          </cell>
          <cell r="D4671" t="str">
            <v>S805</v>
          </cell>
          <cell r="E4671">
            <v>46223</v>
          </cell>
        </row>
        <row r="4672">
          <cell r="A4672" t="str">
            <v>2626U157</v>
          </cell>
          <cell r="D4672" t="str">
            <v>FTW503</v>
          </cell>
          <cell r="E4672">
            <v>46223</v>
          </cell>
        </row>
        <row r="4673">
          <cell r="A4673" t="str">
            <v>2626PF57</v>
          </cell>
          <cell r="D4673" t="str">
            <v>KBP126</v>
          </cell>
          <cell r="E4673">
            <v>46223</v>
          </cell>
        </row>
        <row r="4674">
          <cell r="A4674" t="str">
            <v>2627PH37</v>
          </cell>
          <cell r="D4674" t="str">
            <v>FTW121KE</v>
          </cell>
          <cell r="E4674">
            <v>46223</v>
          </cell>
        </row>
        <row r="4675">
          <cell r="A4675" t="str">
            <v>2625SI57</v>
          </cell>
          <cell r="D4675" t="str">
            <v>KBP86</v>
          </cell>
          <cell r="E4675">
            <v>46223</v>
          </cell>
        </row>
        <row r="4676">
          <cell r="A4676" t="str">
            <v>2627U137</v>
          </cell>
          <cell r="D4676" t="str">
            <v>KBP76</v>
          </cell>
          <cell r="E4676">
            <v>46223</v>
          </cell>
        </row>
        <row r="4677">
          <cell r="A4677" t="str">
            <v>2626JU47</v>
          </cell>
          <cell r="D4677" t="str">
            <v>FTW503</v>
          </cell>
          <cell r="E4677">
            <v>46223</v>
          </cell>
        </row>
        <row r="4678">
          <cell r="A4678" t="str">
            <v>2626LO67</v>
          </cell>
          <cell r="D4678" t="str">
            <v>FTP150</v>
          </cell>
          <cell r="E4678">
            <v>46222</v>
          </cell>
        </row>
        <row r="4679">
          <cell r="A4679" t="str">
            <v>2625LZ17</v>
          </cell>
          <cell r="D4679" t="str">
            <v>KBP86</v>
          </cell>
          <cell r="E4679">
            <v>46222</v>
          </cell>
        </row>
        <row r="4680">
          <cell r="A4680" t="str">
            <v>2628P717</v>
          </cell>
          <cell r="D4680" t="str">
            <v>FTP150</v>
          </cell>
          <cell r="E4680">
            <v>46222</v>
          </cell>
        </row>
        <row r="4681">
          <cell r="A4681" t="str">
            <v>2627VE27</v>
          </cell>
          <cell r="D4681" t="str">
            <v>KBP76</v>
          </cell>
          <cell r="E4681">
            <v>46222</v>
          </cell>
        </row>
        <row r="4682">
          <cell r="A4682" t="str">
            <v>2627ZM17</v>
          </cell>
          <cell r="D4682" t="str">
            <v>KBP44</v>
          </cell>
          <cell r="E4682">
            <v>46222</v>
          </cell>
        </row>
        <row r="4683">
          <cell r="A4683" t="str">
            <v>2627UV27</v>
          </cell>
          <cell r="D4683" t="str">
            <v>S706</v>
          </cell>
          <cell r="E4683">
            <v>46222</v>
          </cell>
        </row>
        <row r="4684">
          <cell r="A4684" t="str">
            <v>2627G847</v>
          </cell>
          <cell r="D4684" t="str">
            <v>KBP76</v>
          </cell>
          <cell r="E4684">
            <v>46222</v>
          </cell>
        </row>
        <row r="4685">
          <cell r="A4685" t="str">
            <v>2609DW47</v>
          </cell>
          <cell r="D4685" t="str">
            <v>TTS80</v>
          </cell>
          <cell r="E4685">
            <v>46222</v>
          </cell>
        </row>
        <row r="4686">
          <cell r="A4686" t="str">
            <v>2620AZ47</v>
          </cell>
          <cell r="D4686" t="str">
            <v>FTW102K</v>
          </cell>
          <cell r="E4686">
            <v>46222</v>
          </cell>
        </row>
        <row r="4687">
          <cell r="A4687" t="str">
            <v>2626VF57</v>
          </cell>
          <cell r="D4687" t="str">
            <v>FTW121KE</v>
          </cell>
          <cell r="E4687">
            <v>46222</v>
          </cell>
        </row>
        <row r="4688">
          <cell r="A4688" t="str">
            <v>2628P517</v>
          </cell>
          <cell r="D4688" t="str">
            <v>FTP150</v>
          </cell>
          <cell r="E4688">
            <v>46222</v>
          </cell>
        </row>
        <row r="4689">
          <cell r="A4689" t="str">
            <v>2627SB27</v>
          </cell>
          <cell r="D4689" t="str">
            <v>FTW121KE</v>
          </cell>
          <cell r="E4689">
            <v>46222</v>
          </cell>
        </row>
        <row r="4690">
          <cell r="A4690" t="str">
            <v>2627EJ57</v>
          </cell>
          <cell r="D4690" t="str">
            <v>FTP200</v>
          </cell>
          <cell r="E4690">
            <v>46222</v>
          </cell>
        </row>
        <row r="4691">
          <cell r="A4691" t="str">
            <v>2628UC17</v>
          </cell>
          <cell r="D4691" t="str">
            <v>FTP200</v>
          </cell>
          <cell r="E4691">
            <v>46222</v>
          </cell>
        </row>
        <row r="4692">
          <cell r="A4692" t="str">
            <v>2627D657</v>
          </cell>
          <cell r="D4692" t="str">
            <v>KBP76</v>
          </cell>
          <cell r="E4692">
            <v>46222</v>
          </cell>
        </row>
        <row r="4693">
          <cell r="A4693" t="str">
            <v>2609DY47</v>
          </cell>
          <cell r="D4693" t="str">
            <v>TTS80</v>
          </cell>
          <cell r="E4693">
            <v>46222</v>
          </cell>
        </row>
        <row r="4694">
          <cell r="A4694" t="str">
            <v>2627SU67</v>
          </cell>
          <cell r="D4694" t="str">
            <v>TTS80</v>
          </cell>
          <cell r="E4694">
            <v>46222</v>
          </cell>
        </row>
        <row r="4695">
          <cell r="A4695" t="str">
            <v>2624CF37</v>
          </cell>
          <cell r="D4695" t="str">
            <v>STA156KA</v>
          </cell>
          <cell r="E4695">
            <v>46222</v>
          </cell>
        </row>
        <row r="4696">
          <cell r="A4696" t="str">
            <v>2628PD17</v>
          </cell>
          <cell r="D4696" t="str">
            <v>KBP76</v>
          </cell>
          <cell r="E4696">
            <v>46222</v>
          </cell>
        </row>
        <row r="4697">
          <cell r="A4697" t="str">
            <v>2609DZ47</v>
          </cell>
          <cell r="D4697" t="str">
            <v>TTS80</v>
          </cell>
          <cell r="E4697">
            <v>46222</v>
          </cell>
        </row>
        <row r="4698">
          <cell r="A4698" t="str">
            <v>2627QF37</v>
          </cell>
          <cell r="D4698" t="str">
            <v>KBP52</v>
          </cell>
          <cell r="E4698">
            <v>46222</v>
          </cell>
        </row>
        <row r="4699">
          <cell r="A4699" t="str">
            <v>2627XL17</v>
          </cell>
          <cell r="D4699" t="str">
            <v>KBP55</v>
          </cell>
          <cell r="E4699">
            <v>46222</v>
          </cell>
        </row>
        <row r="4700">
          <cell r="A4700" t="str">
            <v>2627DS67</v>
          </cell>
          <cell r="D4700" t="str">
            <v>KBP76</v>
          </cell>
          <cell r="E4700">
            <v>46222</v>
          </cell>
        </row>
        <row r="4701">
          <cell r="A4701" t="str">
            <v>2609E347</v>
          </cell>
          <cell r="D4701" t="str">
            <v>TTS80</v>
          </cell>
          <cell r="E4701">
            <v>46222</v>
          </cell>
        </row>
        <row r="4702">
          <cell r="A4702" t="str">
            <v>2622BS67</v>
          </cell>
          <cell r="D4702" t="str">
            <v>KBP86</v>
          </cell>
          <cell r="E4702">
            <v>46222</v>
          </cell>
        </row>
        <row r="4703">
          <cell r="A4703" t="str">
            <v>2627XL57</v>
          </cell>
          <cell r="D4703" t="str">
            <v>KBP76</v>
          </cell>
          <cell r="E4703">
            <v>46222</v>
          </cell>
        </row>
        <row r="4704">
          <cell r="A4704" t="str">
            <v>2627LS17</v>
          </cell>
          <cell r="D4704" t="str">
            <v>FTW503</v>
          </cell>
          <cell r="E4704">
            <v>46222</v>
          </cell>
        </row>
        <row r="4705">
          <cell r="A4705" t="str">
            <v>2626SY47</v>
          </cell>
          <cell r="D4705" t="str">
            <v>KBP55</v>
          </cell>
          <cell r="E4705">
            <v>46222</v>
          </cell>
        </row>
        <row r="4706">
          <cell r="A4706" t="str">
            <v>2627ST67</v>
          </cell>
          <cell r="D4706" t="str">
            <v>TTS80</v>
          </cell>
          <cell r="E4706">
            <v>46222</v>
          </cell>
        </row>
        <row r="4707">
          <cell r="A4707" t="str">
            <v>2627PH17</v>
          </cell>
          <cell r="D4707" t="str">
            <v>FTW121KE</v>
          </cell>
          <cell r="E4707">
            <v>46222</v>
          </cell>
        </row>
        <row r="4708">
          <cell r="A4708" t="str">
            <v>2613GS67</v>
          </cell>
          <cell r="D4708" t="str">
            <v>STA156KA</v>
          </cell>
          <cell r="E4708">
            <v>46222</v>
          </cell>
        </row>
        <row r="4709">
          <cell r="A4709" t="str">
            <v>2627KY67</v>
          </cell>
          <cell r="D4709" t="str">
            <v>TTS50</v>
          </cell>
          <cell r="E4709">
            <v>46222</v>
          </cell>
        </row>
        <row r="4710">
          <cell r="A4710" t="str">
            <v>2627L857</v>
          </cell>
          <cell r="D4710" t="str">
            <v>STA156KA</v>
          </cell>
          <cell r="E4710">
            <v>46222</v>
          </cell>
        </row>
        <row r="4711">
          <cell r="A4711" t="str">
            <v>2627PS67</v>
          </cell>
          <cell r="D4711" t="str">
            <v>STA156KA</v>
          </cell>
          <cell r="E4711">
            <v>46222</v>
          </cell>
        </row>
        <row r="4712">
          <cell r="A4712" t="str">
            <v>2627QX67</v>
          </cell>
          <cell r="D4712" t="str">
            <v>TTS80</v>
          </cell>
          <cell r="E4712">
            <v>46222</v>
          </cell>
        </row>
        <row r="4713">
          <cell r="A4713" t="str">
            <v>2627Q237</v>
          </cell>
          <cell r="D4713" t="str">
            <v>FTW121KE</v>
          </cell>
          <cell r="E4713">
            <v>46222</v>
          </cell>
        </row>
        <row r="4714">
          <cell r="A4714" t="str">
            <v>2627AT67</v>
          </cell>
          <cell r="D4714" t="str">
            <v>TTS50</v>
          </cell>
          <cell r="E4714">
            <v>46222</v>
          </cell>
        </row>
        <row r="4715">
          <cell r="A4715" t="str">
            <v>2626LP47</v>
          </cell>
          <cell r="D4715" t="str">
            <v>FTW121KE</v>
          </cell>
          <cell r="E4715">
            <v>46222</v>
          </cell>
        </row>
        <row r="4716">
          <cell r="A4716" t="str">
            <v>2627XW17</v>
          </cell>
          <cell r="D4716" t="str">
            <v>TTS80</v>
          </cell>
          <cell r="E4716">
            <v>46222</v>
          </cell>
        </row>
        <row r="4717">
          <cell r="A4717" t="str">
            <v>2626IW17</v>
          </cell>
          <cell r="D4717" t="str">
            <v>FTW503</v>
          </cell>
          <cell r="E4717">
            <v>46222</v>
          </cell>
        </row>
        <row r="4718">
          <cell r="A4718" t="str">
            <v>2627KH17</v>
          </cell>
          <cell r="D4718" t="str">
            <v>KBP86</v>
          </cell>
          <cell r="E4718">
            <v>46222</v>
          </cell>
        </row>
        <row r="4719">
          <cell r="A4719" t="str">
            <v>2627V137</v>
          </cell>
          <cell r="D4719" t="str">
            <v>TTS80</v>
          </cell>
          <cell r="E4719">
            <v>46222</v>
          </cell>
        </row>
        <row r="4720">
          <cell r="A4720" t="str">
            <v>2627KE17</v>
          </cell>
          <cell r="D4720" t="str">
            <v>STA156KA</v>
          </cell>
          <cell r="E4720">
            <v>46222</v>
          </cell>
        </row>
        <row r="4721">
          <cell r="A4721" t="str">
            <v>2627LU47</v>
          </cell>
          <cell r="D4721" t="str">
            <v>KBP86</v>
          </cell>
          <cell r="E4721">
            <v>46222</v>
          </cell>
        </row>
        <row r="4722">
          <cell r="A4722" t="str">
            <v>2627L757</v>
          </cell>
          <cell r="D4722" t="str">
            <v>STA156KA</v>
          </cell>
          <cell r="E4722">
            <v>46222</v>
          </cell>
        </row>
        <row r="4723">
          <cell r="A4723" t="str">
            <v>2627J247</v>
          </cell>
          <cell r="D4723" t="str">
            <v>FTP200</v>
          </cell>
          <cell r="E4723">
            <v>46222</v>
          </cell>
        </row>
        <row r="4724">
          <cell r="A4724" t="str">
            <v>2627WY17</v>
          </cell>
          <cell r="D4724" t="str">
            <v>KBP76</v>
          </cell>
          <cell r="E4724">
            <v>46222</v>
          </cell>
        </row>
        <row r="4725">
          <cell r="A4725" t="str">
            <v>2625PQ27</v>
          </cell>
          <cell r="D4725" t="str">
            <v>S706</v>
          </cell>
          <cell r="E4725">
            <v>46222</v>
          </cell>
        </row>
        <row r="4726">
          <cell r="A4726" t="str">
            <v>2627VR27</v>
          </cell>
          <cell r="D4726" t="str">
            <v>TTS80</v>
          </cell>
          <cell r="E4726">
            <v>46222</v>
          </cell>
        </row>
        <row r="4727">
          <cell r="A4727" t="str">
            <v>2625VK57</v>
          </cell>
          <cell r="D4727" t="str">
            <v>STA156KA</v>
          </cell>
          <cell r="E4727">
            <v>46222</v>
          </cell>
        </row>
        <row r="4728">
          <cell r="A4728" t="str">
            <v>2626P367</v>
          </cell>
          <cell r="D4728" t="str">
            <v>TTS80</v>
          </cell>
          <cell r="E4728">
            <v>46222</v>
          </cell>
        </row>
        <row r="4729">
          <cell r="A4729" t="str">
            <v>2627HG47</v>
          </cell>
          <cell r="D4729" t="str">
            <v>FTW121KE</v>
          </cell>
          <cell r="E4729">
            <v>46222</v>
          </cell>
        </row>
        <row r="4730">
          <cell r="A4730" t="str">
            <v>2627VK17</v>
          </cell>
          <cell r="D4730" t="str">
            <v>S706</v>
          </cell>
          <cell r="E4730">
            <v>46222</v>
          </cell>
        </row>
        <row r="4731">
          <cell r="A4731" t="str">
            <v>2626JL27</v>
          </cell>
          <cell r="D4731" t="str">
            <v>FTW503</v>
          </cell>
          <cell r="E4731">
            <v>46222</v>
          </cell>
        </row>
        <row r="4732">
          <cell r="A4732" t="str">
            <v>2610Y237</v>
          </cell>
          <cell r="D4732" t="str">
            <v>S706</v>
          </cell>
          <cell r="E4732">
            <v>46222</v>
          </cell>
        </row>
        <row r="4733">
          <cell r="A4733" t="str">
            <v>2627L567</v>
          </cell>
          <cell r="D4733" t="str">
            <v>KBP86</v>
          </cell>
          <cell r="E4733">
            <v>46222</v>
          </cell>
        </row>
        <row r="4734">
          <cell r="A4734" t="str">
            <v>2627L957</v>
          </cell>
          <cell r="D4734" t="str">
            <v>STA156KA</v>
          </cell>
          <cell r="E4734">
            <v>46222</v>
          </cell>
        </row>
        <row r="4735">
          <cell r="A4735" t="str">
            <v>2627KI17</v>
          </cell>
          <cell r="D4735" t="str">
            <v>KBP76</v>
          </cell>
          <cell r="E4735">
            <v>46222</v>
          </cell>
        </row>
        <row r="4736">
          <cell r="A4736" t="str">
            <v>2626QR47</v>
          </cell>
          <cell r="D4736" t="str">
            <v>KBP76</v>
          </cell>
          <cell r="E4736">
            <v>46222</v>
          </cell>
        </row>
        <row r="4737">
          <cell r="A4737" t="str">
            <v>2628UG17</v>
          </cell>
          <cell r="D4737" t="str">
            <v>FTW102K</v>
          </cell>
          <cell r="E4737">
            <v>46222</v>
          </cell>
        </row>
        <row r="4738">
          <cell r="A4738" t="str">
            <v>2627PZ27</v>
          </cell>
          <cell r="D4738" t="str">
            <v>KBP44</v>
          </cell>
          <cell r="E4738">
            <v>46222</v>
          </cell>
        </row>
        <row r="4739">
          <cell r="A4739" t="str">
            <v>2627A927</v>
          </cell>
          <cell r="D4739" t="str">
            <v>TTS80</v>
          </cell>
          <cell r="E4739">
            <v>46222</v>
          </cell>
        </row>
        <row r="4740">
          <cell r="A4740" t="str">
            <v>2627L937</v>
          </cell>
          <cell r="D4740" t="str">
            <v>KBP76</v>
          </cell>
          <cell r="E4740">
            <v>46222</v>
          </cell>
        </row>
        <row r="4741">
          <cell r="A4741" t="str">
            <v>2625AI67</v>
          </cell>
          <cell r="D4741" t="str">
            <v>FTW503</v>
          </cell>
          <cell r="E4741">
            <v>46222</v>
          </cell>
        </row>
        <row r="4742">
          <cell r="A4742" t="str">
            <v>2627UR27</v>
          </cell>
          <cell r="D4742" t="str">
            <v>S706</v>
          </cell>
          <cell r="E4742">
            <v>46222</v>
          </cell>
        </row>
        <row r="4743">
          <cell r="A4743" t="str">
            <v>2626FY57</v>
          </cell>
          <cell r="D4743" t="str">
            <v>FTW503</v>
          </cell>
          <cell r="E4743">
            <v>46222</v>
          </cell>
        </row>
        <row r="4744">
          <cell r="A4744" t="str">
            <v>2627SZ37</v>
          </cell>
          <cell r="D4744" t="str">
            <v>KBP76</v>
          </cell>
          <cell r="E4744">
            <v>46222</v>
          </cell>
        </row>
        <row r="4745">
          <cell r="A4745" t="str">
            <v>2627LR47</v>
          </cell>
          <cell r="D4745" t="str">
            <v>KBP86</v>
          </cell>
          <cell r="E4745">
            <v>46222</v>
          </cell>
        </row>
        <row r="4746">
          <cell r="A4746" t="str">
            <v>2624WY57</v>
          </cell>
          <cell r="D4746" t="str">
            <v>KBP86</v>
          </cell>
          <cell r="E4746">
            <v>46222</v>
          </cell>
        </row>
        <row r="4747">
          <cell r="A4747" t="str">
            <v>2627QB47</v>
          </cell>
          <cell r="D4747" t="str">
            <v>KBP86</v>
          </cell>
          <cell r="E4747">
            <v>46222</v>
          </cell>
        </row>
        <row r="4748">
          <cell r="A4748" t="str">
            <v>2626SP57</v>
          </cell>
          <cell r="D4748" t="str">
            <v>FTW503</v>
          </cell>
          <cell r="E4748">
            <v>46222</v>
          </cell>
        </row>
        <row r="4749">
          <cell r="A4749" t="str">
            <v>2627J567</v>
          </cell>
          <cell r="D4749" t="str">
            <v>S706</v>
          </cell>
          <cell r="E4749">
            <v>46222</v>
          </cell>
        </row>
        <row r="4750">
          <cell r="A4750" t="str">
            <v>2628SM17</v>
          </cell>
          <cell r="D4750" t="str">
            <v>FTW121KE</v>
          </cell>
          <cell r="E4750">
            <v>46222</v>
          </cell>
        </row>
        <row r="4751">
          <cell r="A4751" t="str">
            <v>2627UL27</v>
          </cell>
          <cell r="D4751" t="str">
            <v>S706</v>
          </cell>
          <cell r="E4751">
            <v>46222</v>
          </cell>
        </row>
        <row r="4752">
          <cell r="A4752" t="str">
            <v>2624WQ57</v>
          </cell>
          <cell r="D4752" t="str">
            <v>KBP86</v>
          </cell>
          <cell r="E4752">
            <v>46222</v>
          </cell>
        </row>
        <row r="4753">
          <cell r="A4753" t="str">
            <v>2626U737</v>
          </cell>
          <cell r="D4753" t="str">
            <v>FTP200</v>
          </cell>
          <cell r="E4753">
            <v>46222</v>
          </cell>
        </row>
        <row r="4754">
          <cell r="A4754" t="str">
            <v>2627KO17</v>
          </cell>
          <cell r="D4754" t="str">
            <v>FTP150</v>
          </cell>
          <cell r="E4754">
            <v>46222</v>
          </cell>
        </row>
        <row r="4755">
          <cell r="A4755" t="str">
            <v>2627O737</v>
          </cell>
          <cell r="D4755" t="str">
            <v>FTW700</v>
          </cell>
          <cell r="E4755">
            <v>46222</v>
          </cell>
        </row>
        <row r="4756">
          <cell r="A4756" t="str">
            <v>2626KZ67</v>
          </cell>
          <cell r="D4756" t="str">
            <v>KBP76</v>
          </cell>
          <cell r="E4756">
            <v>46222</v>
          </cell>
        </row>
        <row r="4757">
          <cell r="A4757" t="str">
            <v>2626SN57</v>
          </cell>
          <cell r="D4757" t="str">
            <v>FTW503</v>
          </cell>
          <cell r="E4757">
            <v>46222</v>
          </cell>
        </row>
        <row r="4758">
          <cell r="A4758" t="str">
            <v>2625QM57</v>
          </cell>
          <cell r="D4758" t="str">
            <v>FTW503</v>
          </cell>
          <cell r="E4758">
            <v>46222</v>
          </cell>
        </row>
        <row r="4759">
          <cell r="A4759" t="str">
            <v>2626KO67</v>
          </cell>
          <cell r="D4759" t="str">
            <v>KBP76</v>
          </cell>
          <cell r="E4759">
            <v>46222</v>
          </cell>
        </row>
        <row r="4760">
          <cell r="A4760" t="str">
            <v>2627L257</v>
          </cell>
          <cell r="D4760" t="str">
            <v>STA156KA</v>
          </cell>
          <cell r="E4760">
            <v>46222</v>
          </cell>
        </row>
        <row r="4761">
          <cell r="A4761" t="str">
            <v>2627KX67</v>
          </cell>
          <cell r="D4761" t="str">
            <v>TTS50</v>
          </cell>
          <cell r="E4761">
            <v>46222</v>
          </cell>
        </row>
        <row r="4762">
          <cell r="A4762" t="str">
            <v>2625FR67</v>
          </cell>
          <cell r="D4762" t="str">
            <v>TTS80</v>
          </cell>
          <cell r="E4762">
            <v>46222</v>
          </cell>
        </row>
        <row r="4763">
          <cell r="A4763" t="str">
            <v>2627IC47</v>
          </cell>
          <cell r="D4763" t="str">
            <v>FTW121KE</v>
          </cell>
          <cell r="E4763">
            <v>46222</v>
          </cell>
        </row>
        <row r="4764">
          <cell r="A4764" t="str">
            <v>2628WV17</v>
          </cell>
          <cell r="D4764" t="str">
            <v>KBP55</v>
          </cell>
          <cell r="E4764">
            <v>46222</v>
          </cell>
        </row>
        <row r="4765">
          <cell r="A4765" t="str">
            <v>2627LQ67</v>
          </cell>
          <cell r="D4765" t="str">
            <v>FTW102K</v>
          </cell>
          <cell r="E4765">
            <v>46222</v>
          </cell>
        </row>
        <row r="4766">
          <cell r="A4766" t="str">
            <v>2626BX67</v>
          </cell>
          <cell r="D4766" t="str">
            <v>STA156KA</v>
          </cell>
          <cell r="E4766">
            <v>46222</v>
          </cell>
        </row>
        <row r="4767">
          <cell r="A4767" t="str">
            <v>2627H647</v>
          </cell>
          <cell r="D4767" t="str">
            <v>FTW102K</v>
          </cell>
          <cell r="E4767">
            <v>46222</v>
          </cell>
        </row>
        <row r="4768">
          <cell r="A4768" t="str">
            <v>2626P837</v>
          </cell>
          <cell r="D4768" t="str">
            <v>S706</v>
          </cell>
          <cell r="E4768">
            <v>46222</v>
          </cell>
        </row>
        <row r="4769">
          <cell r="A4769" t="str">
            <v>2627I147</v>
          </cell>
          <cell r="D4769" t="str">
            <v>FTW121KE</v>
          </cell>
          <cell r="E4769">
            <v>46222</v>
          </cell>
        </row>
        <row r="4770">
          <cell r="A4770" t="str">
            <v>2627L267</v>
          </cell>
          <cell r="D4770" t="str">
            <v>TTS50</v>
          </cell>
          <cell r="E4770">
            <v>46222</v>
          </cell>
        </row>
        <row r="4771">
          <cell r="A4771" t="str">
            <v>2627UT17</v>
          </cell>
          <cell r="D4771" t="str">
            <v>S706</v>
          </cell>
          <cell r="E4771">
            <v>46222</v>
          </cell>
        </row>
        <row r="4772">
          <cell r="A4772" t="str">
            <v>2627IF47</v>
          </cell>
          <cell r="D4772" t="str">
            <v>FTW121KE</v>
          </cell>
          <cell r="E4772">
            <v>46222</v>
          </cell>
        </row>
        <row r="4773">
          <cell r="A4773" t="str">
            <v>2627JF47</v>
          </cell>
          <cell r="D4773" t="str">
            <v>S706</v>
          </cell>
          <cell r="E4773">
            <v>46222</v>
          </cell>
        </row>
        <row r="4774">
          <cell r="A4774" t="str">
            <v>2627IO67</v>
          </cell>
          <cell r="D4774" t="str">
            <v>S706</v>
          </cell>
          <cell r="E4774">
            <v>46222</v>
          </cell>
        </row>
        <row r="4775">
          <cell r="A4775" t="str">
            <v>2627VT17</v>
          </cell>
          <cell r="D4775" t="str">
            <v>KBP76</v>
          </cell>
          <cell r="E4775">
            <v>46222</v>
          </cell>
        </row>
        <row r="4776">
          <cell r="A4776" t="str">
            <v>2628PL47</v>
          </cell>
          <cell r="D4776" t="str">
            <v>KBP76</v>
          </cell>
          <cell r="E4776">
            <v>46222</v>
          </cell>
        </row>
        <row r="4777">
          <cell r="A4777" t="str">
            <v>2628UI17</v>
          </cell>
          <cell r="D4777" t="str">
            <v>FTW102K</v>
          </cell>
          <cell r="E4777">
            <v>46222</v>
          </cell>
        </row>
        <row r="4778">
          <cell r="A4778" t="str">
            <v>2627F367</v>
          </cell>
          <cell r="D4778" t="str">
            <v>FTW102K</v>
          </cell>
          <cell r="E4778">
            <v>46222</v>
          </cell>
        </row>
        <row r="4779">
          <cell r="A4779" t="str">
            <v>2626PG67</v>
          </cell>
          <cell r="D4779" t="str">
            <v>TTS80</v>
          </cell>
          <cell r="E4779">
            <v>46222</v>
          </cell>
        </row>
        <row r="4780">
          <cell r="A4780" t="str">
            <v>2627SE37</v>
          </cell>
          <cell r="D4780" t="str">
            <v>S706</v>
          </cell>
          <cell r="E4780">
            <v>46222</v>
          </cell>
        </row>
        <row r="4781">
          <cell r="A4781" t="str">
            <v>2628XN17</v>
          </cell>
          <cell r="D4781" t="str">
            <v>TTS80</v>
          </cell>
          <cell r="E4781">
            <v>46222</v>
          </cell>
        </row>
        <row r="4782">
          <cell r="A4782" t="str">
            <v>2627LI47</v>
          </cell>
          <cell r="D4782" t="str">
            <v>FTP200</v>
          </cell>
          <cell r="E4782">
            <v>46222</v>
          </cell>
        </row>
        <row r="4783">
          <cell r="A4783" t="str">
            <v>2627AM67</v>
          </cell>
          <cell r="D4783" t="str">
            <v>TTS50</v>
          </cell>
          <cell r="E4783">
            <v>46222</v>
          </cell>
        </row>
        <row r="4784">
          <cell r="A4784" t="str">
            <v>2627DZ57</v>
          </cell>
          <cell r="D4784" t="str">
            <v>FTW121KE</v>
          </cell>
          <cell r="E4784">
            <v>46222</v>
          </cell>
        </row>
        <row r="4785">
          <cell r="A4785" t="str">
            <v>2627GB67</v>
          </cell>
          <cell r="D4785" t="str">
            <v>FTW121KE</v>
          </cell>
          <cell r="E4785">
            <v>46222</v>
          </cell>
        </row>
        <row r="4786">
          <cell r="A4786" t="str">
            <v>2627UQ27</v>
          </cell>
          <cell r="D4786" t="str">
            <v>S706</v>
          </cell>
          <cell r="E4786">
            <v>46222</v>
          </cell>
        </row>
        <row r="4787">
          <cell r="A4787" t="str">
            <v>2626K567</v>
          </cell>
          <cell r="D4787" t="str">
            <v>S706</v>
          </cell>
          <cell r="E4787">
            <v>46222</v>
          </cell>
        </row>
        <row r="4788">
          <cell r="A4788" t="str">
            <v>2627S627</v>
          </cell>
          <cell r="D4788" t="str">
            <v>FTW121KE</v>
          </cell>
          <cell r="E4788">
            <v>46222</v>
          </cell>
        </row>
        <row r="4789">
          <cell r="A4789" t="str">
            <v>2625KP57</v>
          </cell>
          <cell r="D4789" t="str">
            <v>S706</v>
          </cell>
          <cell r="E4789">
            <v>46222</v>
          </cell>
        </row>
        <row r="4790">
          <cell r="A4790" t="str">
            <v>2626QX27</v>
          </cell>
          <cell r="D4790" t="str">
            <v>KBP74</v>
          </cell>
          <cell r="E4790">
            <v>46222</v>
          </cell>
        </row>
        <row r="4791">
          <cell r="A4791" t="str">
            <v>2626KQ67</v>
          </cell>
          <cell r="D4791" t="str">
            <v>KBP76</v>
          </cell>
          <cell r="E4791">
            <v>46222</v>
          </cell>
        </row>
        <row r="4792">
          <cell r="A4792" t="str">
            <v>2627VP27</v>
          </cell>
          <cell r="D4792" t="str">
            <v>TTS80</v>
          </cell>
          <cell r="E4792">
            <v>46222</v>
          </cell>
        </row>
        <row r="4793">
          <cell r="A4793" t="str">
            <v>2627UI37</v>
          </cell>
          <cell r="D4793" t="str">
            <v>TTS80</v>
          </cell>
          <cell r="E4793">
            <v>46222</v>
          </cell>
        </row>
        <row r="4794">
          <cell r="A4794" t="str">
            <v>2626FZ57</v>
          </cell>
          <cell r="D4794" t="str">
            <v>FTW503</v>
          </cell>
          <cell r="E4794">
            <v>46222</v>
          </cell>
        </row>
        <row r="4795">
          <cell r="A4795" t="str">
            <v>2624DH67</v>
          </cell>
          <cell r="D4795" t="str">
            <v>KBP86</v>
          </cell>
          <cell r="E4795">
            <v>46222</v>
          </cell>
        </row>
        <row r="4796">
          <cell r="A4796" t="str">
            <v>2626J367</v>
          </cell>
          <cell r="D4796" t="str">
            <v>FTW700</v>
          </cell>
          <cell r="E4796">
            <v>46222</v>
          </cell>
        </row>
        <row r="4797">
          <cell r="A4797" t="str">
            <v>2626IR17</v>
          </cell>
          <cell r="D4797" t="str">
            <v>FTW503</v>
          </cell>
          <cell r="E4797">
            <v>46222</v>
          </cell>
        </row>
        <row r="4798">
          <cell r="A4798" t="str">
            <v>2627PE37</v>
          </cell>
          <cell r="D4798" t="str">
            <v>FTW121KE</v>
          </cell>
          <cell r="E4798">
            <v>46222</v>
          </cell>
        </row>
        <row r="4799">
          <cell r="A4799" t="str">
            <v>2627PF37</v>
          </cell>
          <cell r="D4799" t="str">
            <v>FTW121KE</v>
          </cell>
          <cell r="E4799">
            <v>46222</v>
          </cell>
        </row>
        <row r="4800">
          <cell r="A4800" t="str">
            <v>2627LQ37</v>
          </cell>
          <cell r="D4800" t="str">
            <v>FTW503</v>
          </cell>
          <cell r="E4800">
            <v>46222</v>
          </cell>
        </row>
        <row r="4801">
          <cell r="A4801" t="str">
            <v>2626IY67</v>
          </cell>
          <cell r="D4801" t="str">
            <v>FTP150</v>
          </cell>
          <cell r="E4801">
            <v>46222</v>
          </cell>
        </row>
        <row r="4802">
          <cell r="A4802" t="str">
            <v>2627OS27</v>
          </cell>
          <cell r="D4802" t="str">
            <v>KBP76</v>
          </cell>
          <cell r="E4802">
            <v>46222</v>
          </cell>
        </row>
        <row r="4803">
          <cell r="A4803" t="str">
            <v>2626IS17</v>
          </cell>
          <cell r="D4803" t="str">
            <v>FTW503</v>
          </cell>
          <cell r="E4803">
            <v>46222</v>
          </cell>
        </row>
        <row r="4804">
          <cell r="A4804" t="str">
            <v>2627QA27</v>
          </cell>
          <cell r="D4804" t="str">
            <v>FTW121KE</v>
          </cell>
          <cell r="E4804">
            <v>46222</v>
          </cell>
        </row>
        <row r="4805">
          <cell r="A4805" t="str">
            <v>2627UR17</v>
          </cell>
          <cell r="D4805" t="str">
            <v>S706</v>
          </cell>
          <cell r="E4805">
            <v>46222</v>
          </cell>
        </row>
        <row r="4806">
          <cell r="A4806" t="str">
            <v>2627L367</v>
          </cell>
          <cell r="D4806" t="str">
            <v>TTS50</v>
          </cell>
          <cell r="E4806">
            <v>46222</v>
          </cell>
        </row>
        <row r="4807">
          <cell r="A4807" t="str">
            <v>2627XX17</v>
          </cell>
          <cell r="D4807" t="str">
            <v>TTS80</v>
          </cell>
          <cell r="E4807">
            <v>46222</v>
          </cell>
        </row>
        <row r="4808">
          <cell r="A4808" t="str">
            <v>2627HQ47</v>
          </cell>
          <cell r="D4808" t="str">
            <v>FTW121KE</v>
          </cell>
          <cell r="E4808">
            <v>46222</v>
          </cell>
        </row>
        <row r="4809">
          <cell r="A4809" t="str">
            <v>2627Q617</v>
          </cell>
          <cell r="D4809" t="str">
            <v>FTW121KE</v>
          </cell>
          <cell r="E4809">
            <v>46222</v>
          </cell>
        </row>
        <row r="4810">
          <cell r="A4810" t="str">
            <v>2627LS67</v>
          </cell>
          <cell r="D4810" t="str">
            <v>FTW102K</v>
          </cell>
          <cell r="E4810">
            <v>46222</v>
          </cell>
        </row>
        <row r="4811">
          <cell r="A4811" t="str">
            <v>2626QY27</v>
          </cell>
          <cell r="D4811" t="str">
            <v>KBP74</v>
          </cell>
          <cell r="E4811">
            <v>46222</v>
          </cell>
        </row>
        <row r="4812">
          <cell r="A4812" t="str">
            <v>2626IY47</v>
          </cell>
          <cell r="D4812" t="str">
            <v>FTW102K</v>
          </cell>
          <cell r="E4812">
            <v>46222</v>
          </cell>
        </row>
        <row r="4813">
          <cell r="A4813" t="str">
            <v>2628UF17</v>
          </cell>
          <cell r="D4813" t="str">
            <v>FTW102K</v>
          </cell>
          <cell r="E4813">
            <v>46222</v>
          </cell>
        </row>
        <row r="4814">
          <cell r="A4814" t="str">
            <v>2628PZ27</v>
          </cell>
          <cell r="D4814" t="str">
            <v>KBP34</v>
          </cell>
          <cell r="E4814">
            <v>46222</v>
          </cell>
        </row>
        <row r="4815">
          <cell r="A4815" t="str">
            <v>2627AW67</v>
          </cell>
          <cell r="D4815" t="str">
            <v>TTS50</v>
          </cell>
          <cell r="E4815">
            <v>46222</v>
          </cell>
        </row>
        <row r="4816">
          <cell r="A4816" t="str">
            <v>2627VJ27</v>
          </cell>
          <cell r="D4816" t="str">
            <v>KBP74</v>
          </cell>
          <cell r="E4816">
            <v>46222</v>
          </cell>
        </row>
        <row r="4817">
          <cell r="A4817" t="str">
            <v>2627BD47</v>
          </cell>
          <cell r="D4817" t="str">
            <v>STA156KA</v>
          </cell>
          <cell r="E4817">
            <v>46222</v>
          </cell>
        </row>
        <row r="4818">
          <cell r="A4818" t="str">
            <v>2626J267</v>
          </cell>
          <cell r="D4818" t="str">
            <v>FTW700</v>
          </cell>
          <cell r="E4818">
            <v>46222</v>
          </cell>
        </row>
        <row r="4819">
          <cell r="A4819" t="str">
            <v>2625KA57</v>
          </cell>
          <cell r="D4819" t="str">
            <v>S706</v>
          </cell>
          <cell r="E4819">
            <v>46222</v>
          </cell>
        </row>
        <row r="4820">
          <cell r="A4820" t="str">
            <v>2627UC27</v>
          </cell>
          <cell r="D4820" t="str">
            <v>S706</v>
          </cell>
          <cell r="E4820">
            <v>46222</v>
          </cell>
        </row>
        <row r="4821">
          <cell r="A4821" t="str">
            <v>2627PD67</v>
          </cell>
          <cell r="D4821" t="str">
            <v>KBP52</v>
          </cell>
          <cell r="E4821">
            <v>46222</v>
          </cell>
        </row>
        <row r="4822">
          <cell r="A4822" t="str">
            <v>2627KZ57</v>
          </cell>
          <cell r="D4822" t="str">
            <v>STA156KA</v>
          </cell>
          <cell r="E4822">
            <v>46222</v>
          </cell>
        </row>
        <row r="4823">
          <cell r="A4823" t="str">
            <v>2625HX57</v>
          </cell>
          <cell r="D4823" t="str">
            <v>KBP76</v>
          </cell>
          <cell r="E4823">
            <v>46222</v>
          </cell>
        </row>
        <row r="4824">
          <cell r="A4824" t="str">
            <v>2627J547</v>
          </cell>
          <cell r="D4824" t="str">
            <v>KBP52</v>
          </cell>
          <cell r="E4824">
            <v>46222</v>
          </cell>
        </row>
        <row r="4825">
          <cell r="A4825" t="str">
            <v>2627JB47</v>
          </cell>
          <cell r="D4825" t="str">
            <v>S706</v>
          </cell>
          <cell r="E4825">
            <v>46222</v>
          </cell>
        </row>
        <row r="4826">
          <cell r="A4826" t="str">
            <v>2626P227</v>
          </cell>
          <cell r="D4826" t="str">
            <v>S706</v>
          </cell>
          <cell r="E4826">
            <v>46222</v>
          </cell>
        </row>
        <row r="4827">
          <cell r="A4827" t="str">
            <v>2626PD67</v>
          </cell>
          <cell r="D4827" t="str">
            <v>TTS80</v>
          </cell>
          <cell r="E4827">
            <v>46222</v>
          </cell>
        </row>
        <row r="4828">
          <cell r="A4828" t="str">
            <v>2625SL27</v>
          </cell>
          <cell r="D4828" t="str">
            <v>KBP55</v>
          </cell>
          <cell r="E4828">
            <v>46222</v>
          </cell>
        </row>
        <row r="4829">
          <cell r="A4829" t="str">
            <v>2627SA37</v>
          </cell>
          <cell r="D4829" t="str">
            <v>S706</v>
          </cell>
          <cell r="E4829">
            <v>46222</v>
          </cell>
        </row>
        <row r="4830">
          <cell r="A4830" t="str">
            <v>2627QS37</v>
          </cell>
          <cell r="D4830" t="str">
            <v>S706</v>
          </cell>
          <cell r="E4830">
            <v>46222</v>
          </cell>
        </row>
        <row r="4831">
          <cell r="A4831" t="str">
            <v>2627KS47</v>
          </cell>
          <cell r="D4831" t="str">
            <v>KBP76</v>
          </cell>
          <cell r="E4831">
            <v>46222</v>
          </cell>
        </row>
        <row r="4832">
          <cell r="A4832" t="str">
            <v>2623DB67</v>
          </cell>
          <cell r="D4832" t="str">
            <v>S805</v>
          </cell>
          <cell r="E4832">
            <v>46222</v>
          </cell>
        </row>
        <row r="4833">
          <cell r="A4833" t="str">
            <v>2623I647</v>
          </cell>
          <cell r="D4833" t="str">
            <v>KBP86</v>
          </cell>
          <cell r="E4833">
            <v>46222</v>
          </cell>
        </row>
        <row r="4834">
          <cell r="A4834" t="str">
            <v>2626SZ57</v>
          </cell>
          <cell r="D4834" t="str">
            <v>FTW503</v>
          </cell>
          <cell r="E4834">
            <v>46222</v>
          </cell>
        </row>
        <row r="4835">
          <cell r="A4835" t="str">
            <v>2626FE57</v>
          </cell>
          <cell r="D4835" t="str">
            <v>FTP150</v>
          </cell>
          <cell r="E4835">
            <v>46222</v>
          </cell>
        </row>
        <row r="4836">
          <cell r="A4836" t="str">
            <v>2627GP67</v>
          </cell>
          <cell r="D4836" t="str">
            <v>FTW121KE</v>
          </cell>
          <cell r="E4836">
            <v>46222</v>
          </cell>
        </row>
        <row r="4837">
          <cell r="A4837" t="str">
            <v>2626LO67</v>
          </cell>
          <cell r="D4837" t="str">
            <v>FTP150</v>
          </cell>
          <cell r="E4837">
            <v>46222</v>
          </cell>
        </row>
        <row r="4838">
          <cell r="A4838" t="str">
            <v>2627LK17</v>
          </cell>
          <cell r="D4838" t="str">
            <v>FTW503</v>
          </cell>
          <cell r="E4838">
            <v>46222</v>
          </cell>
        </row>
        <row r="4839">
          <cell r="A4839" t="str">
            <v>2627QH27</v>
          </cell>
          <cell r="D4839" t="str">
            <v>FTW121KE</v>
          </cell>
          <cell r="E4839">
            <v>46222</v>
          </cell>
        </row>
        <row r="4840">
          <cell r="A4840" t="str">
            <v>2627SV27</v>
          </cell>
          <cell r="D4840" t="str">
            <v>S706</v>
          </cell>
          <cell r="E4840">
            <v>46222</v>
          </cell>
        </row>
        <row r="4841">
          <cell r="A4841" t="str">
            <v>2627D457</v>
          </cell>
          <cell r="D4841" t="str">
            <v>KBP76</v>
          </cell>
          <cell r="E4841">
            <v>46222</v>
          </cell>
        </row>
        <row r="4842">
          <cell r="A4842" t="str">
            <v>2628BP17</v>
          </cell>
          <cell r="D4842" t="str">
            <v>STA156KA</v>
          </cell>
          <cell r="E4842">
            <v>46222</v>
          </cell>
        </row>
        <row r="4843">
          <cell r="A4843" t="str">
            <v>2627W127</v>
          </cell>
          <cell r="D4843" t="str">
            <v>TTS80</v>
          </cell>
          <cell r="E4843">
            <v>46222</v>
          </cell>
        </row>
        <row r="4844">
          <cell r="A4844" t="str">
            <v>2627EE57</v>
          </cell>
          <cell r="D4844" t="str">
            <v>FTP200</v>
          </cell>
          <cell r="E4844">
            <v>46222</v>
          </cell>
        </row>
        <row r="4845">
          <cell r="A4845" t="str">
            <v>2627H147</v>
          </cell>
          <cell r="D4845" t="str">
            <v>FTW102K</v>
          </cell>
          <cell r="E4845">
            <v>46222</v>
          </cell>
        </row>
        <row r="4846">
          <cell r="A4846" t="str">
            <v>2627DM57</v>
          </cell>
          <cell r="D4846" t="str">
            <v>FTW121KE</v>
          </cell>
          <cell r="E4846">
            <v>46222</v>
          </cell>
        </row>
        <row r="4847">
          <cell r="A4847" t="str">
            <v>2627PV27</v>
          </cell>
          <cell r="D4847" t="str">
            <v>S805</v>
          </cell>
          <cell r="E4847">
            <v>46222</v>
          </cell>
        </row>
        <row r="4848">
          <cell r="A4848" t="str">
            <v>2626SR47</v>
          </cell>
          <cell r="D4848" t="str">
            <v>KBP55</v>
          </cell>
          <cell r="E4848">
            <v>46222</v>
          </cell>
        </row>
        <row r="4849">
          <cell r="A4849" t="str">
            <v>2627EA57</v>
          </cell>
          <cell r="D4849" t="str">
            <v>FTW121KE</v>
          </cell>
          <cell r="E4849">
            <v>46222</v>
          </cell>
        </row>
        <row r="4850">
          <cell r="A4850" t="str">
            <v>2627QG47</v>
          </cell>
          <cell r="D4850" t="str">
            <v>KBP55</v>
          </cell>
          <cell r="E4850">
            <v>46222</v>
          </cell>
        </row>
        <row r="4851">
          <cell r="A4851" t="str">
            <v>2627P137</v>
          </cell>
          <cell r="D4851" t="str">
            <v>FTW121KE</v>
          </cell>
          <cell r="E4851">
            <v>46222</v>
          </cell>
        </row>
        <row r="4852">
          <cell r="A4852" t="str">
            <v>2627P127</v>
          </cell>
          <cell r="D4852" t="str">
            <v>FTP150</v>
          </cell>
          <cell r="E4852">
            <v>46222</v>
          </cell>
        </row>
        <row r="4853">
          <cell r="A4853" t="str">
            <v>2625K527</v>
          </cell>
          <cell r="D4853" t="str">
            <v>KBP86</v>
          </cell>
          <cell r="E4853">
            <v>46222</v>
          </cell>
        </row>
        <row r="4854">
          <cell r="A4854" t="str">
            <v>2625Q457</v>
          </cell>
          <cell r="D4854" t="str">
            <v>FTW503</v>
          </cell>
          <cell r="E4854">
            <v>46222</v>
          </cell>
        </row>
        <row r="4855">
          <cell r="A4855" t="str">
            <v>2627P827</v>
          </cell>
          <cell r="D4855" t="str">
            <v>FTW503</v>
          </cell>
          <cell r="E4855">
            <v>46222</v>
          </cell>
        </row>
        <row r="4856">
          <cell r="A4856" t="str">
            <v>2627KQ17</v>
          </cell>
          <cell r="D4856" t="str">
            <v>FTP150</v>
          </cell>
          <cell r="E4856">
            <v>46222</v>
          </cell>
        </row>
        <row r="4857">
          <cell r="A4857" t="str">
            <v>2627EI57</v>
          </cell>
          <cell r="D4857" t="str">
            <v>FTP200</v>
          </cell>
          <cell r="E4857">
            <v>46222</v>
          </cell>
        </row>
        <row r="4858">
          <cell r="A4858" t="str">
            <v>2627U827</v>
          </cell>
          <cell r="D4858" t="str">
            <v>S706</v>
          </cell>
          <cell r="E4858">
            <v>46222</v>
          </cell>
        </row>
        <row r="4859">
          <cell r="A4859" t="str">
            <v>2627S967</v>
          </cell>
          <cell r="D4859" t="str">
            <v>TTS80</v>
          </cell>
          <cell r="E4859">
            <v>46222</v>
          </cell>
        </row>
        <row r="4860">
          <cell r="A4860" t="str">
            <v>2626JW47</v>
          </cell>
          <cell r="D4860" t="str">
            <v>FTW503</v>
          </cell>
          <cell r="E4860">
            <v>46221</v>
          </cell>
        </row>
        <row r="4861">
          <cell r="A4861" t="str">
            <v>2623CB27</v>
          </cell>
          <cell r="D4861" t="str">
            <v>KBP86F</v>
          </cell>
          <cell r="E4861">
            <v>46221</v>
          </cell>
        </row>
        <row r="4862">
          <cell r="A4862" t="str">
            <v>2626K737</v>
          </cell>
          <cell r="D4862" t="str">
            <v>FTW503</v>
          </cell>
          <cell r="E4862">
            <v>46221</v>
          </cell>
        </row>
        <row r="4863">
          <cell r="A4863" t="str">
            <v>2627UT37</v>
          </cell>
          <cell r="D4863" t="str">
            <v>TTS80</v>
          </cell>
          <cell r="E4863">
            <v>46221</v>
          </cell>
        </row>
        <row r="4864">
          <cell r="A4864" t="str">
            <v>2626K137</v>
          </cell>
          <cell r="D4864" t="str">
            <v>FTW503</v>
          </cell>
          <cell r="E4864">
            <v>46221</v>
          </cell>
        </row>
        <row r="4865">
          <cell r="A4865" t="str">
            <v>2609IH57</v>
          </cell>
          <cell r="D4865" t="str">
            <v>TTS80</v>
          </cell>
          <cell r="E4865">
            <v>46221</v>
          </cell>
        </row>
        <row r="4866">
          <cell r="A4866" t="str">
            <v>2614QS17</v>
          </cell>
          <cell r="D4866" t="str">
            <v>STA156KA</v>
          </cell>
          <cell r="E4866">
            <v>46221</v>
          </cell>
        </row>
        <row r="4867">
          <cell r="A4867" t="str">
            <v>2627HJ47</v>
          </cell>
          <cell r="D4867" t="str">
            <v>FTW121KE</v>
          </cell>
          <cell r="E4867">
            <v>46221</v>
          </cell>
        </row>
        <row r="4868">
          <cell r="A4868" t="str">
            <v>2625Q357</v>
          </cell>
          <cell r="D4868" t="str">
            <v>FTW503</v>
          </cell>
          <cell r="E4868">
            <v>46221</v>
          </cell>
        </row>
        <row r="4869">
          <cell r="A4869" t="str">
            <v>2610ZH27</v>
          </cell>
          <cell r="D4869" t="str">
            <v>S706</v>
          </cell>
          <cell r="E4869">
            <v>46221</v>
          </cell>
        </row>
        <row r="4870">
          <cell r="A4870" t="str">
            <v>2627DU67</v>
          </cell>
          <cell r="D4870" t="str">
            <v>TTS50</v>
          </cell>
          <cell r="E4870">
            <v>46221</v>
          </cell>
        </row>
        <row r="4871">
          <cell r="A4871" t="str">
            <v>2627PV37</v>
          </cell>
          <cell r="D4871" t="str">
            <v>FTW121KE</v>
          </cell>
          <cell r="E4871">
            <v>46221</v>
          </cell>
        </row>
        <row r="4872">
          <cell r="A4872" t="str">
            <v>2627PP27</v>
          </cell>
          <cell r="D4872" t="str">
            <v>FTW503</v>
          </cell>
          <cell r="E4872">
            <v>46221</v>
          </cell>
        </row>
        <row r="4873">
          <cell r="A4873" t="str">
            <v>2609DX47</v>
          </cell>
          <cell r="D4873" t="str">
            <v>TTS80</v>
          </cell>
          <cell r="E4873">
            <v>46221</v>
          </cell>
        </row>
        <row r="4874">
          <cell r="A4874" t="str">
            <v>2625ZU27</v>
          </cell>
          <cell r="D4874" t="str">
            <v>TTS80</v>
          </cell>
          <cell r="E4874">
            <v>46221</v>
          </cell>
        </row>
        <row r="4875">
          <cell r="A4875" t="str">
            <v>2627P237</v>
          </cell>
          <cell r="D4875" t="str">
            <v>FTW121KE</v>
          </cell>
          <cell r="E4875">
            <v>46221</v>
          </cell>
        </row>
        <row r="4876">
          <cell r="A4876" t="str">
            <v>2627P227</v>
          </cell>
          <cell r="D4876" t="str">
            <v>FTW503</v>
          </cell>
          <cell r="E4876">
            <v>46221</v>
          </cell>
        </row>
        <row r="4877">
          <cell r="A4877" t="str">
            <v>2626IM47</v>
          </cell>
          <cell r="D4877" t="str">
            <v>KBP76</v>
          </cell>
          <cell r="E4877">
            <v>46221</v>
          </cell>
        </row>
        <row r="4878">
          <cell r="A4878" t="str">
            <v>2627K727</v>
          </cell>
          <cell r="D4878" t="str">
            <v>KBP126</v>
          </cell>
          <cell r="E4878">
            <v>46221</v>
          </cell>
        </row>
        <row r="4879">
          <cell r="A4879" t="str">
            <v>2628SB17</v>
          </cell>
          <cell r="D4879" t="str">
            <v>FTW121KE</v>
          </cell>
          <cell r="E4879">
            <v>46221</v>
          </cell>
        </row>
        <row r="4880">
          <cell r="A4880" t="str">
            <v>2626LC27</v>
          </cell>
          <cell r="D4880" t="str">
            <v>KBP86</v>
          </cell>
          <cell r="E4880">
            <v>46221</v>
          </cell>
        </row>
        <row r="4881">
          <cell r="A4881" t="str">
            <v>2609II57</v>
          </cell>
          <cell r="D4881" t="str">
            <v>TTS80</v>
          </cell>
          <cell r="E4881">
            <v>46221</v>
          </cell>
        </row>
        <row r="4882">
          <cell r="A4882" t="str">
            <v>2627PD17</v>
          </cell>
          <cell r="D4882" t="str">
            <v>FTW121KE</v>
          </cell>
          <cell r="E4882">
            <v>46221</v>
          </cell>
        </row>
        <row r="4883">
          <cell r="A4883" t="str">
            <v>2627X117</v>
          </cell>
          <cell r="D4883" t="str">
            <v>KBP76</v>
          </cell>
          <cell r="E4883">
            <v>46221</v>
          </cell>
        </row>
        <row r="4884">
          <cell r="A4884" t="str">
            <v>2627IH67</v>
          </cell>
          <cell r="D4884" t="str">
            <v>S706</v>
          </cell>
          <cell r="E4884">
            <v>46221</v>
          </cell>
        </row>
        <row r="4885">
          <cell r="A4885" t="str">
            <v>2627QD47</v>
          </cell>
          <cell r="D4885" t="str">
            <v>KBP52</v>
          </cell>
          <cell r="E4885">
            <v>46221</v>
          </cell>
        </row>
        <row r="4886">
          <cell r="A4886" t="str">
            <v>2625ZJ37</v>
          </cell>
          <cell r="D4886" t="str">
            <v>TTS80</v>
          </cell>
          <cell r="E4886">
            <v>46221</v>
          </cell>
        </row>
        <row r="4887">
          <cell r="A4887" t="str">
            <v>2627KD47</v>
          </cell>
          <cell r="D4887" t="str">
            <v>S706</v>
          </cell>
          <cell r="E4887">
            <v>46221</v>
          </cell>
        </row>
        <row r="4888">
          <cell r="A4888" t="str">
            <v>2626VS57</v>
          </cell>
          <cell r="D4888" t="str">
            <v>FTW121KE</v>
          </cell>
          <cell r="E4888">
            <v>46221</v>
          </cell>
        </row>
        <row r="4889">
          <cell r="A4889" t="str">
            <v>2609IJ57</v>
          </cell>
          <cell r="D4889" t="str">
            <v>TTS80</v>
          </cell>
          <cell r="E4889">
            <v>46221</v>
          </cell>
        </row>
        <row r="4890">
          <cell r="A4890" t="str">
            <v>2624Z457</v>
          </cell>
          <cell r="D4890" t="str">
            <v>TTS80</v>
          </cell>
          <cell r="E4890">
            <v>46221</v>
          </cell>
        </row>
        <row r="4891">
          <cell r="A4891" t="str">
            <v>2627H547</v>
          </cell>
          <cell r="D4891" t="str">
            <v>FTW102K</v>
          </cell>
          <cell r="E4891">
            <v>46221</v>
          </cell>
        </row>
        <row r="4892">
          <cell r="A4892" t="str">
            <v>2627PM67</v>
          </cell>
          <cell r="D4892" t="str">
            <v>STA156KA</v>
          </cell>
          <cell r="E4892">
            <v>46221</v>
          </cell>
        </row>
        <row r="4893">
          <cell r="A4893" t="str">
            <v>2626G357</v>
          </cell>
          <cell r="D4893" t="str">
            <v>FTW503</v>
          </cell>
          <cell r="E4893">
            <v>46221</v>
          </cell>
        </row>
        <row r="4894">
          <cell r="A4894" t="str">
            <v>2627QA47</v>
          </cell>
          <cell r="D4894" t="str">
            <v>KBP86</v>
          </cell>
          <cell r="E4894">
            <v>46221</v>
          </cell>
        </row>
        <row r="4895">
          <cell r="A4895" t="str">
            <v>2627QC27</v>
          </cell>
          <cell r="D4895" t="str">
            <v>FTW121KE</v>
          </cell>
          <cell r="E4895">
            <v>46221</v>
          </cell>
        </row>
        <row r="4896">
          <cell r="A4896" t="str">
            <v>2626KM17</v>
          </cell>
          <cell r="D4896" t="str">
            <v>KBP86</v>
          </cell>
          <cell r="E4896">
            <v>46221</v>
          </cell>
        </row>
        <row r="4897">
          <cell r="A4897" t="str">
            <v>2626JZ57</v>
          </cell>
          <cell r="D4897" t="str">
            <v>FTP200</v>
          </cell>
          <cell r="E4897">
            <v>46221</v>
          </cell>
        </row>
        <row r="4898">
          <cell r="A4898" t="str">
            <v>2625ST57</v>
          </cell>
          <cell r="D4898" t="str">
            <v>KBP86</v>
          </cell>
          <cell r="E4898">
            <v>46221</v>
          </cell>
        </row>
        <row r="4899">
          <cell r="A4899" t="str">
            <v>2627QP17</v>
          </cell>
          <cell r="D4899" t="str">
            <v>FTW121KE</v>
          </cell>
          <cell r="E4899">
            <v>46221</v>
          </cell>
        </row>
        <row r="4900">
          <cell r="A4900" t="str">
            <v>2627P617</v>
          </cell>
          <cell r="D4900" t="str">
            <v>FTW700</v>
          </cell>
          <cell r="E4900">
            <v>46221</v>
          </cell>
        </row>
        <row r="4901">
          <cell r="A4901" t="str">
            <v>2627PR37</v>
          </cell>
          <cell r="D4901" t="str">
            <v>FTW121KE</v>
          </cell>
          <cell r="E4901">
            <v>46221</v>
          </cell>
        </row>
        <row r="4902">
          <cell r="A4902" t="str">
            <v>2627XH17</v>
          </cell>
          <cell r="D4902" t="str">
            <v>KBP55</v>
          </cell>
          <cell r="E4902">
            <v>46221</v>
          </cell>
        </row>
        <row r="4903">
          <cell r="A4903" t="str">
            <v>2627LN47</v>
          </cell>
          <cell r="D4903" t="str">
            <v>TTS80</v>
          </cell>
          <cell r="E4903">
            <v>46221</v>
          </cell>
        </row>
        <row r="4904">
          <cell r="A4904" t="str">
            <v>2626JT57</v>
          </cell>
          <cell r="D4904" t="str">
            <v>KBP52</v>
          </cell>
          <cell r="E4904">
            <v>46221</v>
          </cell>
        </row>
        <row r="4905">
          <cell r="A4905" t="str">
            <v>2627WP27</v>
          </cell>
          <cell r="D4905" t="str">
            <v>KBP86</v>
          </cell>
          <cell r="E4905">
            <v>46221</v>
          </cell>
        </row>
        <row r="4906">
          <cell r="A4906" t="str">
            <v>2627QX17</v>
          </cell>
          <cell r="D4906" t="str">
            <v>FTP200</v>
          </cell>
          <cell r="E4906">
            <v>46221</v>
          </cell>
        </row>
        <row r="4907">
          <cell r="A4907" t="str">
            <v>2627P837</v>
          </cell>
          <cell r="D4907" t="str">
            <v>FTW121KE</v>
          </cell>
          <cell r="E4907">
            <v>46221</v>
          </cell>
        </row>
        <row r="4908">
          <cell r="A4908" t="str">
            <v>2627S137</v>
          </cell>
          <cell r="D4908" t="str">
            <v>S706</v>
          </cell>
          <cell r="E4908">
            <v>46221</v>
          </cell>
        </row>
        <row r="4909">
          <cell r="A4909" t="str">
            <v>2626JN37</v>
          </cell>
          <cell r="D4909" t="str">
            <v>FTW503</v>
          </cell>
          <cell r="E4909">
            <v>46221</v>
          </cell>
        </row>
        <row r="4910">
          <cell r="A4910" t="str">
            <v>2627U437</v>
          </cell>
          <cell r="D4910" t="str">
            <v>KBP76</v>
          </cell>
          <cell r="E4910">
            <v>46221</v>
          </cell>
        </row>
        <row r="4911">
          <cell r="A4911" t="str">
            <v>2625K637</v>
          </cell>
          <cell r="D4911" t="str">
            <v>KBP86</v>
          </cell>
          <cell r="E4911">
            <v>46221</v>
          </cell>
        </row>
        <row r="4912">
          <cell r="A4912" t="str">
            <v>2627QT27</v>
          </cell>
          <cell r="D4912" t="str">
            <v>FTW121KE</v>
          </cell>
          <cell r="E4912">
            <v>46221</v>
          </cell>
        </row>
        <row r="4913">
          <cell r="A4913" t="str">
            <v>2626OH27</v>
          </cell>
          <cell r="D4913" t="str">
            <v>S706</v>
          </cell>
          <cell r="E4913">
            <v>46221</v>
          </cell>
        </row>
        <row r="4914">
          <cell r="A4914" t="str">
            <v>2627J347</v>
          </cell>
          <cell r="D4914" t="str">
            <v>KBP52</v>
          </cell>
          <cell r="E4914">
            <v>46221</v>
          </cell>
        </row>
        <row r="4915">
          <cell r="A4915" t="str">
            <v>2627VE17</v>
          </cell>
          <cell r="D4915" t="str">
            <v>S706</v>
          </cell>
          <cell r="E4915">
            <v>46221</v>
          </cell>
        </row>
        <row r="4916">
          <cell r="A4916" t="str">
            <v>2626U837</v>
          </cell>
          <cell r="D4916" t="str">
            <v>FTP200</v>
          </cell>
          <cell r="E4916">
            <v>46221</v>
          </cell>
        </row>
        <row r="4917">
          <cell r="A4917" t="str">
            <v>2627IP27</v>
          </cell>
          <cell r="D4917" t="str">
            <v>STA156KA</v>
          </cell>
          <cell r="E4917">
            <v>46221</v>
          </cell>
        </row>
        <row r="4918">
          <cell r="A4918" t="str">
            <v>2627I527</v>
          </cell>
          <cell r="D4918" t="str">
            <v>S15MB</v>
          </cell>
          <cell r="E4918">
            <v>46221</v>
          </cell>
        </row>
        <row r="4919">
          <cell r="A4919" t="str">
            <v>2624H637</v>
          </cell>
          <cell r="D4919" t="str">
            <v>KBP86</v>
          </cell>
          <cell r="E4919">
            <v>46221</v>
          </cell>
        </row>
        <row r="4920">
          <cell r="A4920" t="str">
            <v>2625FM10</v>
          </cell>
          <cell r="D4920" t="str">
            <v>TTS125</v>
          </cell>
          <cell r="E4920">
            <v>46221</v>
          </cell>
        </row>
        <row r="4921">
          <cell r="A4921" t="str">
            <v>2627PG27</v>
          </cell>
          <cell r="D4921" t="str">
            <v>FTW503</v>
          </cell>
          <cell r="E4921">
            <v>46221</v>
          </cell>
        </row>
        <row r="4922">
          <cell r="A4922" t="str">
            <v>2627D347</v>
          </cell>
          <cell r="D4922" t="str">
            <v>KBP76</v>
          </cell>
          <cell r="E4922">
            <v>46221</v>
          </cell>
        </row>
        <row r="4923">
          <cell r="A4923" t="str">
            <v>2626JA47</v>
          </cell>
          <cell r="D4923" t="str">
            <v>FTW503</v>
          </cell>
          <cell r="E4923">
            <v>46221</v>
          </cell>
        </row>
        <row r="4924">
          <cell r="A4924" t="str">
            <v>2626KU67</v>
          </cell>
          <cell r="D4924" t="str">
            <v>KBP76</v>
          </cell>
          <cell r="E4924">
            <v>46221</v>
          </cell>
        </row>
        <row r="4925">
          <cell r="A4925" t="str">
            <v>2627K717</v>
          </cell>
          <cell r="D4925" t="str">
            <v>KBP76</v>
          </cell>
          <cell r="E4925">
            <v>46221</v>
          </cell>
        </row>
        <row r="4926">
          <cell r="A4926" t="str">
            <v>2627DT67</v>
          </cell>
          <cell r="D4926" t="str">
            <v>KBP76</v>
          </cell>
          <cell r="E4926">
            <v>46221</v>
          </cell>
        </row>
        <row r="4927">
          <cell r="A4927" t="str">
            <v>2626IJ27</v>
          </cell>
          <cell r="D4927" t="str">
            <v>KBP76</v>
          </cell>
          <cell r="E4927">
            <v>46221</v>
          </cell>
        </row>
        <row r="4928">
          <cell r="A4928" t="str">
            <v>2627VO27</v>
          </cell>
          <cell r="D4928" t="str">
            <v>TTS80</v>
          </cell>
          <cell r="E4928">
            <v>46221</v>
          </cell>
        </row>
        <row r="4929">
          <cell r="A4929" t="str">
            <v>2627D257</v>
          </cell>
          <cell r="D4929" t="str">
            <v>FTP150</v>
          </cell>
          <cell r="E4929">
            <v>46221</v>
          </cell>
        </row>
        <row r="4930">
          <cell r="A4930" t="str">
            <v>2627PR67</v>
          </cell>
          <cell r="D4930" t="str">
            <v>STA156KA</v>
          </cell>
          <cell r="E4930">
            <v>46221</v>
          </cell>
        </row>
        <row r="4931">
          <cell r="A4931" t="str">
            <v>2627V217</v>
          </cell>
          <cell r="D4931" t="str">
            <v>S706</v>
          </cell>
          <cell r="E4931">
            <v>46221</v>
          </cell>
        </row>
        <row r="4932">
          <cell r="A4932" t="str">
            <v>2627PZ37</v>
          </cell>
          <cell r="D4932" t="str">
            <v>FTW121KE</v>
          </cell>
          <cell r="E4932">
            <v>46221</v>
          </cell>
        </row>
        <row r="4933">
          <cell r="A4933" t="str">
            <v>2624CZ67</v>
          </cell>
          <cell r="D4933" t="str">
            <v>KBP86</v>
          </cell>
          <cell r="E4933">
            <v>46221</v>
          </cell>
        </row>
        <row r="4934">
          <cell r="A4934" t="str">
            <v>2627F667</v>
          </cell>
          <cell r="D4934" t="str">
            <v>FTW102K</v>
          </cell>
          <cell r="E4934">
            <v>46221</v>
          </cell>
        </row>
        <row r="4935">
          <cell r="A4935" t="str">
            <v>2627QU67</v>
          </cell>
          <cell r="D4935" t="str">
            <v>TTS80</v>
          </cell>
          <cell r="E4935">
            <v>46221</v>
          </cell>
        </row>
        <row r="4936">
          <cell r="A4936" t="str">
            <v>2626SX47</v>
          </cell>
          <cell r="D4936" t="str">
            <v>KBP55</v>
          </cell>
          <cell r="E4936">
            <v>46221</v>
          </cell>
        </row>
        <row r="4937">
          <cell r="A4937" t="str">
            <v>2627L657</v>
          </cell>
          <cell r="D4937" t="str">
            <v>STA156KA</v>
          </cell>
          <cell r="E4937">
            <v>46221</v>
          </cell>
        </row>
        <row r="4938">
          <cell r="A4938" t="str">
            <v>2627SD37</v>
          </cell>
          <cell r="D4938" t="str">
            <v>S706</v>
          </cell>
          <cell r="E4938">
            <v>46221</v>
          </cell>
        </row>
        <row r="4939">
          <cell r="A4939" t="str">
            <v>2627PY27</v>
          </cell>
          <cell r="D4939" t="str">
            <v>KBP44</v>
          </cell>
          <cell r="E4939">
            <v>46221</v>
          </cell>
        </row>
        <row r="4940">
          <cell r="A4940" t="str">
            <v>2626PC17</v>
          </cell>
          <cell r="D4940" t="str">
            <v>KBP55</v>
          </cell>
          <cell r="E4940">
            <v>46221</v>
          </cell>
        </row>
        <row r="4941">
          <cell r="A4941" t="str">
            <v>2626S227</v>
          </cell>
          <cell r="D4941" t="str">
            <v>KBP55</v>
          </cell>
          <cell r="E4941">
            <v>46221</v>
          </cell>
        </row>
        <row r="4942">
          <cell r="A4942" t="str">
            <v>2627QC47</v>
          </cell>
          <cell r="D4942" t="str">
            <v>KBP86</v>
          </cell>
          <cell r="E4942">
            <v>46221</v>
          </cell>
        </row>
        <row r="4943">
          <cell r="A4943" t="str">
            <v>2625JP47</v>
          </cell>
          <cell r="D4943" t="str">
            <v>KBP86</v>
          </cell>
          <cell r="E4943">
            <v>46221</v>
          </cell>
        </row>
        <row r="4944">
          <cell r="A4944" t="str">
            <v>2627QB37</v>
          </cell>
          <cell r="D4944" t="str">
            <v>KBP34</v>
          </cell>
          <cell r="E4944">
            <v>46221</v>
          </cell>
        </row>
        <row r="4945">
          <cell r="A4945" t="str">
            <v>2626QV57</v>
          </cell>
          <cell r="D4945" t="str">
            <v>KBP76</v>
          </cell>
          <cell r="E4945">
            <v>46221</v>
          </cell>
        </row>
        <row r="4946">
          <cell r="A4946" t="str">
            <v>2624B667</v>
          </cell>
          <cell r="D4946" t="str">
            <v>KBP86</v>
          </cell>
          <cell r="E4946">
            <v>46221</v>
          </cell>
        </row>
        <row r="4947">
          <cell r="A4947" t="str">
            <v>2625FJ70</v>
          </cell>
          <cell r="D4947" t="str">
            <v>HV200</v>
          </cell>
          <cell r="E4947">
            <v>46221</v>
          </cell>
        </row>
        <row r="4948">
          <cell r="A4948" t="str">
            <v>2627HQ67</v>
          </cell>
          <cell r="D4948" t="str">
            <v>KBP52</v>
          </cell>
          <cell r="E4948">
            <v>46221</v>
          </cell>
        </row>
        <row r="4949">
          <cell r="A4949" t="str">
            <v>2625U757</v>
          </cell>
          <cell r="D4949" t="str">
            <v>TTS50</v>
          </cell>
          <cell r="E4949">
            <v>46221</v>
          </cell>
        </row>
        <row r="4950">
          <cell r="A4950" t="str">
            <v>2626KN67</v>
          </cell>
          <cell r="D4950" t="str">
            <v>KBP76</v>
          </cell>
          <cell r="E4950">
            <v>46221</v>
          </cell>
        </row>
        <row r="4951">
          <cell r="A4951" t="str">
            <v>2627PN67</v>
          </cell>
          <cell r="D4951" t="str">
            <v>STA156KA</v>
          </cell>
          <cell r="E4951">
            <v>46221</v>
          </cell>
        </row>
        <row r="4952">
          <cell r="A4952" t="str">
            <v>2627OR37</v>
          </cell>
          <cell r="D4952" t="str">
            <v>FTW121KE</v>
          </cell>
          <cell r="E4952">
            <v>46221</v>
          </cell>
        </row>
        <row r="4953">
          <cell r="A4953" t="str">
            <v>2627UX37</v>
          </cell>
          <cell r="D4953" t="str">
            <v>TTS80</v>
          </cell>
          <cell r="E4953">
            <v>46221</v>
          </cell>
        </row>
        <row r="4954">
          <cell r="A4954" t="str">
            <v>2626K917</v>
          </cell>
          <cell r="D4954" t="str">
            <v>KBP86</v>
          </cell>
          <cell r="E4954">
            <v>46221</v>
          </cell>
        </row>
        <row r="4955">
          <cell r="A4955" t="str">
            <v>2627VY27</v>
          </cell>
          <cell r="D4955" t="str">
            <v>TTS80</v>
          </cell>
          <cell r="E4955">
            <v>46221</v>
          </cell>
        </row>
        <row r="4956">
          <cell r="A4956" t="str">
            <v>2627US17</v>
          </cell>
          <cell r="D4956" t="str">
            <v>S706</v>
          </cell>
          <cell r="E4956">
            <v>46221</v>
          </cell>
        </row>
        <row r="4957">
          <cell r="A4957" t="str">
            <v>2625CB67</v>
          </cell>
          <cell r="D4957" t="str">
            <v>KBP86</v>
          </cell>
          <cell r="E4957">
            <v>46221</v>
          </cell>
        </row>
        <row r="4958">
          <cell r="A4958" t="str">
            <v>2626JT47</v>
          </cell>
          <cell r="D4958" t="str">
            <v>FTW503</v>
          </cell>
          <cell r="E4958">
            <v>46221</v>
          </cell>
        </row>
        <row r="4959">
          <cell r="A4959" t="str">
            <v>2627KJ17</v>
          </cell>
          <cell r="D4959" t="str">
            <v>KBP76</v>
          </cell>
          <cell r="E4959">
            <v>46221</v>
          </cell>
        </row>
        <row r="4960">
          <cell r="A4960" t="str">
            <v>2625FL30</v>
          </cell>
          <cell r="D4960" t="str">
            <v>TTS125</v>
          </cell>
          <cell r="E4960">
            <v>46221</v>
          </cell>
        </row>
        <row r="4961">
          <cell r="A4961" t="str">
            <v>2627KU47</v>
          </cell>
          <cell r="D4961" t="str">
            <v>KBP76</v>
          </cell>
          <cell r="E4961">
            <v>46221</v>
          </cell>
        </row>
        <row r="4962">
          <cell r="A4962" t="str">
            <v>2626C367</v>
          </cell>
          <cell r="D4962" t="str">
            <v>STA156KA</v>
          </cell>
          <cell r="E4962">
            <v>46221</v>
          </cell>
        </row>
        <row r="4963">
          <cell r="A4963" t="str">
            <v>2627PN37</v>
          </cell>
          <cell r="D4963" t="str">
            <v>FTW121KE</v>
          </cell>
          <cell r="E4963">
            <v>46221</v>
          </cell>
        </row>
        <row r="4964">
          <cell r="A4964" t="str">
            <v>2627XF17</v>
          </cell>
          <cell r="D4964" t="str">
            <v>KBP55</v>
          </cell>
          <cell r="E4964">
            <v>46221</v>
          </cell>
        </row>
        <row r="4965">
          <cell r="A4965" t="str">
            <v>2626IU67</v>
          </cell>
          <cell r="D4965" t="str">
            <v>FTP150</v>
          </cell>
          <cell r="E4965">
            <v>46221</v>
          </cell>
        </row>
        <row r="4966">
          <cell r="A4966" t="str">
            <v>2626UW57</v>
          </cell>
          <cell r="D4966" t="str">
            <v>FTW121KE</v>
          </cell>
          <cell r="E4966">
            <v>46221</v>
          </cell>
        </row>
        <row r="4967">
          <cell r="A4967" t="str">
            <v>2626PE67</v>
          </cell>
          <cell r="D4967" t="str">
            <v>TTS80</v>
          </cell>
          <cell r="E4967">
            <v>46221</v>
          </cell>
        </row>
        <row r="4968">
          <cell r="A4968" t="str">
            <v>2627H767</v>
          </cell>
          <cell r="D4968" t="str">
            <v>FTW121KE</v>
          </cell>
          <cell r="E4968">
            <v>46221</v>
          </cell>
        </row>
        <row r="4969">
          <cell r="A4969" t="str">
            <v>2625Q257</v>
          </cell>
          <cell r="D4969" t="str">
            <v>FTW503</v>
          </cell>
          <cell r="E4969">
            <v>46221</v>
          </cell>
        </row>
        <row r="4970">
          <cell r="A4970" t="str">
            <v>2626QV27</v>
          </cell>
          <cell r="D4970" t="str">
            <v>KBP74</v>
          </cell>
          <cell r="E4970">
            <v>46221</v>
          </cell>
        </row>
        <row r="4971">
          <cell r="A4971" t="str">
            <v>2627V437</v>
          </cell>
          <cell r="D4971" t="str">
            <v>KBP86</v>
          </cell>
          <cell r="E4971">
            <v>46221</v>
          </cell>
        </row>
        <row r="4972">
          <cell r="A4972" t="str">
            <v>2627PQ37</v>
          </cell>
          <cell r="D4972" t="str">
            <v>FTW121KE</v>
          </cell>
          <cell r="E4972">
            <v>46221</v>
          </cell>
        </row>
        <row r="4973">
          <cell r="A4973" t="str">
            <v>2625KA27</v>
          </cell>
          <cell r="D4973" t="str">
            <v>KBP86</v>
          </cell>
          <cell r="E4973">
            <v>46221</v>
          </cell>
        </row>
        <row r="4974">
          <cell r="A4974" t="str">
            <v>2625ER17</v>
          </cell>
          <cell r="D4974" t="str">
            <v>S15MB</v>
          </cell>
          <cell r="E4974">
            <v>46221</v>
          </cell>
        </row>
        <row r="4975">
          <cell r="A4975" t="str">
            <v>2624XA57</v>
          </cell>
          <cell r="D4975" t="str">
            <v>KBP76</v>
          </cell>
          <cell r="E4975">
            <v>46221</v>
          </cell>
        </row>
        <row r="4976">
          <cell r="A4976" t="str">
            <v>2627SF37</v>
          </cell>
          <cell r="D4976" t="str">
            <v>S706</v>
          </cell>
          <cell r="E4976">
            <v>46221</v>
          </cell>
        </row>
        <row r="4977">
          <cell r="A4977" t="str">
            <v>2625KL47</v>
          </cell>
          <cell r="D4977" t="str">
            <v>S706</v>
          </cell>
          <cell r="E4977">
            <v>46221</v>
          </cell>
        </row>
        <row r="4978">
          <cell r="A4978" t="str">
            <v>2627QM67</v>
          </cell>
          <cell r="D4978" t="str">
            <v>TTS80</v>
          </cell>
          <cell r="E4978">
            <v>46221</v>
          </cell>
        </row>
        <row r="4979">
          <cell r="A4979" t="str">
            <v>2626G157</v>
          </cell>
          <cell r="D4979" t="str">
            <v>FTW503</v>
          </cell>
          <cell r="E4979">
            <v>46221</v>
          </cell>
        </row>
        <row r="4980">
          <cell r="A4980" t="str">
            <v>2627AV67</v>
          </cell>
          <cell r="D4980" t="str">
            <v>TTS50</v>
          </cell>
          <cell r="E4980">
            <v>46221</v>
          </cell>
        </row>
        <row r="4981">
          <cell r="A4981" t="str">
            <v>2626JI27</v>
          </cell>
          <cell r="D4981" t="str">
            <v>FTW503</v>
          </cell>
          <cell r="E4981">
            <v>46221</v>
          </cell>
        </row>
        <row r="4982">
          <cell r="A4982" t="str">
            <v>2627QE67</v>
          </cell>
          <cell r="D4982" t="str">
            <v>TTS80</v>
          </cell>
          <cell r="E4982">
            <v>46221</v>
          </cell>
        </row>
        <row r="4983">
          <cell r="A4983" t="str">
            <v>2625FJ50</v>
          </cell>
          <cell r="D4983" t="str">
            <v>HV200</v>
          </cell>
          <cell r="E4983">
            <v>46221</v>
          </cell>
        </row>
        <row r="4984">
          <cell r="A4984" t="str">
            <v>2627OQ37</v>
          </cell>
          <cell r="D4984" t="str">
            <v>FTW121KE</v>
          </cell>
          <cell r="E4984">
            <v>46221</v>
          </cell>
        </row>
        <row r="4985">
          <cell r="A4985" t="str">
            <v>2626LC27</v>
          </cell>
          <cell r="D4985" t="str">
            <v>KBP86</v>
          </cell>
          <cell r="E4985">
            <v>46221</v>
          </cell>
        </row>
        <row r="4986">
          <cell r="A4986" t="str">
            <v>2626PU57</v>
          </cell>
          <cell r="D4986" t="str">
            <v>S15MB</v>
          </cell>
          <cell r="E4986">
            <v>46221</v>
          </cell>
        </row>
        <row r="4987">
          <cell r="A4987" t="str">
            <v>2627L637</v>
          </cell>
          <cell r="D4987" t="str">
            <v>FTP150</v>
          </cell>
          <cell r="E4987">
            <v>46221</v>
          </cell>
        </row>
        <row r="4988">
          <cell r="A4988" t="str">
            <v>2626OD67</v>
          </cell>
          <cell r="D4988" t="str">
            <v>TTS80</v>
          </cell>
          <cell r="E4988">
            <v>46221</v>
          </cell>
        </row>
        <row r="4989">
          <cell r="A4989" t="str">
            <v>2626SM57</v>
          </cell>
          <cell r="D4989" t="str">
            <v>FTW503</v>
          </cell>
          <cell r="E4989">
            <v>46221</v>
          </cell>
        </row>
        <row r="4990">
          <cell r="A4990" t="str">
            <v>2627K947</v>
          </cell>
          <cell r="D4990" t="str">
            <v>S706</v>
          </cell>
          <cell r="E4990">
            <v>46221</v>
          </cell>
        </row>
        <row r="4991">
          <cell r="A4991" t="str">
            <v>2626K157</v>
          </cell>
          <cell r="D4991" t="str">
            <v>FTP200</v>
          </cell>
          <cell r="E4991">
            <v>46221</v>
          </cell>
        </row>
        <row r="4992">
          <cell r="A4992" t="str">
            <v>2627UM17</v>
          </cell>
          <cell r="D4992" t="str">
            <v>S706</v>
          </cell>
          <cell r="E4992">
            <v>46221</v>
          </cell>
        </row>
        <row r="4993">
          <cell r="A4993" t="str">
            <v>2624GJ47</v>
          </cell>
          <cell r="D4993" t="str">
            <v>KBP86</v>
          </cell>
          <cell r="E4993">
            <v>46221</v>
          </cell>
        </row>
        <row r="4994">
          <cell r="A4994" t="str">
            <v>2627D447</v>
          </cell>
          <cell r="D4994" t="str">
            <v>KBP86</v>
          </cell>
          <cell r="E4994">
            <v>46221</v>
          </cell>
        </row>
        <row r="4995">
          <cell r="A4995" t="str">
            <v>2627QC17</v>
          </cell>
          <cell r="D4995" t="str">
            <v>FTW121KE</v>
          </cell>
          <cell r="E4995">
            <v>46221</v>
          </cell>
        </row>
        <row r="4996">
          <cell r="A4996" t="str">
            <v>2628PL17</v>
          </cell>
          <cell r="D4996" t="str">
            <v>TTS50</v>
          </cell>
          <cell r="E4996">
            <v>46221</v>
          </cell>
        </row>
        <row r="4997">
          <cell r="A4997" t="str">
            <v>2623LV27</v>
          </cell>
          <cell r="D4997" t="str">
            <v>KBP86F</v>
          </cell>
          <cell r="E4997">
            <v>46221</v>
          </cell>
        </row>
        <row r="4998">
          <cell r="A4998" t="str">
            <v>2626IB27</v>
          </cell>
          <cell r="D4998" t="str">
            <v>KBP86</v>
          </cell>
          <cell r="E4998">
            <v>46221</v>
          </cell>
        </row>
        <row r="4999">
          <cell r="A4999" t="str">
            <v>2627OI37</v>
          </cell>
          <cell r="D4999" t="str">
            <v>FTW102K</v>
          </cell>
          <cell r="E4999">
            <v>46221</v>
          </cell>
        </row>
        <row r="5000">
          <cell r="A5000" t="str">
            <v>2626CG37</v>
          </cell>
          <cell r="D5000" t="str">
            <v>S15MB</v>
          </cell>
          <cell r="E5000">
            <v>46221</v>
          </cell>
        </row>
        <row r="5001">
          <cell r="A5001" t="str">
            <v>2627K927</v>
          </cell>
          <cell r="D5001" t="str">
            <v>KBP86</v>
          </cell>
          <cell r="E5001">
            <v>46221</v>
          </cell>
        </row>
        <row r="5002">
          <cell r="A5002" t="str">
            <v>2626QW57</v>
          </cell>
          <cell r="D5002" t="str">
            <v>KBP76</v>
          </cell>
          <cell r="E5002">
            <v>46221</v>
          </cell>
        </row>
        <row r="5003">
          <cell r="A5003" t="str">
            <v>2627KC17</v>
          </cell>
          <cell r="D5003" t="str">
            <v>KBP76</v>
          </cell>
          <cell r="E5003">
            <v>46221</v>
          </cell>
        </row>
        <row r="5004">
          <cell r="A5004" t="str">
            <v>2627IB47</v>
          </cell>
          <cell r="D5004" t="str">
            <v>FTW121KE</v>
          </cell>
          <cell r="E5004">
            <v>46221</v>
          </cell>
        </row>
        <row r="5005">
          <cell r="A5005" t="str">
            <v>2627S337</v>
          </cell>
          <cell r="D5005" t="str">
            <v>S706</v>
          </cell>
          <cell r="E5005">
            <v>46221</v>
          </cell>
        </row>
        <row r="5006">
          <cell r="A5006" t="str">
            <v>2626KT67</v>
          </cell>
          <cell r="D5006" t="str">
            <v>KBP76</v>
          </cell>
          <cell r="E5006">
            <v>46221</v>
          </cell>
        </row>
        <row r="5007">
          <cell r="A5007" t="str">
            <v>2626CB27</v>
          </cell>
          <cell r="D5007" t="str">
            <v>S15MB</v>
          </cell>
          <cell r="E5007">
            <v>46221</v>
          </cell>
        </row>
        <row r="5008">
          <cell r="A5008" t="str">
            <v>2623CF27</v>
          </cell>
          <cell r="D5008" t="str">
            <v>KBP86F</v>
          </cell>
          <cell r="E5008">
            <v>46221</v>
          </cell>
        </row>
        <row r="5009">
          <cell r="A5009" t="str">
            <v>2623CC67</v>
          </cell>
          <cell r="D5009" t="str">
            <v>KBP86</v>
          </cell>
          <cell r="E5009">
            <v>46221</v>
          </cell>
        </row>
        <row r="5010">
          <cell r="A5010" t="str">
            <v>2627JI47</v>
          </cell>
          <cell r="D5010" t="str">
            <v>S706</v>
          </cell>
          <cell r="E5010">
            <v>46221</v>
          </cell>
        </row>
        <row r="5011">
          <cell r="A5011" t="str">
            <v>2626U247</v>
          </cell>
          <cell r="D5011" t="str">
            <v>KBP55</v>
          </cell>
          <cell r="E5011">
            <v>46221</v>
          </cell>
        </row>
        <row r="5012">
          <cell r="A5012" t="str">
            <v>2627U937</v>
          </cell>
          <cell r="D5012" t="str">
            <v>TTS80</v>
          </cell>
          <cell r="E5012">
            <v>46221</v>
          </cell>
        </row>
        <row r="5013">
          <cell r="A5013" t="str">
            <v>2627SM27</v>
          </cell>
          <cell r="D5013" t="str">
            <v>S15HV100</v>
          </cell>
          <cell r="E5013">
            <v>46221</v>
          </cell>
        </row>
        <row r="5014">
          <cell r="A5014" t="str">
            <v>2627QW27</v>
          </cell>
          <cell r="D5014" t="str">
            <v>FTW121KE</v>
          </cell>
          <cell r="E5014">
            <v>46221</v>
          </cell>
        </row>
        <row r="5015">
          <cell r="A5015" t="str">
            <v>2624EO27</v>
          </cell>
          <cell r="D5015" t="str">
            <v>KBP86</v>
          </cell>
          <cell r="E5015">
            <v>46221</v>
          </cell>
        </row>
        <row r="5016">
          <cell r="A5016" t="str">
            <v>2627UN37</v>
          </cell>
          <cell r="D5016" t="str">
            <v>TTS80</v>
          </cell>
          <cell r="E5016">
            <v>46221</v>
          </cell>
        </row>
        <row r="5017">
          <cell r="A5017" t="str">
            <v>2627KA47</v>
          </cell>
          <cell r="D5017" t="str">
            <v>S706</v>
          </cell>
          <cell r="E5017">
            <v>46221</v>
          </cell>
        </row>
        <row r="5018">
          <cell r="A5018" t="str">
            <v>2626FN90</v>
          </cell>
          <cell r="D5018" t="str">
            <v>TTS125</v>
          </cell>
          <cell r="E5018">
            <v>46221</v>
          </cell>
        </row>
        <row r="5019">
          <cell r="A5019" t="str">
            <v>2627PQ27</v>
          </cell>
          <cell r="D5019" t="str">
            <v>FTW503</v>
          </cell>
          <cell r="E5019">
            <v>46221</v>
          </cell>
        </row>
        <row r="5020">
          <cell r="A5020" t="str">
            <v>2627K247</v>
          </cell>
          <cell r="D5020" t="str">
            <v>S706</v>
          </cell>
          <cell r="E5020">
            <v>46221</v>
          </cell>
        </row>
        <row r="5021">
          <cell r="A5021" t="str">
            <v>2626K537</v>
          </cell>
          <cell r="D5021" t="str">
            <v>FTW503</v>
          </cell>
          <cell r="E5021">
            <v>46221</v>
          </cell>
        </row>
        <row r="5022">
          <cell r="A5022" t="str">
            <v>2627IC67</v>
          </cell>
          <cell r="D5022" t="str">
            <v>S706</v>
          </cell>
          <cell r="E5022">
            <v>46221</v>
          </cell>
        </row>
        <row r="5023">
          <cell r="A5023" t="str">
            <v>2625CN67</v>
          </cell>
          <cell r="D5023" t="str">
            <v>S706</v>
          </cell>
          <cell r="E5023">
            <v>46221</v>
          </cell>
        </row>
        <row r="5024">
          <cell r="A5024" t="str">
            <v>2627ZH57</v>
          </cell>
          <cell r="D5024" t="str">
            <v>FTW503</v>
          </cell>
          <cell r="E5024">
            <v>46221</v>
          </cell>
        </row>
        <row r="5025">
          <cell r="A5025" t="str">
            <v>2627E967</v>
          </cell>
          <cell r="D5025" t="str">
            <v>FTW700</v>
          </cell>
          <cell r="E5025">
            <v>46221</v>
          </cell>
        </row>
        <row r="5026">
          <cell r="A5026" t="str">
            <v>2627PA37</v>
          </cell>
          <cell r="D5026" t="str">
            <v>FTW121KE</v>
          </cell>
          <cell r="E5026">
            <v>46221</v>
          </cell>
        </row>
        <row r="5027">
          <cell r="A5027" t="str">
            <v>2627JG67</v>
          </cell>
          <cell r="D5027" t="str">
            <v>KBP76</v>
          </cell>
          <cell r="E5027">
            <v>46221</v>
          </cell>
        </row>
        <row r="5028">
          <cell r="A5028" t="str">
            <v>2627SO67</v>
          </cell>
          <cell r="D5028" t="str">
            <v>TTS80</v>
          </cell>
          <cell r="E5028">
            <v>46221</v>
          </cell>
        </row>
        <row r="5029">
          <cell r="A5029" t="str">
            <v>2627EC57</v>
          </cell>
          <cell r="D5029" t="str">
            <v>FTW121KE</v>
          </cell>
          <cell r="E5029">
            <v>46221</v>
          </cell>
        </row>
        <row r="5030">
          <cell r="A5030" t="str">
            <v>2627LG17</v>
          </cell>
          <cell r="D5030" t="str">
            <v>FTW503</v>
          </cell>
          <cell r="E5030">
            <v>46221</v>
          </cell>
        </row>
        <row r="5031">
          <cell r="A5031" t="str">
            <v>2627QZ37</v>
          </cell>
          <cell r="D5031" t="str">
            <v>S706</v>
          </cell>
          <cell r="E5031">
            <v>46221</v>
          </cell>
        </row>
        <row r="5032">
          <cell r="A5032" t="str">
            <v>2627UG17</v>
          </cell>
          <cell r="D5032" t="str">
            <v>S706</v>
          </cell>
          <cell r="E5032">
            <v>46221</v>
          </cell>
        </row>
        <row r="5033">
          <cell r="A5033" t="str">
            <v>2627KP17</v>
          </cell>
          <cell r="D5033" t="str">
            <v>FTP150</v>
          </cell>
          <cell r="E5033">
            <v>46221</v>
          </cell>
        </row>
        <row r="5034">
          <cell r="A5034" t="str">
            <v>2627UK17</v>
          </cell>
          <cell r="D5034" t="str">
            <v>S706</v>
          </cell>
          <cell r="E5034">
            <v>46221</v>
          </cell>
        </row>
        <row r="5035">
          <cell r="A5035" t="str">
            <v>2627QQ67</v>
          </cell>
          <cell r="D5035" t="str">
            <v>TTS80</v>
          </cell>
          <cell r="E5035">
            <v>46221</v>
          </cell>
        </row>
        <row r="5036">
          <cell r="A5036" t="str">
            <v>2627UH17</v>
          </cell>
          <cell r="D5036" t="str">
            <v>S706</v>
          </cell>
          <cell r="E5036">
            <v>46221</v>
          </cell>
        </row>
        <row r="5037">
          <cell r="A5037" t="str">
            <v>2626FN30</v>
          </cell>
          <cell r="D5037" t="str">
            <v>TTS125</v>
          </cell>
          <cell r="E5037">
            <v>46221</v>
          </cell>
        </row>
        <row r="5038">
          <cell r="A5038" t="str">
            <v>2627K917</v>
          </cell>
          <cell r="D5038" t="str">
            <v>KBP76</v>
          </cell>
          <cell r="E5038">
            <v>46221</v>
          </cell>
        </row>
        <row r="5039">
          <cell r="A5039" t="str">
            <v>2625LR17</v>
          </cell>
          <cell r="D5039" t="str">
            <v>KBP86</v>
          </cell>
          <cell r="E5039">
            <v>46221</v>
          </cell>
        </row>
        <row r="5040">
          <cell r="A5040" t="str">
            <v>2624LE27</v>
          </cell>
          <cell r="D5040" t="str">
            <v>KBP52</v>
          </cell>
          <cell r="E5040">
            <v>46220</v>
          </cell>
        </row>
        <row r="5041">
          <cell r="A5041" t="str">
            <v>2622UM57</v>
          </cell>
          <cell r="D5041" t="str">
            <v>KBP86</v>
          </cell>
          <cell r="E5041">
            <v>46220</v>
          </cell>
        </row>
        <row r="5042">
          <cell r="A5042" t="str">
            <v>2622P717</v>
          </cell>
          <cell r="D5042" t="str">
            <v>KBP86</v>
          </cell>
          <cell r="E5042">
            <v>46220</v>
          </cell>
        </row>
        <row r="5043">
          <cell r="A5043" t="str">
            <v>2626KV67</v>
          </cell>
          <cell r="D5043" t="str">
            <v>KBP76</v>
          </cell>
          <cell r="E5043">
            <v>46220</v>
          </cell>
        </row>
        <row r="5044">
          <cell r="A5044" t="str">
            <v>2626JO67</v>
          </cell>
          <cell r="D5044" t="str">
            <v>KBP52</v>
          </cell>
          <cell r="E5044">
            <v>46220</v>
          </cell>
        </row>
        <row r="5045">
          <cell r="A5045" t="str">
            <v>2625FL40</v>
          </cell>
          <cell r="D5045" t="str">
            <v>TTS125</v>
          </cell>
          <cell r="E5045">
            <v>46220</v>
          </cell>
        </row>
        <row r="5046">
          <cell r="A5046" t="str">
            <v>2622AG67</v>
          </cell>
          <cell r="D5046" t="str">
            <v>KBP86</v>
          </cell>
          <cell r="E5046">
            <v>46220</v>
          </cell>
        </row>
        <row r="5047">
          <cell r="A5047" t="str">
            <v>2623EX27</v>
          </cell>
          <cell r="D5047" t="str">
            <v>KBP76</v>
          </cell>
          <cell r="E5047">
            <v>46220</v>
          </cell>
        </row>
        <row r="5048">
          <cell r="A5048" t="str">
            <v>2627BD37</v>
          </cell>
          <cell r="D5048" t="str">
            <v>FTP200</v>
          </cell>
          <cell r="E5048">
            <v>46220</v>
          </cell>
        </row>
        <row r="5049">
          <cell r="A5049" t="str">
            <v>2626O347</v>
          </cell>
          <cell r="D5049" t="str">
            <v>KBP86</v>
          </cell>
          <cell r="E5049">
            <v>46220</v>
          </cell>
        </row>
        <row r="5050">
          <cell r="A5050" t="str">
            <v>2625EM67</v>
          </cell>
          <cell r="D5050" t="str">
            <v>STA156KA</v>
          </cell>
          <cell r="E5050">
            <v>46220</v>
          </cell>
        </row>
        <row r="5051">
          <cell r="A5051" t="str">
            <v>2624WZ57</v>
          </cell>
          <cell r="D5051" t="str">
            <v>KBP86</v>
          </cell>
          <cell r="E5051">
            <v>46220</v>
          </cell>
        </row>
        <row r="5052">
          <cell r="A5052" t="str">
            <v>2625K937</v>
          </cell>
          <cell r="D5052" t="str">
            <v>KBP86</v>
          </cell>
          <cell r="E5052">
            <v>46220</v>
          </cell>
        </row>
        <row r="5053">
          <cell r="A5053" t="str">
            <v>2627QO27</v>
          </cell>
          <cell r="D5053" t="str">
            <v>FTW121KE</v>
          </cell>
          <cell r="E5053">
            <v>46220</v>
          </cell>
        </row>
        <row r="5054">
          <cell r="A5054" t="str">
            <v>2626WM57</v>
          </cell>
          <cell r="D5054" t="str">
            <v>FTW102K</v>
          </cell>
          <cell r="E5054">
            <v>46220</v>
          </cell>
        </row>
        <row r="5055">
          <cell r="A5055" t="str">
            <v>2620IR17</v>
          </cell>
          <cell r="D5055" t="str">
            <v>TTS50</v>
          </cell>
          <cell r="E5055">
            <v>46220</v>
          </cell>
        </row>
        <row r="5056">
          <cell r="A5056" t="str">
            <v>2626C467</v>
          </cell>
          <cell r="D5056" t="str">
            <v>STA156KA</v>
          </cell>
          <cell r="E5056">
            <v>46220</v>
          </cell>
        </row>
        <row r="5057">
          <cell r="A5057" t="str">
            <v>2623DN67</v>
          </cell>
          <cell r="D5057" t="str">
            <v>TTS50</v>
          </cell>
          <cell r="E5057">
            <v>46220</v>
          </cell>
        </row>
        <row r="5058">
          <cell r="A5058" t="str">
            <v>2625CE67</v>
          </cell>
          <cell r="D5058" t="str">
            <v>KBP86</v>
          </cell>
          <cell r="E5058">
            <v>46220</v>
          </cell>
        </row>
        <row r="5059">
          <cell r="A5059" t="str">
            <v>2619E337</v>
          </cell>
          <cell r="D5059" t="str">
            <v>TTS50</v>
          </cell>
          <cell r="E5059">
            <v>46220</v>
          </cell>
        </row>
        <row r="5060">
          <cell r="A5060" t="str">
            <v>2626K957</v>
          </cell>
          <cell r="D5060" t="str">
            <v>STA156KA</v>
          </cell>
          <cell r="E5060">
            <v>46220</v>
          </cell>
        </row>
        <row r="5061">
          <cell r="A5061" t="str">
            <v>2627QD27</v>
          </cell>
          <cell r="D5061" t="str">
            <v>FTW121KE</v>
          </cell>
          <cell r="E5061">
            <v>46220</v>
          </cell>
        </row>
        <row r="5062">
          <cell r="A5062" t="str">
            <v>2626KX67</v>
          </cell>
          <cell r="D5062" t="str">
            <v>KBP76</v>
          </cell>
          <cell r="E5062">
            <v>46220</v>
          </cell>
        </row>
        <row r="5063">
          <cell r="A5063" t="str">
            <v>2627XS17</v>
          </cell>
          <cell r="D5063" t="str">
            <v>TTS80</v>
          </cell>
          <cell r="E5063">
            <v>46220</v>
          </cell>
        </row>
        <row r="5064">
          <cell r="A5064" t="str">
            <v>2625KI47</v>
          </cell>
          <cell r="D5064" t="str">
            <v>S706</v>
          </cell>
          <cell r="E5064">
            <v>46220</v>
          </cell>
        </row>
        <row r="5065">
          <cell r="A5065" t="str">
            <v>2626PH57</v>
          </cell>
          <cell r="D5065" t="str">
            <v>KBP126</v>
          </cell>
          <cell r="E5065">
            <v>46220</v>
          </cell>
        </row>
        <row r="5066">
          <cell r="A5066" t="str">
            <v>2627KV47</v>
          </cell>
          <cell r="D5066" t="str">
            <v>KBP76</v>
          </cell>
          <cell r="E5066">
            <v>46220</v>
          </cell>
        </row>
        <row r="5067">
          <cell r="A5067" t="str">
            <v>2627XT17</v>
          </cell>
          <cell r="D5067" t="str">
            <v>TTS80</v>
          </cell>
          <cell r="E5067">
            <v>46220</v>
          </cell>
        </row>
        <row r="5068">
          <cell r="A5068" t="str">
            <v>2626K457</v>
          </cell>
          <cell r="D5068" t="str">
            <v>STA156KA</v>
          </cell>
          <cell r="E5068">
            <v>46220</v>
          </cell>
        </row>
        <row r="5069">
          <cell r="A5069" t="str">
            <v>2627V117</v>
          </cell>
          <cell r="D5069" t="str">
            <v>S706</v>
          </cell>
          <cell r="E5069">
            <v>46220</v>
          </cell>
        </row>
        <row r="5070">
          <cell r="A5070" t="str">
            <v>2627E657</v>
          </cell>
          <cell r="D5070" t="str">
            <v>FTW121KE</v>
          </cell>
          <cell r="E5070">
            <v>46220</v>
          </cell>
        </row>
        <row r="5071">
          <cell r="A5071" t="str">
            <v>2627DW67</v>
          </cell>
          <cell r="D5071" t="str">
            <v>TTS50</v>
          </cell>
          <cell r="E5071">
            <v>46220</v>
          </cell>
        </row>
        <row r="5072">
          <cell r="A5072" t="str">
            <v>2623F817</v>
          </cell>
          <cell r="D5072" t="str">
            <v>KBP76</v>
          </cell>
          <cell r="E5072">
            <v>46220</v>
          </cell>
        </row>
        <row r="5073">
          <cell r="A5073" t="str">
            <v>2627PB17</v>
          </cell>
          <cell r="D5073" t="str">
            <v>FTW102K</v>
          </cell>
          <cell r="E5073">
            <v>46220</v>
          </cell>
        </row>
        <row r="5074">
          <cell r="A5074" t="str">
            <v>2627XG17</v>
          </cell>
          <cell r="D5074" t="str">
            <v>KBP55</v>
          </cell>
          <cell r="E5074">
            <v>46220</v>
          </cell>
        </row>
        <row r="5075">
          <cell r="A5075" t="str">
            <v>2623F427</v>
          </cell>
          <cell r="D5075" t="str">
            <v>KBP76</v>
          </cell>
          <cell r="E5075">
            <v>46220</v>
          </cell>
        </row>
        <row r="5076">
          <cell r="A5076" t="str">
            <v>2627A227</v>
          </cell>
          <cell r="D5076" t="str">
            <v>TTS80</v>
          </cell>
          <cell r="E5076">
            <v>46220</v>
          </cell>
        </row>
        <row r="5077">
          <cell r="A5077" t="str">
            <v>2627QD17</v>
          </cell>
          <cell r="D5077" t="str">
            <v>FTW121KE</v>
          </cell>
          <cell r="E5077">
            <v>46220</v>
          </cell>
        </row>
        <row r="5078">
          <cell r="A5078" t="str">
            <v>2626QD47</v>
          </cell>
          <cell r="D5078" t="str">
            <v>S706</v>
          </cell>
          <cell r="E5078">
            <v>46220</v>
          </cell>
        </row>
        <row r="5079">
          <cell r="A5079" t="str">
            <v>2627UU17</v>
          </cell>
          <cell r="D5079" t="str">
            <v>S706</v>
          </cell>
          <cell r="E5079">
            <v>46220</v>
          </cell>
        </row>
        <row r="5080">
          <cell r="A5080" t="str">
            <v>2619SC27</v>
          </cell>
          <cell r="D5080" t="str">
            <v>TTS50</v>
          </cell>
          <cell r="E5080">
            <v>46220</v>
          </cell>
        </row>
        <row r="5081">
          <cell r="A5081" t="str">
            <v>2627UX17</v>
          </cell>
          <cell r="D5081" t="str">
            <v>S706</v>
          </cell>
          <cell r="E5081">
            <v>46220</v>
          </cell>
        </row>
        <row r="5082">
          <cell r="A5082" t="str">
            <v>2626ST37</v>
          </cell>
          <cell r="D5082" t="str">
            <v>KBP74</v>
          </cell>
          <cell r="E5082">
            <v>46220</v>
          </cell>
        </row>
        <row r="5083">
          <cell r="A5083" t="str">
            <v>2625FL10</v>
          </cell>
          <cell r="D5083" t="str">
            <v>TTS125</v>
          </cell>
          <cell r="E5083">
            <v>46220</v>
          </cell>
        </row>
        <row r="5084">
          <cell r="A5084" t="str">
            <v>2622VV57</v>
          </cell>
          <cell r="D5084" t="str">
            <v>TTS50</v>
          </cell>
          <cell r="E5084">
            <v>46220</v>
          </cell>
        </row>
        <row r="5085">
          <cell r="A5085" t="str">
            <v>2627S937</v>
          </cell>
          <cell r="D5085" t="str">
            <v>S706</v>
          </cell>
          <cell r="E5085">
            <v>46220</v>
          </cell>
        </row>
        <row r="5086">
          <cell r="A5086" t="str">
            <v>2627PT37</v>
          </cell>
          <cell r="D5086" t="str">
            <v>FTW121KE</v>
          </cell>
          <cell r="E5086">
            <v>46220</v>
          </cell>
        </row>
        <row r="5087">
          <cell r="A5087" t="str">
            <v>2624CR67</v>
          </cell>
          <cell r="D5087" t="str">
            <v>KBP86</v>
          </cell>
          <cell r="E5087">
            <v>46220</v>
          </cell>
        </row>
        <row r="5088">
          <cell r="A5088" t="str">
            <v>2627WO27</v>
          </cell>
          <cell r="D5088" t="str">
            <v>KBP86</v>
          </cell>
          <cell r="E5088">
            <v>46220</v>
          </cell>
        </row>
        <row r="5089">
          <cell r="A5089" t="str">
            <v>2626Q937</v>
          </cell>
          <cell r="D5089" t="str">
            <v>S706</v>
          </cell>
          <cell r="E5089">
            <v>46220</v>
          </cell>
        </row>
        <row r="5090">
          <cell r="A5090" t="str">
            <v>2626QF57</v>
          </cell>
          <cell r="D5090" t="str">
            <v>KBP76</v>
          </cell>
          <cell r="E5090">
            <v>46220</v>
          </cell>
        </row>
        <row r="5091">
          <cell r="A5091" t="str">
            <v>2625IO17</v>
          </cell>
          <cell r="D5091" t="str">
            <v>KBP86</v>
          </cell>
          <cell r="E5091">
            <v>46220</v>
          </cell>
        </row>
        <row r="5092">
          <cell r="A5092" t="str">
            <v>2627IQ27</v>
          </cell>
          <cell r="D5092" t="str">
            <v>STA156KA</v>
          </cell>
          <cell r="E5092">
            <v>46220</v>
          </cell>
        </row>
        <row r="5093">
          <cell r="A5093" t="str">
            <v>2627OJ37</v>
          </cell>
          <cell r="D5093" t="str">
            <v>FTW102K</v>
          </cell>
          <cell r="E5093">
            <v>46220</v>
          </cell>
        </row>
        <row r="5094">
          <cell r="A5094" t="str">
            <v>2626H157</v>
          </cell>
          <cell r="D5094" t="str">
            <v>FTW121KE</v>
          </cell>
          <cell r="E5094">
            <v>46220</v>
          </cell>
        </row>
        <row r="5095">
          <cell r="A5095" t="str">
            <v>2627QE47</v>
          </cell>
          <cell r="D5095" t="str">
            <v>KBP52</v>
          </cell>
          <cell r="E5095">
            <v>46220</v>
          </cell>
        </row>
        <row r="5096">
          <cell r="A5096" t="str">
            <v>2626D667</v>
          </cell>
          <cell r="D5096" t="str">
            <v>KBP76</v>
          </cell>
          <cell r="E5096">
            <v>46220</v>
          </cell>
        </row>
        <row r="5097">
          <cell r="A5097" t="str">
            <v>2626KY47</v>
          </cell>
          <cell r="D5097" t="str">
            <v>FTW121KE</v>
          </cell>
          <cell r="E5097">
            <v>46220</v>
          </cell>
        </row>
        <row r="5098">
          <cell r="A5098" t="str">
            <v>2627FD67</v>
          </cell>
          <cell r="D5098" t="str">
            <v>FTW102K</v>
          </cell>
          <cell r="E5098">
            <v>46220</v>
          </cell>
        </row>
        <row r="5099">
          <cell r="A5099" t="str">
            <v>2627WX17</v>
          </cell>
          <cell r="D5099" t="str">
            <v>KBP52</v>
          </cell>
          <cell r="E5099">
            <v>46220</v>
          </cell>
        </row>
        <row r="5100">
          <cell r="A5100" t="str">
            <v>2626P267</v>
          </cell>
          <cell r="D5100" t="str">
            <v>TTS80</v>
          </cell>
          <cell r="E5100">
            <v>46220</v>
          </cell>
        </row>
        <row r="5101">
          <cell r="A5101" t="str">
            <v>2627U327</v>
          </cell>
          <cell r="D5101" t="str">
            <v>S706</v>
          </cell>
          <cell r="E5101">
            <v>46220</v>
          </cell>
        </row>
        <row r="5102">
          <cell r="A5102" t="str">
            <v>2627VA27</v>
          </cell>
          <cell r="D5102" t="str">
            <v>KBP76</v>
          </cell>
          <cell r="E5102">
            <v>46220</v>
          </cell>
        </row>
        <row r="5103">
          <cell r="A5103" t="str">
            <v>2626PG57</v>
          </cell>
          <cell r="D5103" t="str">
            <v>KBP126</v>
          </cell>
          <cell r="E5103">
            <v>46220</v>
          </cell>
        </row>
        <row r="5104">
          <cell r="A5104" t="str">
            <v>2626GL57</v>
          </cell>
          <cell r="D5104" t="str">
            <v>KBP76</v>
          </cell>
          <cell r="E5104">
            <v>46220</v>
          </cell>
        </row>
        <row r="5105">
          <cell r="A5105" t="str">
            <v>2627VZ27</v>
          </cell>
          <cell r="D5105" t="str">
            <v>TTS80</v>
          </cell>
          <cell r="E5105">
            <v>46220</v>
          </cell>
        </row>
        <row r="5106">
          <cell r="A5106" t="str">
            <v>2626QQ47</v>
          </cell>
          <cell r="D5106" t="str">
            <v>KBP76</v>
          </cell>
          <cell r="E5106">
            <v>46220</v>
          </cell>
        </row>
        <row r="5107">
          <cell r="A5107" t="str">
            <v>2627L557</v>
          </cell>
          <cell r="D5107" t="str">
            <v>STA156KA</v>
          </cell>
          <cell r="E5107">
            <v>46220</v>
          </cell>
        </row>
        <row r="5108">
          <cell r="A5108" t="str">
            <v>2627VJ17</v>
          </cell>
          <cell r="D5108" t="str">
            <v>S706</v>
          </cell>
          <cell r="E5108">
            <v>46220</v>
          </cell>
        </row>
        <row r="5109">
          <cell r="A5109" t="str">
            <v>2626F457</v>
          </cell>
          <cell r="D5109" t="str">
            <v>KBP86</v>
          </cell>
          <cell r="E5109">
            <v>46220</v>
          </cell>
        </row>
        <row r="5110">
          <cell r="A5110" t="str">
            <v>2611QM17</v>
          </cell>
          <cell r="D5110" t="str">
            <v>KBP76</v>
          </cell>
          <cell r="E5110">
            <v>46220</v>
          </cell>
        </row>
        <row r="5111">
          <cell r="A5111" t="str">
            <v>2627PY37</v>
          </cell>
          <cell r="D5111" t="str">
            <v>FTW121KE</v>
          </cell>
          <cell r="E5111">
            <v>46220</v>
          </cell>
        </row>
        <row r="5112">
          <cell r="A5112" t="str">
            <v>2627HI67</v>
          </cell>
          <cell r="D5112" t="str">
            <v>KBP86</v>
          </cell>
          <cell r="E5112">
            <v>46220</v>
          </cell>
        </row>
        <row r="5113">
          <cell r="A5113" t="str">
            <v>2620JX37</v>
          </cell>
          <cell r="D5113" t="str">
            <v>TTS50</v>
          </cell>
          <cell r="E5113">
            <v>46220</v>
          </cell>
        </row>
        <row r="5114">
          <cell r="A5114" t="str">
            <v>2627JV47</v>
          </cell>
          <cell r="D5114" t="str">
            <v>S706</v>
          </cell>
          <cell r="E5114">
            <v>46220</v>
          </cell>
        </row>
        <row r="5115">
          <cell r="A5115" t="str">
            <v>2627QL37</v>
          </cell>
          <cell r="D5115" t="str">
            <v>S706</v>
          </cell>
          <cell r="E5115">
            <v>46220</v>
          </cell>
        </row>
        <row r="5116">
          <cell r="A5116" t="str">
            <v>2626ON47</v>
          </cell>
          <cell r="D5116" t="str">
            <v>FTW102K</v>
          </cell>
          <cell r="E5116">
            <v>46220</v>
          </cell>
        </row>
        <row r="5117">
          <cell r="A5117" t="str">
            <v>2623CN27</v>
          </cell>
          <cell r="D5117" t="str">
            <v>KBP86</v>
          </cell>
          <cell r="E5117">
            <v>46220</v>
          </cell>
        </row>
        <row r="5118">
          <cell r="A5118" t="str">
            <v>2627JU17</v>
          </cell>
          <cell r="D5118" t="str">
            <v>KBP126</v>
          </cell>
          <cell r="E5118">
            <v>46220</v>
          </cell>
        </row>
        <row r="5119">
          <cell r="A5119" t="str">
            <v>2626SV37</v>
          </cell>
          <cell r="D5119" t="str">
            <v>KBP55</v>
          </cell>
          <cell r="E5119">
            <v>46220</v>
          </cell>
        </row>
        <row r="5120">
          <cell r="A5120" t="str">
            <v>2626K767</v>
          </cell>
          <cell r="D5120" t="str">
            <v>S706</v>
          </cell>
          <cell r="E5120">
            <v>46220</v>
          </cell>
        </row>
        <row r="5121">
          <cell r="A5121" t="str">
            <v>2627HM27</v>
          </cell>
          <cell r="D5121" t="str">
            <v>KBP126</v>
          </cell>
          <cell r="E5121">
            <v>46220</v>
          </cell>
        </row>
        <row r="5122">
          <cell r="A5122" t="str">
            <v>2624E317</v>
          </cell>
          <cell r="D5122" t="str">
            <v>TTS50</v>
          </cell>
          <cell r="E5122">
            <v>46220</v>
          </cell>
        </row>
        <row r="5123">
          <cell r="A5123" t="str">
            <v>2627VL27</v>
          </cell>
          <cell r="D5123" t="str">
            <v>KBP55</v>
          </cell>
          <cell r="E5123">
            <v>46220</v>
          </cell>
        </row>
        <row r="5124">
          <cell r="A5124" t="str">
            <v>2626P617</v>
          </cell>
          <cell r="D5124" t="str">
            <v>STA156KA</v>
          </cell>
          <cell r="E5124">
            <v>46220</v>
          </cell>
        </row>
        <row r="5125">
          <cell r="A5125" t="str">
            <v>2610ZB27</v>
          </cell>
          <cell r="D5125" t="str">
            <v>S706</v>
          </cell>
          <cell r="E5125">
            <v>46220</v>
          </cell>
        </row>
        <row r="5126">
          <cell r="A5126" t="str">
            <v>2627L837</v>
          </cell>
          <cell r="D5126" t="str">
            <v>FTP150</v>
          </cell>
          <cell r="E5126">
            <v>46220</v>
          </cell>
        </row>
        <row r="5127">
          <cell r="A5127" t="str">
            <v>2608Q127</v>
          </cell>
          <cell r="D5127" t="str">
            <v>TTS80</v>
          </cell>
          <cell r="E5127">
            <v>46220</v>
          </cell>
        </row>
        <row r="5128">
          <cell r="A5128" t="str">
            <v>2608Q327</v>
          </cell>
          <cell r="D5128" t="str">
            <v>TTS80</v>
          </cell>
          <cell r="E5128">
            <v>46220</v>
          </cell>
        </row>
        <row r="5129">
          <cell r="A5129" t="str">
            <v>2608Q527</v>
          </cell>
          <cell r="D5129" t="str">
            <v>TTS80</v>
          </cell>
          <cell r="E5129">
            <v>46220</v>
          </cell>
        </row>
        <row r="5130">
          <cell r="A5130" t="str">
            <v>2608Q427</v>
          </cell>
          <cell r="D5130" t="str">
            <v>TTS80</v>
          </cell>
          <cell r="E5130">
            <v>46220</v>
          </cell>
        </row>
        <row r="5131">
          <cell r="A5131" t="str">
            <v>2626O647</v>
          </cell>
          <cell r="D5131" t="str">
            <v>KBP86</v>
          </cell>
          <cell r="E5131">
            <v>46220</v>
          </cell>
        </row>
        <row r="5132">
          <cell r="A5132" t="str">
            <v>2627XY17</v>
          </cell>
          <cell r="D5132" t="str">
            <v>TTS80</v>
          </cell>
          <cell r="E5132">
            <v>46220</v>
          </cell>
        </row>
        <row r="5133">
          <cell r="A5133" t="str">
            <v>2623JE17</v>
          </cell>
          <cell r="D5133" t="str">
            <v>TTS50</v>
          </cell>
          <cell r="E5133">
            <v>46220</v>
          </cell>
        </row>
        <row r="5134">
          <cell r="A5134" t="str">
            <v>2626K757</v>
          </cell>
          <cell r="D5134" t="str">
            <v>STA156KA</v>
          </cell>
          <cell r="E5134">
            <v>46220</v>
          </cell>
        </row>
        <row r="5135">
          <cell r="A5135" t="str">
            <v>2620JK17</v>
          </cell>
          <cell r="D5135" t="str">
            <v>TTS50</v>
          </cell>
          <cell r="E5135">
            <v>46220</v>
          </cell>
        </row>
        <row r="5136">
          <cell r="A5136" t="str">
            <v>2626QA47</v>
          </cell>
          <cell r="D5136" t="str">
            <v>S706</v>
          </cell>
          <cell r="E5136">
            <v>46220</v>
          </cell>
        </row>
        <row r="5137">
          <cell r="A5137" t="str">
            <v>2627OO37</v>
          </cell>
          <cell r="D5137" t="str">
            <v>FTW121KE</v>
          </cell>
          <cell r="E5137">
            <v>46220</v>
          </cell>
        </row>
        <row r="5138">
          <cell r="A5138" t="str">
            <v>2627HP67</v>
          </cell>
          <cell r="D5138" t="str">
            <v>KBP52</v>
          </cell>
          <cell r="E5138">
            <v>46220</v>
          </cell>
        </row>
        <row r="5139">
          <cell r="A5139" t="str">
            <v>2626LS47</v>
          </cell>
          <cell r="D5139" t="str">
            <v>FTW121KE</v>
          </cell>
          <cell r="E5139">
            <v>46220</v>
          </cell>
        </row>
        <row r="5140">
          <cell r="A5140" t="str">
            <v>2627WQ27</v>
          </cell>
          <cell r="D5140" t="str">
            <v>KBP86</v>
          </cell>
          <cell r="E5140">
            <v>46220</v>
          </cell>
        </row>
        <row r="5141">
          <cell r="A5141" t="str">
            <v>2625KL37</v>
          </cell>
          <cell r="D5141" t="str">
            <v>S706</v>
          </cell>
          <cell r="E5141">
            <v>46220</v>
          </cell>
        </row>
        <row r="5142">
          <cell r="A5142" t="str">
            <v>2626KG27</v>
          </cell>
          <cell r="D5142" t="str">
            <v>FTW121KE</v>
          </cell>
          <cell r="E5142">
            <v>46220</v>
          </cell>
        </row>
        <row r="5143">
          <cell r="A5143" t="str">
            <v>2627X417</v>
          </cell>
          <cell r="D5143" t="str">
            <v>KBP76</v>
          </cell>
          <cell r="E5143">
            <v>46220</v>
          </cell>
        </row>
        <row r="5144">
          <cell r="A5144" t="str">
            <v>2623JA17</v>
          </cell>
          <cell r="D5144" t="str">
            <v>TTS50</v>
          </cell>
          <cell r="E5144">
            <v>46220</v>
          </cell>
        </row>
        <row r="5145">
          <cell r="A5145" t="str">
            <v>2626V357</v>
          </cell>
          <cell r="D5145" t="str">
            <v>FTW121KE</v>
          </cell>
          <cell r="E5145">
            <v>46220</v>
          </cell>
        </row>
        <row r="5146">
          <cell r="A5146" t="str">
            <v>2623KW47</v>
          </cell>
          <cell r="D5146" t="str">
            <v>KBP76</v>
          </cell>
          <cell r="E5146">
            <v>46220</v>
          </cell>
        </row>
        <row r="5147">
          <cell r="A5147" t="str">
            <v>2626LT17</v>
          </cell>
          <cell r="D5147" t="str">
            <v>S706</v>
          </cell>
          <cell r="E5147">
            <v>46220</v>
          </cell>
        </row>
        <row r="5148">
          <cell r="A5148" t="str">
            <v>2627OZ27</v>
          </cell>
          <cell r="D5148" t="str">
            <v>FTP150</v>
          </cell>
          <cell r="E5148">
            <v>46220</v>
          </cell>
        </row>
        <row r="5149">
          <cell r="A5149" t="str">
            <v>2625LW47</v>
          </cell>
          <cell r="D5149" t="str">
            <v>TTS50</v>
          </cell>
          <cell r="E5149">
            <v>46220</v>
          </cell>
        </row>
        <row r="5150">
          <cell r="A5150" t="str">
            <v>2627V717</v>
          </cell>
          <cell r="D5150" t="str">
            <v>S706</v>
          </cell>
          <cell r="E5150">
            <v>46220</v>
          </cell>
        </row>
        <row r="5151">
          <cell r="A5151" t="str">
            <v>2627VS27</v>
          </cell>
          <cell r="D5151" t="str">
            <v>TTS80</v>
          </cell>
          <cell r="E5151">
            <v>46220</v>
          </cell>
        </row>
        <row r="5152">
          <cell r="A5152" t="str">
            <v>2627OX27</v>
          </cell>
          <cell r="D5152" t="str">
            <v>FTP150</v>
          </cell>
          <cell r="E5152">
            <v>46220</v>
          </cell>
        </row>
        <row r="5153">
          <cell r="A5153" t="str">
            <v>2627VW17</v>
          </cell>
          <cell r="D5153" t="str">
            <v>KBP76</v>
          </cell>
          <cell r="E5153">
            <v>46220</v>
          </cell>
        </row>
        <row r="5154">
          <cell r="A5154" t="str">
            <v>2627U627</v>
          </cell>
          <cell r="D5154" t="str">
            <v>S706</v>
          </cell>
          <cell r="E5154">
            <v>46220</v>
          </cell>
        </row>
        <row r="5155">
          <cell r="A5155" t="str">
            <v>2626KP67</v>
          </cell>
          <cell r="D5155" t="str">
            <v>KBP76</v>
          </cell>
          <cell r="E5155">
            <v>46220</v>
          </cell>
        </row>
        <row r="5156">
          <cell r="A5156" t="str">
            <v>2627LP67</v>
          </cell>
          <cell r="D5156" t="str">
            <v>FTW102K</v>
          </cell>
          <cell r="E5156">
            <v>46220</v>
          </cell>
        </row>
        <row r="5157">
          <cell r="A5157" t="str">
            <v>2622W357</v>
          </cell>
          <cell r="D5157" t="str">
            <v>TTS50</v>
          </cell>
          <cell r="E5157">
            <v>46220</v>
          </cell>
        </row>
        <row r="5158">
          <cell r="A5158" t="str">
            <v>2627UG37</v>
          </cell>
          <cell r="D5158" t="str">
            <v>TTS80</v>
          </cell>
          <cell r="E5158">
            <v>46220</v>
          </cell>
        </row>
        <row r="5159">
          <cell r="A5159" t="str">
            <v>2627Q137</v>
          </cell>
          <cell r="D5159" t="str">
            <v>FTW121KE</v>
          </cell>
          <cell r="E5159">
            <v>46220</v>
          </cell>
        </row>
        <row r="5160">
          <cell r="A5160" t="str">
            <v>2627QQ17</v>
          </cell>
          <cell r="D5160" t="str">
            <v>FTW121KE</v>
          </cell>
          <cell r="E5160">
            <v>46220</v>
          </cell>
        </row>
        <row r="5161">
          <cell r="A5161" t="str">
            <v>2610ZD57</v>
          </cell>
          <cell r="D5161" t="str">
            <v>TTS80</v>
          </cell>
          <cell r="E5161">
            <v>46220</v>
          </cell>
        </row>
        <row r="5162">
          <cell r="A5162" t="str">
            <v>2627EL67</v>
          </cell>
          <cell r="D5162" t="str">
            <v>FTW102K</v>
          </cell>
          <cell r="E5162">
            <v>46220</v>
          </cell>
        </row>
        <row r="5163">
          <cell r="A5163" t="str">
            <v>2627QZ27</v>
          </cell>
          <cell r="D5163" t="str">
            <v>FTW121KE</v>
          </cell>
          <cell r="E5163">
            <v>46220</v>
          </cell>
        </row>
        <row r="5164">
          <cell r="A5164" t="str">
            <v>2627JT17</v>
          </cell>
          <cell r="D5164" t="str">
            <v>KBP126</v>
          </cell>
          <cell r="E5164">
            <v>46220</v>
          </cell>
        </row>
        <row r="5165">
          <cell r="A5165" t="str">
            <v>2626FM90</v>
          </cell>
          <cell r="D5165" t="str">
            <v>TTS125</v>
          </cell>
          <cell r="E5165">
            <v>46220</v>
          </cell>
        </row>
        <row r="5166">
          <cell r="A5166" t="str">
            <v>2625SY57</v>
          </cell>
          <cell r="D5166" t="str">
            <v>TTS50</v>
          </cell>
          <cell r="E5166">
            <v>46220</v>
          </cell>
        </row>
        <row r="5167">
          <cell r="A5167" t="str">
            <v>2619DU37</v>
          </cell>
          <cell r="D5167" t="str">
            <v>TTS50</v>
          </cell>
          <cell r="E5167">
            <v>46220</v>
          </cell>
        </row>
        <row r="5168">
          <cell r="A5168" t="str">
            <v>2625LZ47</v>
          </cell>
          <cell r="D5168" t="str">
            <v>TTS50</v>
          </cell>
          <cell r="E5168">
            <v>46220</v>
          </cell>
        </row>
        <row r="5169">
          <cell r="A5169" t="str">
            <v>2626O767</v>
          </cell>
          <cell r="D5169" t="str">
            <v>TTS80</v>
          </cell>
          <cell r="E5169">
            <v>46220</v>
          </cell>
        </row>
        <row r="5170">
          <cell r="A5170" t="str">
            <v>2627KU17</v>
          </cell>
          <cell r="D5170" t="str">
            <v>FTP150</v>
          </cell>
          <cell r="E5170">
            <v>46220</v>
          </cell>
        </row>
        <row r="5171">
          <cell r="A5171" t="str">
            <v>2626VE57</v>
          </cell>
          <cell r="D5171" t="str">
            <v>FTW121KE</v>
          </cell>
          <cell r="E5171">
            <v>46220</v>
          </cell>
        </row>
        <row r="5172">
          <cell r="A5172" t="str">
            <v>2627OW27</v>
          </cell>
          <cell r="D5172" t="str">
            <v>FTP150</v>
          </cell>
          <cell r="E5172">
            <v>46220</v>
          </cell>
        </row>
        <row r="5173">
          <cell r="A5173" t="str">
            <v>2626JA57</v>
          </cell>
          <cell r="D5173" t="str">
            <v>S706</v>
          </cell>
          <cell r="E5173">
            <v>46220</v>
          </cell>
        </row>
        <row r="5174">
          <cell r="A5174" t="str">
            <v>2627S927</v>
          </cell>
          <cell r="D5174" t="str">
            <v>FTW121KE</v>
          </cell>
          <cell r="E5174">
            <v>46220</v>
          </cell>
        </row>
        <row r="5175">
          <cell r="A5175" t="str">
            <v>2627KB47</v>
          </cell>
          <cell r="D5175" t="str">
            <v>S706</v>
          </cell>
          <cell r="E5175">
            <v>46220</v>
          </cell>
        </row>
        <row r="5176">
          <cell r="A5176" t="str">
            <v>2627A827</v>
          </cell>
          <cell r="D5176" t="str">
            <v>TTS80</v>
          </cell>
          <cell r="E5176">
            <v>46220</v>
          </cell>
        </row>
        <row r="5177">
          <cell r="A5177" t="str">
            <v>2627XV17</v>
          </cell>
          <cell r="D5177" t="str">
            <v>TTS80</v>
          </cell>
          <cell r="E5177">
            <v>46220</v>
          </cell>
        </row>
        <row r="5178">
          <cell r="A5178" t="str">
            <v>2627PJ17</v>
          </cell>
          <cell r="D5178" t="str">
            <v>FTW121KE</v>
          </cell>
          <cell r="E5178">
            <v>46220</v>
          </cell>
        </row>
        <row r="5179">
          <cell r="A5179" t="str">
            <v>2626OO67</v>
          </cell>
          <cell r="D5179" t="str">
            <v>TTS80</v>
          </cell>
          <cell r="E5179">
            <v>46220</v>
          </cell>
        </row>
        <row r="5180">
          <cell r="A5180" t="str">
            <v>2627QU17</v>
          </cell>
          <cell r="D5180" t="str">
            <v>FTW121KE</v>
          </cell>
          <cell r="E5180">
            <v>46220</v>
          </cell>
        </row>
        <row r="5181">
          <cell r="A5181" t="str">
            <v>2626LO37</v>
          </cell>
          <cell r="D5181" t="str">
            <v>KBP86</v>
          </cell>
          <cell r="E5181">
            <v>46220</v>
          </cell>
        </row>
        <row r="5182">
          <cell r="A5182" t="str">
            <v>2627Q447</v>
          </cell>
          <cell r="D5182" t="str">
            <v>KBP126</v>
          </cell>
          <cell r="E5182">
            <v>46220</v>
          </cell>
        </row>
        <row r="5183">
          <cell r="A5183" t="str">
            <v>2627W527</v>
          </cell>
          <cell r="D5183" t="str">
            <v>TTS80</v>
          </cell>
          <cell r="E5183">
            <v>46220</v>
          </cell>
        </row>
        <row r="5184">
          <cell r="A5184" t="str">
            <v>2627AL67</v>
          </cell>
          <cell r="D5184" t="str">
            <v>TTS50</v>
          </cell>
          <cell r="E5184">
            <v>46220</v>
          </cell>
        </row>
        <row r="5185">
          <cell r="A5185" t="str">
            <v>2612GV37</v>
          </cell>
          <cell r="D5185" t="str">
            <v>KBP76</v>
          </cell>
          <cell r="E5185">
            <v>46220</v>
          </cell>
        </row>
        <row r="5186">
          <cell r="A5186" t="str">
            <v>2619SG27</v>
          </cell>
          <cell r="D5186" t="str">
            <v>TTS50</v>
          </cell>
          <cell r="E5186">
            <v>46220</v>
          </cell>
        </row>
        <row r="5187">
          <cell r="A5187" t="str">
            <v>2627VG27</v>
          </cell>
          <cell r="D5187" t="str">
            <v>KBP76</v>
          </cell>
          <cell r="E5187">
            <v>46220</v>
          </cell>
        </row>
        <row r="5188">
          <cell r="A5188" t="str">
            <v>2626HD57</v>
          </cell>
          <cell r="D5188" t="str">
            <v>FTW121KE</v>
          </cell>
          <cell r="E5188">
            <v>46220</v>
          </cell>
        </row>
        <row r="5189">
          <cell r="A5189" t="str">
            <v>2626SP37</v>
          </cell>
          <cell r="D5189" t="str">
            <v>STA156KA</v>
          </cell>
          <cell r="E5189">
            <v>46220</v>
          </cell>
        </row>
        <row r="5190">
          <cell r="A5190" t="str">
            <v>2627VX27</v>
          </cell>
          <cell r="D5190" t="str">
            <v>TTS80</v>
          </cell>
          <cell r="E5190">
            <v>46220</v>
          </cell>
        </row>
        <row r="5191">
          <cell r="A5191" t="str">
            <v>2623DR27</v>
          </cell>
          <cell r="D5191" t="str">
            <v>TTS50</v>
          </cell>
          <cell r="E5191">
            <v>46220</v>
          </cell>
        </row>
        <row r="5192">
          <cell r="A5192" t="str">
            <v>2627PL37</v>
          </cell>
          <cell r="D5192" t="str">
            <v>FTW121KE</v>
          </cell>
          <cell r="E5192">
            <v>46220</v>
          </cell>
        </row>
        <row r="5193">
          <cell r="A5193" t="str">
            <v>2627P517</v>
          </cell>
          <cell r="D5193" t="str">
            <v>FTW700</v>
          </cell>
          <cell r="E5193">
            <v>46220</v>
          </cell>
        </row>
        <row r="5194">
          <cell r="A5194" t="str">
            <v>2627PI37</v>
          </cell>
          <cell r="D5194" t="str">
            <v>FTW121KE</v>
          </cell>
          <cell r="E5194">
            <v>46220</v>
          </cell>
        </row>
        <row r="5195">
          <cell r="A5195" t="str">
            <v>2627LN67</v>
          </cell>
          <cell r="D5195" t="str">
            <v>FTW102K</v>
          </cell>
          <cell r="E5195">
            <v>46220</v>
          </cell>
        </row>
        <row r="5196">
          <cell r="A5196" t="str">
            <v>2627LR67</v>
          </cell>
          <cell r="D5196" t="str">
            <v>FTW102K</v>
          </cell>
          <cell r="E5196">
            <v>46220</v>
          </cell>
        </row>
        <row r="5197">
          <cell r="A5197" t="str">
            <v>2620IX17</v>
          </cell>
          <cell r="D5197" t="str">
            <v>TTS50</v>
          </cell>
          <cell r="E5197">
            <v>46220</v>
          </cell>
        </row>
        <row r="5198">
          <cell r="A5198" t="str">
            <v>2625FL90</v>
          </cell>
          <cell r="D5198" t="str">
            <v>TTS125</v>
          </cell>
          <cell r="E5198">
            <v>46220</v>
          </cell>
        </row>
        <row r="5199">
          <cell r="A5199" t="str">
            <v>2627S727</v>
          </cell>
          <cell r="D5199" t="str">
            <v>FTW121KE</v>
          </cell>
          <cell r="E5199">
            <v>46220</v>
          </cell>
        </row>
        <row r="5200">
          <cell r="A5200" t="str">
            <v>2627D147</v>
          </cell>
          <cell r="D5200" t="str">
            <v>KBP126</v>
          </cell>
          <cell r="E5200">
            <v>46220</v>
          </cell>
        </row>
        <row r="5201">
          <cell r="A5201" t="str">
            <v>2627Q127</v>
          </cell>
          <cell r="D5201" t="str">
            <v>FTW700</v>
          </cell>
          <cell r="E5201">
            <v>46220</v>
          </cell>
        </row>
        <row r="5202">
          <cell r="A5202" t="str">
            <v>2627K527</v>
          </cell>
          <cell r="D5202" t="str">
            <v>KBP126</v>
          </cell>
          <cell r="E5202">
            <v>46220</v>
          </cell>
        </row>
        <row r="5203">
          <cell r="A5203" t="str">
            <v>2627QF27</v>
          </cell>
          <cell r="D5203" t="str">
            <v>FTW121KE</v>
          </cell>
          <cell r="E5203">
            <v>46220</v>
          </cell>
        </row>
        <row r="5204">
          <cell r="A5204" t="str">
            <v>2622KR47</v>
          </cell>
          <cell r="D5204" t="str">
            <v>KBP76</v>
          </cell>
          <cell r="E5204">
            <v>46220</v>
          </cell>
        </row>
        <row r="5205">
          <cell r="A5205" t="str">
            <v>2625FL50</v>
          </cell>
          <cell r="D5205" t="str">
            <v>TTS125</v>
          </cell>
          <cell r="E5205">
            <v>46220</v>
          </cell>
        </row>
        <row r="5206">
          <cell r="A5206" t="str">
            <v>2619EH40</v>
          </cell>
          <cell r="D5206" t="str">
            <v>TTS125</v>
          </cell>
          <cell r="E5206">
            <v>46220</v>
          </cell>
        </row>
        <row r="5207">
          <cell r="A5207" t="str">
            <v>2624H727</v>
          </cell>
          <cell r="D5207" t="str">
            <v>KBP86</v>
          </cell>
          <cell r="E5207">
            <v>46220</v>
          </cell>
        </row>
        <row r="5208">
          <cell r="A5208" t="str">
            <v>2625O347</v>
          </cell>
          <cell r="D5208" t="str">
            <v>TTS50</v>
          </cell>
          <cell r="E5208">
            <v>46220</v>
          </cell>
        </row>
        <row r="5209">
          <cell r="A5209" t="str">
            <v>2626QF47</v>
          </cell>
          <cell r="D5209" t="str">
            <v>S706</v>
          </cell>
          <cell r="E5209">
            <v>46220</v>
          </cell>
        </row>
        <row r="5210">
          <cell r="A5210" t="str">
            <v>2626JV17</v>
          </cell>
          <cell r="D5210" t="str">
            <v>FTW121KE</v>
          </cell>
          <cell r="E5210">
            <v>46220</v>
          </cell>
        </row>
        <row r="5211">
          <cell r="A5211" t="str">
            <v>2622W157</v>
          </cell>
          <cell r="D5211" t="str">
            <v>TTS50</v>
          </cell>
          <cell r="E5211">
            <v>46220</v>
          </cell>
        </row>
        <row r="5212">
          <cell r="A5212" t="str">
            <v>2623JH47</v>
          </cell>
          <cell r="D5212" t="str">
            <v>TTS50</v>
          </cell>
          <cell r="E5212">
            <v>46220</v>
          </cell>
        </row>
        <row r="5213">
          <cell r="A5213" t="str">
            <v>2626XG57</v>
          </cell>
          <cell r="D5213" t="str">
            <v>HV80</v>
          </cell>
          <cell r="E5213">
            <v>46219</v>
          </cell>
        </row>
        <row r="5214">
          <cell r="A5214" t="str">
            <v>2626XK57</v>
          </cell>
          <cell r="D5214" t="str">
            <v>HV80</v>
          </cell>
          <cell r="E5214">
            <v>46219</v>
          </cell>
        </row>
        <row r="5215">
          <cell r="A5215" t="str">
            <v>2626XL57</v>
          </cell>
          <cell r="D5215" t="str">
            <v>HV80</v>
          </cell>
          <cell r="E5215">
            <v>46219</v>
          </cell>
        </row>
        <row r="5216">
          <cell r="A5216" t="str">
            <v>2626Q337</v>
          </cell>
          <cell r="D5216" t="str">
            <v>S706</v>
          </cell>
          <cell r="E5216">
            <v>46219</v>
          </cell>
        </row>
        <row r="5217">
          <cell r="A5217" t="str">
            <v>2626XQ57</v>
          </cell>
          <cell r="D5217" t="str">
            <v>HV80</v>
          </cell>
          <cell r="E5217">
            <v>46219</v>
          </cell>
        </row>
        <row r="5218">
          <cell r="A5218" t="str">
            <v>2627SQ67</v>
          </cell>
          <cell r="D5218" t="str">
            <v>TTS80</v>
          </cell>
          <cell r="E5218">
            <v>46219</v>
          </cell>
        </row>
        <row r="5219">
          <cell r="A5219" t="str">
            <v>2626XP57</v>
          </cell>
          <cell r="D5219" t="str">
            <v>HV80</v>
          </cell>
          <cell r="E5219">
            <v>46219</v>
          </cell>
        </row>
        <row r="5220">
          <cell r="A5220" t="str">
            <v>2626K427</v>
          </cell>
          <cell r="D5220" t="str">
            <v>FTW700</v>
          </cell>
          <cell r="E5220">
            <v>46219</v>
          </cell>
        </row>
        <row r="5221">
          <cell r="A5221" t="str">
            <v>2626XQ57</v>
          </cell>
          <cell r="D5221" t="str">
            <v>HV80</v>
          </cell>
          <cell r="E5221">
            <v>46219</v>
          </cell>
        </row>
        <row r="5222">
          <cell r="A5222" t="str">
            <v>2626XN57</v>
          </cell>
          <cell r="D5222" t="str">
            <v>HV80</v>
          </cell>
          <cell r="E5222">
            <v>46219</v>
          </cell>
        </row>
        <row r="5223">
          <cell r="A5223" t="str">
            <v>2624ZV57</v>
          </cell>
          <cell r="D5223" t="str">
            <v>TTS80</v>
          </cell>
          <cell r="E5223">
            <v>46219</v>
          </cell>
        </row>
        <row r="5224">
          <cell r="A5224" t="str">
            <v>2619JH57</v>
          </cell>
          <cell r="D5224" t="str">
            <v>TTS50</v>
          </cell>
          <cell r="E5224">
            <v>46219</v>
          </cell>
        </row>
        <row r="5225">
          <cell r="A5225" t="str">
            <v>2626XL57</v>
          </cell>
          <cell r="D5225" t="str">
            <v>HV80</v>
          </cell>
          <cell r="E5225">
            <v>46219</v>
          </cell>
        </row>
        <row r="5226">
          <cell r="A5226" t="str">
            <v>2626UA37</v>
          </cell>
          <cell r="D5226" t="str">
            <v>KBP55</v>
          </cell>
          <cell r="E5226">
            <v>46219</v>
          </cell>
        </row>
        <row r="5227">
          <cell r="A5227" t="str">
            <v>2624ZV57</v>
          </cell>
          <cell r="D5227" t="str">
            <v>TTS80</v>
          </cell>
          <cell r="E5227">
            <v>46219</v>
          </cell>
        </row>
        <row r="5228">
          <cell r="A5228" t="str">
            <v>2627PO17</v>
          </cell>
          <cell r="D5228" t="str">
            <v>FTW121KE</v>
          </cell>
          <cell r="E5228">
            <v>46219</v>
          </cell>
        </row>
        <row r="5229">
          <cell r="A5229" t="str">
            <v>2627HN67</v>
          </cell>
          <cell r="D5229" t="str">
            <v>KBP86</v>
          </cell>
          <cell r="E5229">
            <v>46219</v>
          </cell>
        </row>
        <row r="5230">
          <cell r="A5230" t="str">
            <v>2619IK17</v>
          </cell>
          <cell r="D5230" t="str">
            <v>TTS50</v>
          </cell>
          <cell r="E5230">
            <v>46219</v>
          </cell>
        </row>
        <row r="5231">
          <cell r="A5231" t="str">
            <v>2624Y357</v>
          </cell>
          <cell r="D5231" t="str">
            <v>TTS80</v>
          </cell>
          <cell r="E5231">
            <v>46219</v>
          </cell>
        </row>
        <row r="5232">
          <cell r="A5232" t="str">
            <v>2624GM47</v>
          </cell>
          <cell r="D5232" t="str">
            <v>KBP86</v>
          </cell>
          <cell r="E5232">
            <v>46219</v>
          </cell>
        </row>
        <row r="5233">
          <cell r="A5233" t="str">
            <v>2627AI27</v>
          </cell>
          <cell r="D5233" t="str">
            <v>S805</v>
          </cell>
          <cell r="E5233">
            <v>46219</v>
          </cell>
        </row>
        <row r="5234">
          <cell r="A5234" t="str">
            <v>2626FI57</v>
          </cell>
          <cell r="D5234" t="str">
            <v>FTP150</v>
          </cell>
          <cell r="E5234">
            <v>46219</v>
          </cell>
        </row>
        <row r="5235">
          <cell r="A5235" t="str">
            <v>2627UE27</v>
          </cell>
          <cell r="D5235" t="str">
            <v>S706</v>
          </cell>
          <cell r="E5235">
            <v>46219</v>
          </cell>
        </row>
        <row r="5236">
          <cell r="A5236" t="str">
            <v>2626UU57</v>
          </cell>
          <cell r="D5236" t="str">
            <v>FTW121KE</v>
          </cell>
          <cell r="E5236">
            <v>46219</v>
          </cell>
        </row>
        <row r="5237">
          <cell r="A5237" t="str">
            <v>2627QU37</v>
          </cell>
          <cell r="D5237" t="str">
            <v>S706</v>
          </cell>
          <cell r="E5237">
            <v>46219</v>
          </cell>
        </row>
        <row r="5238">
          <cell r="A5238" t="str">
            <v>2627X317</v>
          </cell>
          <cell r="D5238" t="str">
            <v>KBP76</v>
          </cell>
          <cell r="E5238">
            <v>46219</v>
          </cell>
        </row>
        <row r="5239">
          <cell r="A5239" t="str">
            <v>2623JX67</v>
          </cell>
          <cell r="D5239" t="str">
            <v>KBP76</v>
          </cell>
          <cell r="E5239">
            <v>46219</v>
          </cell>
        </row>
        <row r="5240">
          <cell r="A5240" t="str">
            <v>2623GC67</v>
          </cell>
          <cell r="D5240" t="str">
            <v>KBP86</v>
          </cell>
          <cell r="E5240">
            <v>46219</v>
          </cell>
        </row>
        <row r="5241">
          <cell r="A5241" t="str">
            <v>2625U957</v>
          </cell>
          <cell r="D5241" t="str">
            <v>TTS50</v>
          </cell>
          <cell r="E5241">
            <v>46219</v>
          </cell>
        </row>
        <row r="5242">
          <cell r="A5242" t="str">
            <v>2620JC27</v>
          </cell>
          <cell r="D5242" t="str">
            <v>TTS50</v>
          </cell>
          <cell r="E5242">
            <v>46219</v>
          </cell>
        </row>
        <row r="5243">
          <cell r="A5243" t="str">
            <v>2627K427</v>
          </cell>
          <cell r="D5243" t="str">
            <v>STA156KA</v>
          </cell>
          <cell r="E5243">
            <v>46219</v>
          </cell>
        </row>
        <row r="5244">
          <cell r="A5244" t="str">
            <v>2626XH57</v>
          </cell>
          <cell r="D5244" t="str">
            <v>HV80</v>
          </cell>
          <cell r="E5244">
            <v>46219</v>
          </cell>
        </row>
        <row r="5245">
          <cell r="A5245" t="str">
            <v>2626XI57</v>
          </cell>
          <cell r="D5245" t="str">
            <v>HV80</v>
          </cell>
          <cell r="E5245">
            <v>46219</v>
          </cell>
        </row>
        <row r="5246">
          <cell r="A5246" t="str">
            <v>2626XJ57</v>
          </cell>
          <cell r="D5246" t="str">
            <v>HV80</v>
          </cell>
          <cell r="E5246">
            <v>46219</v>
          </cell>
        </row>
        <row r="5247">
          <cell r="A5247" t="str">
            <v>2626XK57</v>
          </cell>
          <cell r="D5247" t="str">
            <v>HV80</v>
          </cell>
          <cell r="E5247">
            <v>46219</v>
          </cell>
        </row>
        <row r="5248">
          <cell r="A5248" t="str">
            <v>2626XO57</v>
          </cell>
          <cell r="D5248" t="str">
            <v>HV80</v>
          </cell>
          <cell r="E5248">
            <v>46219</v>
          </cell>
        </row>
        <row r="5249">
          <cell r="A5249" t="str">
            <v>2626XJ57</v>
          </cell>
          <cell r="D5249" t="str">
            <v>HV80</v>
          </cell>
          <cell r="E5249">
            <v>46219</v>
          </cell>
        </row>
        <row r="5250">
          <cell r="A5250" t="str">
            <v>2627X427</v>
          </cell>
          <cell r="D5250" t="str">
            <v>FTW121KE</v>
          </cell>
          <cell r="E5250">
            <v>46219</v>
          </cell>
        </row>
        <row r="5251">
          <cell r="A5251" t="str">
            <v>2627QV27</v>
          </cell>
          <cell r="D5251" t="str">
            <v>FTW121KE</v>
          </cell>
          <cell r="E5251">
            <v>46219</v>
          </cell>
        </row>
        <row r="5252">
          <cell r="A5252" t="str">
            <v>2627PO67</v>
          </cell>
          <cell r="D5252" t="str">
            <v>STA156KA</v>
          </cell>
          <cell r="E5252">
            <v>46219</v>
          </cell>
        </row>
        <row r="5253">
          <cell r="A5253" t="str">
            <v>2625P527</v>
          </cell>
          <cell r="D5253" t="str">
            <v>KBP86</v>
          </cell>
          <cell r="E5253">
            <v>46219</v>
          </cell>
        </row>
        <row r="5254">
          <cell r="A5254" t="str">
            <v>2627OY27</v>
          </cell>
          <cell r="D5254" t="str">
            <v>FTP150</v>
          </cell>
          <cell r="E5254">
            <v>46219</v>
          </cell>
        </row>
        <row r="5255">
          <cell r="A5255" t="str">
            <v>2627VV17</v>
          </cell>
          <cell r="D5255" t="str">
            <v>KBP76</v>
          </cell>
          <cell r="E5255">
            <v>46219</v>
          </cell>
        </row>
        <row r="5256">
          <cell r="A5256" t="str">
            <v>2626PH67</v>
          </cell>
          <cell r="D5256" t="str">
            <v>TTS80</v>
          </cell>
          <cell r="E5256">
            <v>46219</v>
          </cell>
        </row>
        <row r="5257">
          <cell r="A5257" t="str">
            <v>2609Q557</v>
          </cell>
          <cell r="D5257" t="str">
            <v>KBP76</v>
          </cell>
          <cell r="E5257">
            <v>46219</v>
          </cell>
        </row>
        <row r="5258">
          <cell r="A5258" t="str">
            <v>2623HY47</v>
          </cell>
          <cell r="D5258" t="str">
            <v>KBP86</v>
          </cell>
          <cell r="E5258">
            <v>46219</v>
          </cell>
        </row>
        <row r="5259">
          <cell r="A5259" t="str">
            <v>2626KO37</v>
          </cell>
          <cell r="D5259" t="str">
            <v>KBP126</v>
          </cell>
          <cell r="E5259">
            <v>46219</v>
          </cell>
        </row>
        <row r="5260">
          <cell r="A5260" t="str">
            <v>2627U517</v>
          </cell>
          <cell r="D5260" t="str">
            <v>S15HV100</v>
          </cell>
          <cell r="E5260">
            <v>46219</v>
          </cell>
        </row>
        <row r="5261">
          <cell r="A5261" t="str">
            <v>2627EH57</v>
          </cell>
          <cell r="D5261" t="str">
            <v>FTP200</v>
          </cell>
          <cell r="E5261">
            <v>46219</v>
          </cell>
        </row>
        <row r="5262">
          <cell r="A5262" t="str">
            <v>2627K417</v>
          </cell>
          <cell r="D5262" t="str">
            <v>STA156KA</v>
          </cell>
          <cell r="E5262">
            <v>46219</v>
          </cell>
        </row>
        <row r="5263">
          <cell r="A5263" t="str">
            <v>2623I217</v>
          </cell>
          <cell r="D5263" t="str">
            <v>KBP86</v>
          </cell>
          <cell r="E5263">
            <v>46219</v>
          </cell>
        </row>
        <row r="5264">
          <cell r="A5264" t="str">
            <v>2627JX47</v>
          </cell>
          <cell r="D5264" t="str">
            <v>S706</v>
          </cell>
          <cell r="E5264">
            <v>46219</v>
          </cell>
        </row>
        <row r="5265">
          <cell r="A5265" t="str">
            <v>2627U237</v>
          </cell>
          <cell r="D5265" t="str">
            <v>KBP76</v>
          </cell>
          <cell r="E5265">
            <v>46219</v>
          </cell>
        </row>
        <row r="5266">
          <cell r="A5266" t="str">
            <v>2626OH67</v>
          </cell>
          <cell r="D5266" t="str">
            <v>TTS80</v>
          </cell>
          <cell r="E5266">
            <v>46219</v>
          </cell>
        </row>
        <row r="5267">
          <cell r="A5267" t="str">
            <v>2627UW17</v>
          </cell>
          <cell r="D5267" t="str">
            <v>S706</v>
          </cell>
          <cell r="E5267">
            <v>46219</v>
          </cell>
        </row>
        <row r="5268">
          <cell r="A5268" t="str">
            <v>2626S727</v>
          </cell>
          <cell r="D5268" t="str">
            <v>TTS80</v>
          </cell>
          <cell r="E5268">
            <v>46219</v>
          </cell>
        </row>
        <row r="5269">
          <cell r="A5269" t="str">
            <v>2627VL17</v>
          </cell>
          <cell r="D5269" t="str">
            <v>S706</v>
          </cell>
          <cell r="E5269">
            <v>46219</v>
          </cell>
        </row>
        <row r="5270">
          <cell r="A5270" t="str">
            <v>2626LT67</v>
          </cell>
          <cell r="D5270" t="str">
            <v>KBP55</v>
          </cell>
          <cell r="E5270">
            <v>46219</v>
          </cell>
        </row>
        <row r="5271">
          <cell r="A5271" t="str">
            <v>2626P917</v>
          </cell>
          <cell r="D5271" t="str">
            <v>KBP74</v>
          </cell>
          <cell r="E5271">
            <v>46219</v>
          </cell>
        </row>
        <row r="5272">
          <cell r="A5272" t="str">
            <v>2627PF17</v>
          </cell>
          <cell r="D5272" t="str">
            <v>FTW121KE</v>
          </cell>
          <cell r="E5272">
            <v>46219</v>
          </cell>
        </row>
        <row r="5273">
          <cell r="A5273" t="str">
            <v>2625ET67</v>
          </cell>
          <cell r="D5273" t="str">
            <v>KBP74</v>
          </cell>
          <cell r="E5273">
            <v>46219</v>
          </cell>
        </row>
        <row r="5274">
          <cell r="A5274" t="str">
            <v>2623Q437</v>
          </cell>
          <cell r="D5274" t="str">
            <v>KBP76</v>
          </cell>
          <cell r="E5274">
            <v>46219</v>
          </cell>
        </row>
        <row r="5275">
          <cell r="A5275" t="str">
            <v>2627PJ37</v>
          </cell>
          <cell r="D5275" t="str">
            <v>FTW121KE</v>
          </cell>
          <cell r="E5275">
            <v>46219</v>
          </cell>
        </row>
        <row r="5276">
          <cell r="A5276" t="str">
            <v>2626OY67</v>
          </cell>
          <cell r="D5276" t="str">
            <v>TTS80</v>
          </cell>
          <cell r="E5276">
            <v>46219</v>
          </cell>
        </row>
        <row r="5277">
          <cell r="A5277" t="str">
            <v>2627QM17</v>
          </cell>
          <cell r="D5277" t="str">
            <v>FTW121KE</v>
          </cell>
          <cell r="E5277">
            <v>46219</v>
          </cell>
        </row>
        <row r="5278">
          <cell r="A5278" t="str">
            <v>2627QO17</v>
          </cell>
          <cell r="D5278" t="str">
            <v>FTW121KE</v>
          </cell>
          <cell r="E5278">
            <v>46219</v>
          </cell>
        </row>
        <row r="5279">
          <cell r="A5279" t="str">
            <v>2627QU37</v>
          </cell>
          <cell r="D5279" t="str">
            <v>S706</v>
          </cell>
          <cell r="E5279">
            <v>46219</v>
          </cell>
        </row>
        <row r="5280">
          <cell r="A5280" t="str">
            <v>2627A527</v>
          </cell>
          <cell r="D5280" t="str">
            <v>TTS80</v>
          </cell>
          <cell r="E5280">
            <v>46219</v>
          </cell>
        </row>
        <row r="5281">
          <cell r="A5281" t="str">
            <v>2626KR67</v>
          </cell>
          <cell r="D5281" t="str">
            <v>KBP76</v>
          </cell>
          <cell r="E5281">
            <v>46219</v>
          </cell>
        </row>
        <row r="5282">
          <cell r="A5282" t="str">
            <v>2627HD47</v>
          </cell>
          <cell r="D5282" t="str">
            <v>FTW121KE</v>
          </cell>
          <cell r="E5282">
            <v>46219</v>
          </cell>
        </row>
        <row r="5283">
          <cell r="A5283" t="str">
            <v>2627XR17</v>
          </cell>
          <cell r="D5283" t="str">
            <v>TTS80</v>
          </cell>
          <cell r="E5283">
            <v>46219</v>
          </cell>
        </row>
        <row r="5284">
          <cell r="A5284" t="str">
            <v>2625LY67</v>
          </cell>
          <cell r="D5284" t="str">
            <v>KBP76</v>
          </cell>
          <cell r="E5284">
            <v>46219</v>
          </cell>
        </row>
        <row r="5285">
          <cell r="A5285" t="str">
            <v>2627SS67</v>
          </cell>
          <cell r="D5285" t="str">
            <v>TTS80</v>
          </cell>
          <cell r="E5285">
            <v>46219</v>
          </cell>
        </row>
        <row r="5286">
          <cell r="A5286" t="str">
            <v>2627VP17</v>
          </cell>
          <cell r="D5286" t="str">
            <v>KBP76</v>
          </cell>
          <cell r="E5286">
            <v>46219</v>
          </cell>
        </row>
        <row r="5287">
          <cell r="A5287" t="str">
            <v>2627D247</v>
          </cell>
          <cell r="D5287" t="str">
            <v>KBP76</v>
          </cell>
          <cell r="E5287">
            <v>46219</v>
          </cell>
        </row>
        <row r="5288">
          <cell r="A5288" t="str">
            <v>2627S127</v>
          </cell>
          <cell r="D5288" t="str">
            <v>FTW121KE</v>
          </cell>
          <cell r="E5288">
            <v>46219</v>
          </cell>
        </row>
        <row r="5289">
          <cell r="A5289" t="str">
            <v>2620JE27</v>
          </cell>
          <cell r="D5289" t="str">
            <v>TTS50</v>
          </cell>
          <cell r="E5289">
            <v>46219</v>
          </cell>
        </row>
        <row r="5290">
          <cell r="A5290" t="str">
            <v>2627I427</v>
          </cell>
          <cell r="D5290" t="str">
            <v>S15MB</v>
          </cell>
          <cell r="E5290">
            <v>46219</v>
          </cell>
        </row>
        <row r="5291">
          <cell r="A5291" t="str">
            <v>2627VX17</v>
          </cell>
          <cell r="D5291" t="str">
            <v>KBP76</v>
          </cell>
          <cell r="E5291">
            <v>46219</v>
          </cell>
        </row>
        <row r="5292">
          <cell r="A5292" t="str">
            <v>2626GM57</v>
          </cell>
          <cell r="D5292" t="str">
            <v>KBP76</v>
          </cell>
          <cell r="E5292">
            <v>46219</v>
          </cell>
        </row>
        <row r="5293">
          <cell r="A5293" t="str">
            <v>2626GK57</v>
          </cell>
          <cell r="D5293" t="str">
            <v>KBP76</v>
          </cell>
          <cell r="E5293">
            <v>46219</v>
          </cell>
        </row>
        <row r="5294">
          <cell r="A5294" t="str">
            <v>2624CQ17</v>
          </cell>
          <cell r="D5294" t="str">
            <v>KBP86</v>
          </cell>
          <cell r="E5294">
            <v>46219</v>
          </cell>
        </row>
        <row r="5295">
          <cell r="A5295" t="str">
            <v>2627QU27</v>
          </cell>
          <cell r="D5295" t="str">
            <v>FTW121KE</v>
          </cell>
          <cell r="E5295">
            <v>46219</v>
          </cell>
        </row>
        <row r="5296">
          <cell r="A5296" t="str">
            <v>2627UO27</v>
          </cell>
          <cell r="D5296" t="str">
            <v>S706</v>
          </cell>
          <cell r="E5296">
            <v>46219</v>
          </cell>
        </row>
        <row r="5297">
          <cell r="A5297" t="str">
            <v>2618HE57</v>
          </cell>
          <cell r="D5297" t="str">
            <v>TTS50</v>
          </cell>
          <cell r="E5297">
            <v>46219</v>
          </cell>
        </row>
        <row r="5298">
          <cell r="A5298" t="str">
            <v>2623J837</v>
          </cell>
          <cell r="D5298" t="str">
            <v>TTS50</v>
          </cell>
          <cell r="E5298">
            <v>46219</v>
          </cell>
        </row>
        <row r="5299">
          <cell r="A5299" t="str">
            <v>2627PC17</v>
          </cell>
          <cell r="D5299" t="str">
            <v>FTW121KE</v>
          </cell>
          <cell r="E5299">
            <v>46219</v>
          </cell>
        </row>
        <row r="5300">
          <cell r="A5300" t="str">
            <v>2626O467</v>
          </cell>
          <cell r="D5300" t="str">
            <v>TTS80</v>
          </cell>
          <cell r="E5300">
            <v>46219</v>
          </cell>
        </row>
        <row r="5301">
          <cell r="A5301" t="str">
            <v>2626US57</v>
          </cell>
          <cell r="D5301" t="str">
            <v>FTW121KE</v>
          </cell>
          <cell r="E5301">
            <v>46219</v>
          </cell>
        </row>
        <row r="5302">
          <cell r="A5302" t="str">
            <v>2627QQ27</v>
          </cell>
          <cell r="D5302" t="str">
            <v>FTW121KE</v>
          </cell>
          <cell r="E5302">
            <v>46219</v>
          </cell>
        </row>
        <row r="5303">
          <cell r="A5303" t="str">
            <v>2627VC17</v>
          </cell>
          <cell r="D5303" t="str">
            <v>S706</v>
          </cell>
          <cell r="E5303">
            <v>46219</v>
          </cell>
        </row>
        <row r="5304">
          <cell r="A5304" t="str">
            <v>2626GN57</v>
          </cell>
          <cell r="D5304" t="str">
            <v>KBP76</v>
          </cell>
          <cell r="E5304">
            <v>46219</v>
          </cell>
        </row>
        <row r="5305">
          <cell r="A5305" t="str">
            <v>2627WA27</v>
          </cell>
          <cell r="D5305" t="str">
            <v>TTS80</v>
          </cell>
          <cell r="E5305">
            <v>46219</v>
          </cell>
        </row>
        <row r="5306">
          <cell r="A5306" t="str">
            <v>2620BE47</v>
          </cell>
          <cell r="D5306" t="str">
            <v>TTS50</v>
          </cell>
          <cell r="E5306">
            <v>46219</v>
          </cell>
        </row>
        <row r="5307">
          <cell r="A5307" t="str">
            <v>2627S827</v>
          </cell>
          <cell r="D5307" t="str">
            <v>FTW121KE</v>
          </cell>
          <cell r="E5307">
            <v>46219</v>
          </cell>
        </row>
        <row r="5308">
          <cell r="A5308" t="str">
            <v>2627K117</v>
          </cell>
          <cell r="D5308" t="str">
            <v>S15MB</v>
          </cell>
          <cell r="E5308">
            <v>46219</v>
          </cell>
        </row>
        <row r="5309">
          <cell r="A5309" t="str">
            <v>2619DM37</v>
          </cell>
          <cell r="D5309" t="str">
            <v>TTS50</v>
          </cell>
          <cell r="E5309">
            <v>46219</v>
          </cell>
        </row>
        <row r="5310">
          <cell r="A5310" t="str">
            <v>2627Q647</v>
          </cell>
          <cell r="D5310" t="str">
            <v>KBP126</v>
          </cell>
          <cell r="E5310">
            <v>46219</v>
          </cell>
        </row>
        <row r="5311">
          <cell r="A5311" t="str">
            <v>2626PO57</v>
          </cell>
          <cell r="D5311" t="str">
            <v>S15MB</v>
          </cell>
          <cell r="E5311">
            <v>46219</v>
          </cell>
        </row>
        <row r="5312">
          <cell r="A5312" t="str">
            <v>2627W327</v>
          </cell>
          <cell r="D5312" t="str">
            <v>TTS80</v>
          </cell>
          <cell r="E5312">
            <v>46219</v>
          </cell>
        </row>
        <row r="5313">
          <cell r="A5313" t="str">
            <v>2627KF47</v>
          </cell>
          <cell r="D5313" t="str">
            <v>S706</v>
          </cell>
          <cell r="E5313">
            <v>46219</v>
          </cell>
        </row>
        <row r="5314">
          <cell r="A5314" t="str">
            <v>2626UE37</v>
          </cell>
          <cell r="D5314" t="str">
            <v>TTS80</v>
          </cell>
          <cell r="E5314">
            <v>46219</v>
          </cell>
        </row>
        <row r="5315">
          <cell r="A5315" t="str">
            <v>2623IU17</v>
          </cell>
          <cell r="D5315" t="str">
            <v>TTS50</v>
          </cell>
          <cell r="E5315">
            <v>46219</v>
          </cell>
        </row>
        <row r="5316">
          <cell r="A5316" t="str">
            <v>2626PI17</v>
          </cell>
          <cell r="D5316" t="str">
            <v>KBP55</v>
          </cell>
          <cell r="E5316">
            <v>46219</v>
          </cell>
        </row>
        <row r="5317">
          <cell r="A5317" t="str">
            <v>2623EW27</v>
          </cell>
          <cell r="D5317" t="str">
            <v>KBP76</v>
          </cell>
          <cell r="E5317">
            <v>46219</v>
          </cell>
        </row>
        <row r="5318">
          <cell r="A5318" t="str">
            <v>2627UE27</v>
          </cell>
          <cell r="D5318" t="str">
            <v>S706</v>
          </cell>
          <cell r="E5318">
            <v>46219</v>
          </cell>
        </row>
        <row r="5319">
          <cell r="A5319" t="str">
            <v>2624A847</v>
          </cell>
          <cell r="D5319" t="str">
            <v>STA156KA</v>
          </cell>
          <cell r="E5319">
            <v>46219</v>
          </cell>
        </row>
        <row r="5320">
          <cell r="A5320" t="str">
            <v>2626HT17</v>
          </cell>
          <cell r="D5320" t="str">
            <v>KBP86</v>
          </cell>
          <cell r="E5320">
            <v>46219</v>
          </cell>
        </row>
        <row r="5321">
          <cell r="A5321" t="str">
            <v>2626KS67</v>
          </cell>
          <cell r="D5321" t="str">
            <v>KBP76</v>
          </cell>
          <cell r="E5321">
            <v>46219</v>
          </cell>
        </row>
        <row r="5322">
          <cell r="A5322" t="str">
            <v>2627PU17</v>
          </cell>
          <cell r="D5322" t="str">
            <v>FTW121KE</v>
          </cell>
          <cell r="E5322">
            <v>46219</v>
          </cell>
        </row>
        <row r="5323">
          <cell r="A5323" t="str">
            <v>2627EL57</v>
          </cell>
          <cell r="D5323" t="str">
            <v>FTP200</v>
          </cell>
          <cell r="E5323">
            <v>46219</v>
          </cell>
        </row>
        <row r="5324">
          <cell r="A5324" t="str">
            <v>2627PQ67</v>
          </cell>
          <cell r="D5324" t="str">
            <v>STA156KA</v>
          </cell>
          <cell r="E5324">
            <v>46219</v>
          </cell>
        </row>
        <row r="5325">
          <cell r="A5325" t="str">
            <v>2626XM57</v>
          </cell>
          <cell r="D5325" t="str">
            <v>HV80</v>
          </cell>
          <cell r="E5325">
            <v>46219</v>
          </cell>
        </row>
        <row r="5326">
          <cell r="A5326" t="str">
            <v>2609J637</v>
          </cell>
          <cell r="D5326" t="str">
            <v>KBP76</v>
          </cell>
          <cell r="E5326">
            <v>46219</v>
          </cell>
        </row>
        <row r="5327">
          <cell r="A5327" t="str">
            <v>2626U447</v>
          </cell>
          <cell r="D5327" t="str">
            <v>TTS80</v>
          </cell>
          <cell r="E5327">
            <v>46219</v>
          </cell>
        </row>
        <row r="5328">
          <cell r="A5328" t="str">
            <v>2620JG17</v>
          </cell>
          <cell r="D5328" t="str">
            <v>TTS50</v>
          </cell>
          <cell r="E5328">
            <v>46219</v>
          </cell>
        </row>
        <row r="5329">
          <cell r="A5329" t="str">
            <v>2625FM30</v>
          </cell>
          <cell r="D5329" t="str">
            <v>TTS125</v>
          </cell>
          <cell r="E5329">
            <v>46219</v>
          </cell>
        </row>
        <row r="5330">
          <cell r="A5330" t="str">
            <v>2627VM27</v>
          </cell>
          <cell r="D5330" t="str">
            <v>TTS80</v>
          </cell>
          <cell r="E5330">
            <v>46219</v>
          </cell>
        </row>
        <row r="5331">
          <cell r="A5331" t="str">
            <v>2621YB57</v>
          </cell>
          <cell r="D5331" t="str">
            <v>KBP86</v>
          </cell>
          <cell r="E5331">
            <v>46219</v>
          </cell>
        </row>
        <row r="5332">
          <cell r="A5332" t="str">
            <v>2625O417</v>
          </cell>
          <cell r="D5332" t="str">
            <v>KBP86</v>
          </cell>
          <cell r="E5332">
            <v>46219</v>
          </cell>
        </row>
        <row r="5333">
          <cell r="A5333" t="str">
            <v>2624E417</v>
          </cell>
          <cell r="D5333" t="str">
            <v>TTS50</v>
          </cell>
          <cell r="E5333">
            <v>46219</v>
          </cell>
        </row>
        <row r="5334">
          <cell r="A5334" t="str">
            <v>2627VO17</v>
          </cell>
          <cell r="D5334" t="str">
            <v>KBP76</v>
          </cell>
          <cell r="E5334">
            <v>46219</v>
          </cell>
        </row>
        <row r="5335">
          <cell r="A5335" t="str">
            <v>2624H927</v>
          </cell>
          <cell r="D5335" t="str">
            <v>KBP76</v>
          </cell>
          <cell r="E5335">
            <v>46219</v>
          </cell>
        </row>
        <row r="5336">
          <cell r="A5336" t="str">
            <v>2627AI27</v>
          </cell>
          <cell r="D5336" t="str">
            <v>S805</v>
          </cell>
          <cell r="E5336">
            <v>46219</v>
          </cell>
        </row>
        <row r="5337">
          <cell r="A5337" t="str">
            <v>2627QV37</v>
          </cell>
          <cell r="D5337" t="str">
            <v>S706</v>
          </cell>
          <cell r="E5337">
            <v>46219</v>
          </cell>
        </row>
        <row r="5338">
          <cell r="A5338" t="str">
            <v>2625SR57</v>
          </cell>
          <cell r="D5338" t="str">
            <v>KBP86</v>
          </cell>
          <cell r="E5338">
            <v>46219</v>
          </cell>
        </row>
        <row r="5339">
          <cell r="A5339" t="str">
            <v>2622VM57</v>
          </cell>
          <cell r="D5339" t="str">
            <v>TTS50</v>
          </cell>
          <cell r="E5339">
            <v>46219</v>
          </cell>
        </row>
        <row r="5340">
          <cell r="A5340" t="str">
            <v>2627KF17</v>
          </cell>
          <cell r="D5340" t="str">
            <v>KBP86</v>
          </cell>
          <cell r="E5340">
            <v>46219</v>
          </cell>
        </row>
        <row r="5341">
          <cell r="A5341" t="str">
            <v>2625IU17</v>
          </cell>
          <cell r="D5341" t="str">
            <v>KBP76</v>
          </cell>
          <cell r="E5341">
            <v>46219</v>
          </cell>
        </row>
        <row r="5342">
          <cell r="A5342" t="str">
            <v>2620GC57</v>
          </cell>
          <cell r="D5342" t="str">
            <v>TTS50</v>
          </cell>
          <cell r="E5342">
            <v>46219</v>
          </cell>
        </row>
        <row r="5343">
          <cell r="A5343" t="str">
            <v>2627UH37</v>
          </cell>
          <cell r="D5343" t="str">
            <v>TTS80</v>
          </cell>
          <cell r="E5343">
            <v>46219</v>
          </cell>
        </row>
        <row r="5344">
          <cell r="A5344" t="str">
            <v>2627VQ17</v>
          </cell>
          <cell r="D5344" t="str">
            <v>KBP76</v>
          </cell>
          <cell r="E5344">
            <v>46219</v>
          </cell>
        </row>
        <row r="5345">
          <cell r="A5345" t="str">
            <v>2626VP57</v>
          </cell>
          <cell r="D5345" t="str">
            <v>FTW121KE</v>
          </cell>
          <cell r="E5345">
            <v>46219</v>
          </cell>
        </row>
        <row r="5346">
          <cell r="A5346" t="str">
            <v>2626HI57</v>
          </cell>
          <cell r="D5346" t="str">
            <v>FTW121KE</v>
          </cell>
          <cell r="E5346">
            <v>46219</v>
          </cell>
        </row>
        <row r="5347">
          <cell r="A5347" t="str">
            <v>2627QE27</v>
          </cell>
          <cell r="D5347" t="str">
            <v>FTW121KE</v>
          </cell>
          <cell r="E5347">
            <v>46219</v>
          </cell>
        </row>
        <row r="5348">
          <cell r="A5348" t="str">
            <v>2627QX37</v>
          </cell>
          <cell r="D5348" t="str">
            <v>S706</v>
          </cell>
          <cell r="E5348">
            <v>46219</v>
          </cell>
        </row>
        <row r="5349">
          <cell r="A5349" t="str">
            <v>2626SN27</v>
          </cell>
          <cell r="D5349" t="str">
            <v>TTS80</v>
          </cell>
          <cell r="E5349">
            <v>46219</v>
          </cell>
        </row>
        <row r="5350">
          <cell r="A5350" t="str">
            <v>2627IN27</v>
          </cell>
          <cell r="D5350" t="str">
            <v>S15MB</v>
          </cell>
          <cell r="E5350">
            <v>46219</v>
          </cell>
        </row>
        <row r="5351">
          <cell r="A5351" t="str">
            <v>2624X657</v>
          </cell>
          <cell r="D5351" t="str">
            <v>KBP76</v>
          </cell>
          <cell r="E5351">
            <v>46219</v>
          </cell>
        </row>
        <row r="5352">
          <cell r="A5352" t="str">
            <v>2626Q337</v>
          </cell>
          <cell r="D5352" t="str">
            <v>S706</v>
          </cell>
          <cell r="E5352">
            <v>46219</v>
          </cell>
        </row>
        <row r="5353">
          <cell r="A5353" t="str">
            <v>2627KN17</v>
          </cell>
          <cell r="D5353" t="str">
            <v>FTP150</v>
          </cell>
          <cell r="E5353">
            <v>46219</v>
          </cell>
        </row>
        <row r="5354">
          <cell r="A5354" t="str">
            <v>2627QE17</v>
          </cell>
          <cell r="D5354" t="str">
            <v>FTW121KE</v>
          </cell>
          <cell r="E5354">
            <v>46219</v>
          </cell>
        </row>
        <row r="5355">
          <cell r="A5355" t="str">
            <v>2623JQ47</v>
          </cell>
          <cell r="D5355" t="str">
            <v>TTS50</v>
          </cell>
          <cell r="E5355">
            <v>46219</v>
          </cell>
        </row>
        <row r="5356">
          <cell r="A5356" t="str">
            <v>2627BC37</v>
          </cell>
          <cell r="D5356" t="str">
            <v>FTP200</v>
          </cell>
          <cell r="E5356">
            <v>46219</v>
          </cell>
        </row>
        <row r="5357">
          <cell r="A5357" t="str">
            <v>2626L417</v>
          </cell>
          <cell r="D5357" t="str">
            <v>KBP86</v>
          </cell>
          <cell r="E5357">
            <v>46219</v>
          </cell>
        </row>
        <row r="5358">
          <cell r="A5358" t="str">
            <v>2625F467</v>
          </cell>
          <cell r="D5358" t="str">
            <v>KBP55</v>
          </cell>
          <cell r="E5358">
            <v>46219</v>
          </cell>
        </row>
        <row r="5359">
          <cell r="A5359" t="str">
            <v>2624X857</v>
          </cell>
          <cell r="D5359" t="str">
            <v>KBP76</v>
          </cell>
          <cell r="E5359">
            <v>46219</v>
          </cell>
        </row>
        <row r="5360">
          <cell r="A5360" t="str">
            <v>2627UJ27</v>
          </cell>
          <cell r="D5360" t="str">
            <v>S706</v>
          </cell>
          <cell r="E5360">
            <v>46219</v>
          </cell>
        </row>
        <row r="5361">
          <cell r="A5361" t="str">
            <v>2627H447</v>
          </cell>
          <cell r="D5361" t="str">
            <v>FTW102K</v>
          </cell>
          <cell r="E5361">
            <v>46219</v>
          </cell>
        </row>
        <row r="5362">
          <cell r="A5362" t="str">
            <v>2619SH27</v>
          </cell>
          <cell r="D5362" t="str">
            <v>TTS50</v>
          </cell>
          <cell r="E5362">
            <v>46219</v>
          </cell>
        </row>
        <row r="5363">
          <cell r="A5363" t="str">
            <v>2626P817</v>
          </cell>
          <cell r="D5363" t="str">
            <v>STA156KA</v>
          </cell>
          <cell r="E5363">
            <v>46219</v>
          </cell>
        </row>
        <row r="5364">
          <cell r="A5364" t="str">
            <v>2626IK47</v>
          </cell>
          <cell r="D5364" t="str">
            <v>KBP86</v>
          </cell>
          <cell r="E5364">
            <v>46219</v>
          </cell>
        </row>
        <row r="5365">
          <cell r="A5365" t="str">
            <v>2619JX57</v>
          </cell>
          <cell r="D5365" t="str">
            <v>TTS50</v>
          </cell>
          <cell r="E5365">
            <v>46219</v>
          </cell>
        </row>
        <row r="5366">
          <cell r="A5366" t="str">
            <v>2614F927</v>
          </cell>
          <cell r="D5366" t="str">
            <v>KBP76</v>
          </cell>
          <cell r="E5366">
            <v>46219</v>
          </cell>
        </row>
        <row r="5367">
          <cell r="A5367" t="str">
            <v>2610ZG37</v>
          </cell>
          <cell r="D5367" t="str">
            <v>S706</v>
          </cell>
          <cell r="E5367">
            <v>46219</v>
          </cell>
        </row>
        <row r="5368">
          <cell r="A5368" t="str">
            <v>2627X827</v>
          </cell>
          <cell r="D5368" t="str">
            <v>FTW121KE</v>
          </cell>
          <cell r="E5368">
            <v>46219</v>
          </cell>
        </row>
        <row r="5369">
          <cell r="A5369" t="str">
            <v>2626K467</v>
          </cell>
          <cell r="D5369" t="str">
            <v>S706</v>
          </cell>
          <cell r="E5369">
            <v>46219</v>
          </cell>
        </row>
        <row r="5370">
          <cell r="A5370" t="str">
            <v>2626PL67</v>
          </cell>
          <cell r="D5370" t="str">
            <v>TTS80</v>
          </cell>
          <cell r="E5370">
            <v>46219</v>
          </cell>
        </row>
        <row r="5371">
          <cell r="A5371" t="str">
            <v>2627VQ27</v>
          </cell>
          <cell r="D5371" t="str">
            <v>TTS80</v>
          </cell>
          <cell r="E5371">
            <v>46219</v>
          </cell>
        </row>
        <row r="5372">
          <cell r="A5372" t="str">
            <v>2623DY67</v>
          </cell>
          <cell r="D5372" t="str">
            <v>TTS50</v>
          </cell>
          <cell r="E5372">
            <v>46219</v>
          </cell>
        </row>
        <row r="5373">
          <cell r="A5373" t="str">
            <v>2627OL37</v>
          </cell>
          <cell r="D5373" t="str">
            <v>FTW102K</v>
          </cell>
          <cell r="E5373">
            <v>46219</v>
          </cell>
        </row>
        <row r="5374">
          <cell r="A5374" t="str">
            <v>2627WN27</v>
          </cell>
          <cell r="D5374" t="str">
            <v>KBP86</v>
          </cell>
          <cell r="E5374">
            <v>46219</v>
          </cell>
        </row>
        <row r="5375">
          <cell r="A5375" t="str">
            <v>2627WI27</v>
          </cell>
          <cell r="D5375" t="str">
            <v>KBP86</v>
          </cell>
          <cell r="E5375">
            <v>46219</v>
          </cell>
        </row>
        <row r="5376">
          <cell r="A5376" t="str">
            <v>2626WN57</v>
          </cell>
          <cell r="D5376" t="str">
            <v>FTW102K</v>
          </cell>
          <cell r="E5376">
            <v>46219</v>
          </cell>
        </row>
        <row r="5377">
          <cell r="A5377" t="str">
            <v>2627Q117</v>
          </cell>
          <cell r="D5377" t="str">
            <v>FTW121KE</v>
          </cell>
          <cell r="E5377">
            <v>46219</v>
          </cell>
        </row>
        <row r="5378">
          <cell r="A5378" t="str">
            <v>2625SE27</v>
          </cell>
          <cell r="D5378" t="str">
            <v>KBP74</v>
          </cell>
          <cell r="E5378">
            <v>46219</v>
          </cell>
        </row>
        <row r="5379">
          <cell r="A5379" t="str">
            <v>2627VI17</v>
          </cell>
          <cell r="D5379" t="str">
            <v>S706</v>
          </cell>
          <cell r="E5379">
            <v>46219</v>
          </cell>
        </row>
        <row r="5380">
          <cell r="A5380" t="str">
            <v>2627FV67</v>
          </cell>
          <cell r="D5380" t="str">
            <v>FTW121KE</v>
          </cell>
          <cell r="E5380">
            <v>46219</v>
          </cell>
        </row>
        <row r="5381">
          <cell r="A5381" t="str">
            <v>2619S727</v>
          </cell>
          <cell r="D5381" t="str">
            <v>TTS50</v>
          </cell>
          <cell r="E5381">
            <v>46219</v>
          </cell>
        </row>
        <row r="5382">
          <cell r="A5382" t="str">
            <v>2612HO27</v>
          </cell>
          <cell r="D5382" t="str">
            <v>KBP76</v>
          </cell>
          <cell r="E5382">
            <v>46219</v>
          </cell>
        </row>
        <row r="5383">
          <cell r="A5383" t="str">
            <v>2627U917</v>
          </cell>
          <cell r="D5383" t="str">
            <v>KBP52</v>
          </cell>
          <cell r="E5383">
            <v>46219</v>
          </cell>
        </row>
        <row r="5384">
          <cell r="A5384" t="str">
            <v>2627UA17</v>
          </cell>
          <cell r="D5384" t="str">
            <v>KBP52</v>
          </cell>
          <cell r="E5384">
            <v>46219</v>
          </cell>
        </row>
        <row r="5385">
          <cell r="A5385" t="str">
            <v>2627QJ17</v>
          </cell>
          <cell r="D5385" t="str">
            <v>FTW121KE</v>
          </cell>
          <cell r="E5385">
            <v>46219</v>
          </cell>
        </row>
        <row r="5386">
          <cell r="A5386" t="str">
            <v>2626PJ67</v>
          </cell>
          <cell r="D5386" t="str">
            <v>TTS80</v>
          </cell>
          <cell r="E5386">
            <v>46219</v>
          </cell>
        </row>
        <row r="5387">
          <cell r="A5387" t="str">
            <v>2627QF17</v>
          </cell>
          <cell r="D5387" t="str">
            <v>FTW121KE</v>
          </cell>
          <cell r="E5387">
            <v>46219</v>
          </cell>
        </row>
        <row r="5388">
          <cell r="A5388" t="str">
            <v>2626J167</v>
          </cell>
          <cell r="D5388" t="str">
            <v>FTW700</v>
          </cell>
          <cell r="E5388">
            <v>46219</v>
          </cell>
        </row>
        <row r="5389">
          <cell r="A5389" t="str">
            <v>2627WD27</v>
          </cell>
          <cell r="D5389" t="str">
            <v>TTS80</v>
          </cell>
          <cell r="E5389">
            <v>46219</v>
          </cell>
        </row>
        <row r="5390">
          <cell r="A5390" t="str">
            <v>2626Q557</v>
          </cell>
          <cell r="D5390" t="str">
            <v>STA156KA</v>
          </cell>
          <cell r="E5390">
            <v>46219</v>
          </cell>
        </row>
        <row r="5391">
          <cell r="A5391" t="str">
            <v>2626CE37</v>
          </cell>
          <cell r="D5391" t="str">
            <v>S15MB</v>
          </cell>
          <cell r="E5391">
            <v>46219</v>
          </cell>
        </row>
        <row r="5392">
          <cell r="A5392" t="str">
            <v>2620GF57</v>
          </cell>
          <cell r="D5392" t="str">
            <v>TTS50</v>
          </cell>
          <cell r="E5392">
            <v>46219</v>
          </cell>
        </row>
        <row r="5393">
          <cell r="A5393" t="str">
            <v>2627SO27</v>
          </cell>
          <cell r="D5393" t="str">
            <v>S15HV100</v>
          </cell>
          <cell r="E5393">
            <v>46219</v>
          </cell>
        </row>
        <row r="5394">
          <cell r="A5394" t="str">
            <v>2626XH57</v>
          </cell>
          <cell r="D5394" t="str">
            <v>HV80</v>
          </cell>
          <cell r="E5394">
            <v>46219</v>
          </cell>
        </row>
        <row r="5395">
          <cell r="A5395" t="str">
            <v>2627QX37</v>
          </cell>
          <cell r="D5395" t="str">
            <v>S706</v>
          </cell>
          <cell r="E5395">
            <v>46219</v>
          </cell>
        </row>
        <row r="5396">
          <cell r="A5396" t="str">
            <v>2627QR17</v>
          </cell>
          <cell r="D5396" t="str">
            <v>FTW121KE</v>
          </cell>
          <cell r="E5396">
            <v>46218</v>
          </cell>
        </row>
        <row r="5397">
          <cell r="A5397" t="str">
            <v>2627UQ17</v>
          </cell>
          <cell r="D5397" t="str">
            <v>S706</v>
          </cell>
          <cell r="E5397">
            <v>46218</v>
          </cell>
        </row>
        <row r="5398">
          <cell r="A5398" t="str">
            <v>2625D567</v>
          </cell>
          <cell r="D5398" t="str">
            <v>S706</v>
          </cell>
          <cell r="E5398">
            <v>46218</v>
          </cell>
        </row>
        <row r="5399">
          <cell r="A5399" t="str">
            <v>2626J657</v>
          </cell>
          <cell r="D5399" t="str">
            <v>S706</v>
          </cell>
          <cell r="E5399">
            <v>46218</v>
          </cell>
        </row>
        <row r="5400">
          <cell r="A5400" t="str">
            <v>2623JH37</v>
          </cell>
          <cell r="D5400" t="str">
            <v>TTS50</v>
          </cell>
          <cell r="E5400">
            <v>46218</v>
          </cell>
        </row>
        <row r="5401">
          <cell r="A5401" t="str">
            <v>2626QJ47</v>
          </cell>
          <cell r="D5401" t="str">
            <v>S706</v>
          </cell>
          <cell r="E5401">
            <v>46218</v>
          </cell>
        </row>
        <row r="5402">
          <cell r="A5402" t="str">
            <v>2623JK47</v>
          </cell>
          <cell r="D5402" t="str">
            <v>TTS50</v>
          </cell>
          <cell r="E5402">
            <v>46218</v>
          </cell>
        </row>
        <row r="5403">
          <cell r="A5403" t="str">
            <v>2627AB27</v>
          </cell>
          <cell r="D5403" t="str">
            <v>KBP76</v>
          </cell>
          <cell r="E5403">
            <v>46218</v>
          </cell>
        </row>
        <row r="5404">
          <cell r="A5404" t="str">
            <v>2627U637</v>
          </cell>
          <cell r="D5404" t="str">
            <v>TTS50</v>
          </cell>
          <cell r="E5404">
            <v>46218</v>
          </cell>
        </row>
        <row r="5405">
          <cell r="A5405" t="str">
            <v>2627G947</v>
          </cell>
          <cell r="D5405" t="str">
            <v>KBP76</v>
          </cell>
          <cell r="E5405">
            <v>46218</v>
          </cell>
        </row>
        <row r="5406">
          <cell r="A5406" t="str">
            <v>2627XE17</v>
          </cell>
          <cell r="D5406" t="str">
            <v>TTS50</v>
          </cell>
          <cell r="E5406">
            <v>46218</v>
          </cell>
        </row>
        <row r="5407">
          <cell r="A5407" t="str">
            <v>2627D557</v>
          </cell>
          <cell r="D5407" t="str">
            <v>KBP76</v>
          </cell>
          <cell r="E5407">
            <v>46218</v>
          </cell>
        </row>
        <row r="5408">
          <cell r="A5408" t="str">
            <v>2627SK27</v>
          </cell>
          <cell r="D5408" t="str">
            <v>KBP34</v>
          </cell>
          <cell r="E5408">
            <v>46218</v>
          </cell>
        </row>
        <row r="5409">
          <cell r="A5409" t="str">
            <v>2619E737</v>
          </cell>
          <cell r="D5409" t="str">
            <v>TTS50</v>
          </cell>
          <cell r="E5409">
            <v>46218</v>
          </cell>
        </row>
        <row r="5410">
          <cell r="A5410" t="str">
            <v>2627Q537</v>
          </cell>
          <cell r="D5410" t="str">
            <v>KBP86</v>
          </cell>
          <cell r="E5410">
            <v>46218</v>
          </cell>
        </row>
        <row r="5411">
          <cell r="A5411" t="str">
            <v>2625XC57</v>
          </cell>
          <cell r="D5411" t="str">
            <v>KBP76</v>
          </cell>
          <cell r="E5411">
            <v>46218</v>
          </cell>
        </row>
        <row r="5412">
          <cell r="A5412" t="str">
            <v>2627HH67</v>
          </cell>
          <cell r="D5412" t="str">
            <v>KBP86</v>
          </cell>
          <cell r="E5412">
            <v>46218</v>
          </cell>
        </row>
        <row r="5413">
          <cell r="A5413" t="str">
            <v>2626HH17</v>
          </cell>
          <cell r="D5413" t="str">
            <v>S15MB</v>
          </cell>
          <cell r="E5413">
            <v>46218</v>
          </cell>
        </row>
        <row r="5414">
          <cell r="A5414" t="str">
            <v>2627HJ67</v>
          </cell>
          <cell r="D5414" t="str">
            <v>KBP86</v>
          </cell>
          <cell r="E5414">
            <v>46218</v>
          </cell>
        </row>
        <row r="5415">
          <cell r="A5415" t="str">
            <v>2626I347</v>
          </cell>
          <cell r="D5415" t="str">
            <v>KBP76</v>
          </cell>
          <cell r="E5415">
            <v>46218</v>
          </cell>
        </row>
        <row r="5416">
          <cell r="A5416" t="str">
            <v>2627HL67</v>
          </cell>
          <cell r="D5416" t="str">
            <v>KBP86</v>
          </cell>
          <cell r="E5416">
            <v>46218</v>
          </cell>
        </row>
        <row r="5417">
          <cell r="A5417" t="str">
            <v>2627BE37</v>
          </cell>
          <cell r="D5417" t="str">
            <v>FTP200</v>
          </cell>
          <cell r="E5417">
            <v>46218</v>
          </cell>
        </row>
        <row r="5418">
          <cell r="A5418" t="str">
            <v>2627HM67</v>
          </cell>
          <cell r="D5418" t="str">
            <v>KBP86</v>
          </cell>
          <cell r="E5418">
            <v>46218</v>
          </cell>
        </row>
        <row r="5419">
          <cell r="A5419" t="str">
            <v>2625K647</v>
          </cell>
          <cell r="D5419" t="str">
            <v>KBP86</v>
          </cell>
          <cell r="E5419">
            <v>46218</v>
          </cell>
        </row>
        <row r="5420">
          <cell r="A5420" t="str">
            <v>2626JQ57</v>
          </cell>
          <cell r="D5420" t="str">
            <v>KBP76</v>
          </cell>
          <cell r="E5420">
            <v>46218</v>
          </cell>
        </row>
        <row r="5421">
          <cell r="A5421" t="str">
            <v>2623LV67</v>
          </cell>
          <cell r="D5421" t="str">
            <v>TTS80</v>
          </cell>
          <cell r="E5421">
            <v>46218</v>
          </cell>
        </row>
        <row r="5422">
          <cell r="A5422" t="str">
            <v>2625PZ27</v>
          </cell>
          <cell r="D5422" t="str">
            <v>S706</v>
          </cell>
          <cell r="E5422">
            <v>46218</v>
          </cell>
        </row>
        <row r="5423">
          <cell r="A5423" t="str">
            <v>2626PF27</v>
          </cell>
          <cell r="D5423" t="str">
            <v>S706</v>
          </cell>
          <cell r="E5423">
            <v>46218</v>
          </cell>
        </row>
        <row r="5424">
          <cell r="A5424" t="str">
            <v>2624I867</v>
          </cell>
          <cell r="D5424" t="str">
            <v>TTS80</v>
          </cell>
          <cell r="E5424">
            <v>46218</v>
          </cell>
        </row>
        <row r="5425">
          <cell r="A5425" t="str">
            <v>2626J467</v>
          </cell>
          <cell r="D5425" t="str">
            <v>FTW700</v>
          </cell>
          <cell r="E5425">
            <v>46218</v>
          </cell>
        </row>
        <row r="5426">
          <cell r="A5426" t="str">
            <v>2626QJ47</v>
          </cell>
          <cell r="D5426" t="str">
            <v>S706</v>
          </cell>
          <cell r="E5426">
            <v>46218</v>
          </cell>
        </row>
        <row r="5427">
          <cell r="A5427" t="str">
            <v>2627J447</v>
          </cell>
          <cell r="D5427" t="str">
            <v>KBP52</v>
          </cell>
          <cell r="E5427">
            <v>46218</v>
          </cell>
        </row>
        <row r="5428">
          <cell r="A5428" t="str">
            <v>2619LB47</v>
          </cell>
          <cell r="D5428" t="str">
            <v>FTW102K</v>
          </cell>
          <cell r="E5428">
            <v>46218</v>
          </cell>
        </row>
        <row r="5429">
          <cell r="A5429" t="str">
            <v>2625L457</v>
          </cell>
          <cell r="D5429" t="str">
            <v>S706</v>
          </cell>
          <cell r="E5429">
            <v>46218</v>
          </cell>
        </row>
        <row r="5430">
          <cell r="A5430" t="str">
            <v>2619L947</v>
          </cell>
          <cell r="D5430" t="str">
            <v>FTW102K</v>
          </cell>
          <cell r="E5430">
            <v>46218</v>
          </cell>
        </row>
        <row r="5431">
          <cell r="A5431" t="str">
            <v>2626CJ47</v>
          </cell>
          <cell r="D5431" t="str">
            <v>S15MB</v>
          </cell>
          <cell r="E5431">
            <v>46218</v>
          </cell>
        </row>
        <row r="5432">
          <cell r="A5432" t="str">
            <v>2626SM37</v>
          </cell>
          <cell r="D5432" t="str">
            <v>KBP76</v>
          </cell>
          <cell r="E5432">
            <v>46218</v>
          </cell>
        </row>
        <row r="5433">
          <cell r="A5433" t="str">
            <v>2623LR67</v>
          </cell>
          <cell r="D5433" t="str">
            <v>TTS80</v>
          </cell>
          <cell r="E5433">
            <v>46218</v>
          </cell>
        </row>
        <row r="5434">
          <cell r="A5434" t="str">
            <v>2626CX47</v>
          </cell>
          <cell r="D5434" t="str">
            <v>STA156KA</v>
          </cell>
          <cell r="E5434">
            <v>46218</v>
          </cell>
        </row>
        <row r="5435">
          <cell r="A5435" t="str">
            <v>2627UQ17</v>
          </cell>
          <cell r="D5435" t="str">
            <v>S706</v>
          </cell>
          <cell r="E5435">
            <v>46218</v>
          </cell>
        </row>
        <row r="5436">
          <cell r="A5436" t="str">
            <v>2627UZ17</v>
          </cell>
          <cell r="D5436" t="str">
            <v>S706</v>
          </cell>
          <cell r="E5436">
            <v>46218</v>
          </cell>
        </row>
        <row r="5437">
          <cell r="A5437" t="str">
            <v>2626KM67</v>
          </cell>
          <cell r="D5437" t="str">
            <v>KBP76</v>
          </cell>
          <cell r="E5437">
            <v>46218</v>
          </cell>
        </row>
        <row r="5438">
          <cell r="A5438" t="str">
            <v>2625L547</v>
          </cell>
          <cell r="D5438" t="str">
            <v>KBP76</v>
          </cell>
          <cell r="E5438">
            <v>46218</v>
          </cell>
        </row>
        <row r="5439">
          <cell r="A5439" t="str">
            <v>2626CL27</v>
          </cell>
          <cell r="D5439" t="str">
            <v>S15MB</v>
          </cell>
          <cell r="E5439">
            <v>46218</v>
          </cell>
        </row>
        <row r="5440">
          <cell r="A5440" t="str">
            <v>2627AK27</v>
          </cell>
          <cell r="D5440" t="str">
            <v>FTW102K</v>
          </cell>
          <cell r="E5440">
            <v>46218</v>
          </cell>
        </row>
        <row r="5441">
          <cell r="A5441" t="str">
            <v>2626J867</v>
          </cell>
          <cell r="D5441" t="str">
            <v>FTW121KE</v>
          </cell>
          <cell r="E5441">
            <v>46218</v>
          </cell>
        </row>
        <row r="5442">
          <cell r="A5442" t="str">
            <v>2620DM67</v>
          </cell>
          <cell r="D5442" t="str">
            <v>TTS80</v>
          </cell>
          <cell r="E5442">
            <v>46218</v>
          </cell>
        </row>
        <row r="5443">
          <cell r="A5443" t="str">
            <v>2622LQ17</v>
          </cell>
          <cell r="D5443" t="str">
            <v>FTW700</v>
          </cell>
          <cell r="E5443">
            <v>46218</v>
          </cell>
        </row>
        <row r="5444">
          <cell r="A5444" t="str">
            <v>2621OG37</v>
          </cell>
          <cell r="D5444" t="str">
            <v>KBP76</v>
          </cell>
          <cell r="E5444">
            <v>46218</v>
          </cell>
        </row>
        <row r="5445">
          <cell r="A5445" t="str">
            <v>2626HE17</v>
          </cell>
          <cell r="D5445" t="str">
            <v>KBP126</v>
          </cell>
          <cell r="E5445">
            <v>46218</v>
          </cell>
        </row>
        <row r="5446">
          <cell r="A5446" t="str">
            <v>2627PN17</v>
          </cell>
          <cell r="D5446" t="str">
            <v>FTW121KE</v>
          </cell>
          <cell r="E5446">
            <v>46218</v>
          </cell>
        </row>
        <row r="5447">
          <cell r="A5447" t="str">
            <v>2627SI27</v>
          </cell>
          <cell r="D5447" t="str">
            <v>FTP200</v>
          </cell>
          <cell r="E5447">
            <v>46218</v>
          </cell>
        </row>
        <row r="5448">
          <cell r="A5448" t="str">
            <v>2626I757</v>
          </cell>
          <cell r="D5448" t="str">
            <v>FTP200</v>
          </cell>
          <cell r="E5448">
            <v>46218</v>
          </cell>
        </row>
        <row r="5449">
          <cell r="A5449" t="str">
            <v>2625I237</v>
          </cell>
          <cell r="D5449" t="str">
            <v>KBP86</v>
          </cell>
          <cell r="E5449">
            <v>46218</v>
          </cell>
        </row>
        <row r="5450">
          <cell r="A5450" t="str">
            <v>2626QI27</v>
          </cell>
          <cell r="D5450" t="str">
            <v>KBP76</v>
          </cell>
          <cell r="E5450">
            <v>46218</v>
          </cell>
        </row>
        <row r="5451">
          <cell r="A5451" t="str">
            <v>2626JB57</v>
          </cell>
          <cell r="D5451" t="str">
            <v>S706</v>
          </cell>
          <cell r="E5451">
            <v>46218</v>
          </cell>
        </row>
        <row r="5452">
          <cell r="A5452" t="str">
            <v>2621GQ67</v>
          </cell>
          <cell r="D5452" t="str">
            <v>KBP76</v>
          </cell>
          <cell r="E5452">
            <v>46218</v>
          </cell>
        </row>
        <row r="5453">
          <cell r="A5453" t="str">
            <v>2613YN57</v>
          </cell>
          <cell r="D5453" t="str">
            <v>S706</v>
          </cell>
          <cell r="E5453">
            <v>46218</v>
          </cell>
        </row>
        <row r="5454">
          <cell r="A5454" t="str">
            <v>2626SW47</v>
          </cell>
          <cell r="D5454" t="str">
            <v>KBP74</v>
          </cell>
          <cell r="E5454">
            <v>46218</v>
          </cell>
        </row>
        <row r="5455">
          <cell r="A5455" t="str">
            <v>2626QC47</v>
          </cell>
          <cell r="D5455" t="str">
            <v>S706</v>
          </cell>
          <cell r="E5455">
            <v>46218</v>
          </cell>
        </row>
        <row r="5456">
          <cell r="A5456" t="str">
            <v>2626KJ67</v>
          </cell>
          <cell r="D5456" t="str">
            <v>KBP76</v>
          </cell>
          <cell r="E5456">
            <v>46218</v>
          </cell>
        </row>
        <row r="5457">
          <cell r="A5457" t="str">
            <v>2627XC17</v>
          </cell>
          <cell r="D5457" t="str">
            <v>TTS50</v>
          </cell>
          <cell r="E5457">
            <v>46218</v>
          </cell>
        </row>
        <row r="5458">
          <cell r="A5458" t="str">
            <v>2625KZ47</v>
          </cell>
          <cell r="D5458" t="str">
            <v>S706</v>
          </cell>
          <cell r="E5458">
            <v>46218</v>
          </cell>
        </row>
        <row r="5459">
          <cell r="A5459" t="str">
            <v>2626II27</v>
          </cell>
          <cell r="D5459" t="str">
            <v>KBP76</v>
          </cell>
          <cell r="E5459">
            <v>46218</v>
          </cell>
        </row>
        <row r="5460">
          <cell r="A5460" t="str">
            <v>2626U547</v>
          </cell>
          <cell r="D5460" t="str">
            <v>KBP86</v>
          </cell>
          <cell r="E5460">
            <v>46218</v>
          </cell>
        </row>
        <row r="5461">
          <cell r="A5461" t="str">
            <v>2627WU27</v>
          </cell>
          <cell r="D5461" t="str">
            <v>KBP86</v>
          </cell>
          <cell r="E5461">
            <v>46218</v>
          </cell>
        </row>
        <row r="5462">
          <cell r="A5462" t="str">
            <v>2620JS67</v>
          </cell>
          <cell r="D5462" t="str">
            <v>TTS80</v>
          </cell>
          <cell r="E5462">
            <v>46218</v>
          </cell>
        </row>
        <row r="5463">
          <cell r="A5463" t="str">
            <v>2626J327</v>
          </cell>
          <cell r="D5463" t="str">
            <v>KBP76</v>
          </cell>
          <cell r="E5463">
            <v>46218</v>
          </cell>
        </row>
        <row r="5464">
          <cell r="A5464" t="str">
            <v>2625SH67</v>
          </cell>
          <cell r="D5464" t="str">
            <v>TTS80</v>
          </cell>
          <cell r="E5464">
            <v>46218</v>
          </cell>
        </row>
        <row r="5465">
          <cell r="A5465" t="str">
            <v>2625G227</v>
          </cell>
          <cell r="D5465" t="str">
            <v>KBP76</v>
          </cell>
          <cell r="E5465">
            <v>46218</v>
          </cell>
        </row>
        <row r="5466">
          <cell r="A5466" t="str">
            <v>2627P717</v>
          </cell>
          <cell r="D5466" t="str">
            <v>FTW102K</v>
          </cell>
          <cell r="E5466">
            <v>46218</v>
          </cell>
        </row>
        <row r="5467">
          <cell r="A5467" t="str">
            <v>2625OK17</v>
          </cell>
          <cell r="D5467" t="str">
            <v>KBP52</v>
          </cell>
          <cell r="E5467">
            <v>46218</v>
          </cell>
        </row>
        <row r="5468">
          <cell r="A5468" t="str">
            <v>2626IX47</v>
          </cell>
          <cell r="D5468" t="str">
            <v>FTW400</v>
          </cell>
          <cell r="E5468">
            <v>46218</v>
          </cell>
        </row>
        <row r="5469">
          <cell r="A5469" t="str">
            <v>2627KW17</v>
          </cell>
          <cell r="D5469" t="str">
            <v>KBP76</v>
          </cell>
          <cell r="E5469">
            <v>46218</v>
          </cell>
        </row>
        <row r="5470">
          <cell r="A5470" t="str">
            <v>2626KG67</v>
          </cell>
          <cell r="D5470" t="str">
            <v>KBP76</v>
          </cell>
          <cell r="E5470">
            <v>46218</v>
          </cell>
        </row>
        <row r="5471">
          <cell r="A5471" t="str">
            <v>2623JF37</v>
          </cell>
          <cell r="D5471" t="str">
            <v>TTS50</v>
          </cell>
          <cell r="E5471">
            <v>46218</v>
          </cell>
        </row>
        <row r="5472">
          <cell r="A5472" t="str">
            <v>2627PZ17</v>
          </cell>
          <cell r="D5472" t="str">
            <v>FTW121KE</v>
          </cell>
          <cell r="E5472">
            <v>46218</v>
          </cell>
        </row>
        <row r="5473">
          <cell r="A5473" t="str">
            <v>2627QZ17</v>
          </cell>
          <cell r="D5473" t="str">
            <v>KBP86</v>
          </cell>
          <cell r="E5473">
            <v>46218</v>
          </cell>
        </row>
        <row r="5474">
          <cell r="A5474" t="str">
            <v>2620ZM17</v>
          </cell>
          <cell r="D5474" t="str">
            <v>KBP76</v>
          </cell>
          <cell r="E5474">
            <v>46218</v>
          </cell>
        </row>
        <row r="5475">
          <cell r="A5475" t="str">
            <v>2626PR57</v>
          </cell>
          <cell r="D5475" t="str">
            <v>S15MB</v>
          </cell>
          <cell r="E5475">
            <v>46218</v>
          </cell>
        </row>
        <row r="5476">
          <cell r="A5476" t="str">
            <v>2625F167</v>
          </cell>
          <cell r="D5476" t="str">
            <v>KBP55</v>
          </cell>
          <cell r="E5476">
            <v>46218</v>
          </cell>
        </row>
        <row r="5477">
          <cell r="A5477" t="str">
            <v>2625BQ67</v>
          </cell>
          <cell r="D5477" t="str">
            <v>KBP86</v>
          </cell>
          <cell r="E5477">
            <v>46218</v>
          </cell>
        </row>
        <row r="5478">
          <cell r="A5478" t="str">
            <v>2626J657</v>
          </cell>
          <cell r="D5478" t="str">
            <v>S706</v>
          </cell>
          <cell r="E5478">
            <v>46218</v>
          </cell>
        </row>
        <row r="5479">
          <cell r="A5479" t="str">
            <v>2626J227</v>
          </cell>
          <cell r="D5479" t="str">
            <v>KBP76</v>
          </cell>
          <cell r="E5479">
            <v>46218</v>
          </cell>
        </row>
        <row r="5480">
          <cell r="A5480" t="str">
            <v>2627U737</v>
          </cell>
          <cell r="D5480" t="str">
            <v>TTS50</v>
          </cell>
          <cell r="E5480">
            <v>46218</v>
          </cell>
        </row>
        <row r="5481">
          <cell r="A5481" t="str">
            <v>2619A257</v>
          </cell>
          <cell r="D5481" t="str">
            <v>FTW102K</v>
          </cell>
          <cell r="E5481">
            <v>46218</v>
          </cell>
        </row>
        <row r="5482">
          <cell r="A5482" t="str">
            <v>2624SD37</v>
          </cell>
          <cell r="D5482" t="str">
            <v>TTS80</v>
          </cell>
          <cell r="E5482">
            <v>46218</v>
          </cell>
        </row>
        <row r="5483">
          <cell r="A5483" t="str">
            <v>2626IF27</v>
          </cell>
          <cell r="D5483" t="str">
            <v>KBP76</v>
          </cell>
          <cell r="E5483">
            <v>46218</v>
          </cell>
        </row>
        <row r="5484">
          <cell r="A5484" t="str">
            <v>2625EP67</v>
          </cell>
          <cell r="D5484" t="str">
            <v>KBP74</v>
          </cell>
          <cell r="E5484">
            <v>46218</v>
          </cell>
        </row>
        <row r="5485">
          <cell r="A5485" t="str">
            <v>2622VZ57</v>
          </cell>
          <cell r="D5485" t="str">
            <v>TTS50</v>
          </cell>
          <cell r="E5485">
            <v>46218</v>
          </cell>
        </row>
        <row r="5486">
          <cell r="A5486" t="str">
            <v>2625U357</v>
          </cell>
          <cell r="D5486" t="str">
            <v>TTS50</v>
          </cell>
          <cell r="E5486">
            <v>46218</v>
          </cell>
        </row>
        <row r="5487">
          <cell r="A5487" t="str">
            <v>2626PN27</v>
          </cell>
          <cell r="D5487" t="str">
            <v>S706</v>
          </cell>
          <cell r="E5487">
            <v>46218</v>
          </cell>
        </row>
        <row r="5488">
          <cell r="A5488" t="str">
            <v>2626J447</v>
          </cell>
          <cell r="D5488" t="str">
            <v>FTP150</v>
          </cell>
          <cell r="E5488">
            <v>46218</v>
          </cell>
        </row>
        <row r="5489">
          <cell r="A5489" t="str">
            <v>2626JF67</v>
          </cell>
          <cell r="D5489" t="str">
            <v>FTW121KE</v>
          </cell>
          <cell r="E5489">
            <v>46218</v>
          </cell>
        </row>
        <row r="5490">
          <cell r="A5490" t="str">
            <v>2605ZU47</v>
          </cell>
          <cell r="D5490" t="str">
            <v>KBP76</v>
          </cell>
          <cell r="E5490">
            <v>46218</v>
          </cell>
        </row>
        <row r="5491">
          <cell r="A5491" t="str">
            <v>2620J127</v>
          </cell>
          <cell r="D5491" t="str">
            <v>TTS50</v>
          </cell>
          <cell r="E5491">
            <v>46218</v>
          </cell>
        </row>
        <row r="5492">
          <cell r="A5492" t="str">
            <v>2623IQ17</v>
          </cell>
          <cell r="D5492" t="str">
            <v>TTS50</v>
          </cell>
          <cell r="E5492">
            <v>46218</v>
          </cell>
        </row>
        <row r="5493">
          <cell r="A5493" t="str">
            <v>2626WO57</v>
          </cell>
          <cell r="D5493" t="str">
            <v>FTW102K</v>
          </cell>
          <cell r="E5493">
            <v>46218</v>
          </cell>
        </row>
        <row r="5494">
          <cell r="A5494" t="str">
            <v>2623LO67</v>
          </cell>
          <cell r="D5494" t="str">
            <v>TTS80</v>
          </cell>
          <cell r="E5494">
            <v>46218</v>
          </cell>
        </row>
        <row r="5495">
          <cell r="A5495" t="str">
            <v>2625OV27</v>
          </cell>
          <cell r="D5495" t="str">
            <v>KBP86</v>
          </cell>
          <cell r="E5495">
            <v>46218</v>
          </cell>
        </row>
        <row r="5496">
          <cell r="A5496" t="str">
            <v>2624WN57</v>
          </cell>
          <cell r="D5496" t="str">
            <v>KBP86</v>
          </cell>
          <cell r="E5496">
            <v>46218</v>
          </cell>
        </row>
        <row r="5497">
          <cell r="A5497" t="str">
            <v>2626HF17</v>
          </cell>
          <cell r="D5497" t="str">
            <v>S15MB</v>
          </cell>
          <cell r="E5497">
            <v>46218</v>
          </cell>
        </row>
        <row r="5498">
          <cell r="A5498" t="str">
            <v>2627L737</v>
          </cell>
          <cell r="D5498" t="str">
            <v>FTP150</v>
          </cell>
          <cell r="E5498">
            <v>46218</v>
          </cell>
        </row>
        <row r="5499">
          <cell r="A5499" t="str">
            <v>2627OV27</v>
          </cell>
          <cell r="D5499" t="str">
            <v>FTP150</v>
          </cell>
          <cell r="E5499">
            <v>46218</v>
          </cell>
        </row>
        <row r="5500">
          <cell r="A5500" t="str">
            <v>2627PR17</v>
          </cell>
          <cell r="D5500" t="str">
            <v>FTW121KE</v>
          </cell>
          <cell r="E5500">
            <v>46218</v>
          </cell>
        </row>
        <row r="5501">
          <cell r="A5501" t="str">
            <v>2613Y157</v>
          </cell>
          <cell r="D5501" t="str">
            <v>S706</v>
          </cell>
          <cell r="E5501">
            <v>46218</v>
          </cell>
        </row>
        <row r="5502">
          <cell r="A5502" t="str">
            <v>2626HV17</v>
          </cell>
          <cell r="D5502" t="str">
            <v>KBP76</v>
          </cell>
          <cell r="E5502">
            <v>46218</v>
          </cell>
        </row>
        <row r="5503">
          <cell r="A5503" t="str">
            <v>2620JN37</v>
          </cell>
          <cell r="D5503" t="str">
            <v>TTS50</v>
          </cell>
          <cell r="E5503">
            <v>46218</v>
          </cell>
        </row>
        <row r="5504">
          <cell r="A5504" t="str">
            <v>2626LD47</v>
          </cell>
          <cell r="D5504" t="str">
            <v>FTW121KE</v>
          </cell>
          <cell r="E5504">
            <v>46218</v>
          </cell>
        </row>
        <row r="5505">
          <cell r="A5505" t="str">
            <v>2626JK67</v>
          </cell>
          <cell r="D5505" t="str">
            <v>FTW121KE</v>
          </cell>
          <cell r="E5505">
            <v>46218</v>
          </cell>
        </row>
        <row r="5506">
          <cell r="A5506" t="str">
            <v>2625FT67</v>
          </cell>
          <cell r="D5506" t="str">
            <v>TTS80</v>
          </cell>
          <cell r="E5506">
            <v>46218</v>
          </cell>
        </row>
        <row r="5507">
          <cell r="A5507" t="str">
            <v>2626C927</v>
          </cell>
          <cell r="D5507" t="str">
            <v>S15MB</v>
          </cell>
          <cell r="E5507">
            <v>46218</v>
          </cell>
        </row>
        <row r="5508">
          <cell r="A5508" t="str">
            <v>2613ZR47</v>
          </cell>
          <cell r="D5508" t="str">
            <v>S706</v>
          </cell>
          <cell r="E5508">
            <v>46218</v>
          </cell>
        </row>
        <row r="5509">
          <cell r="A5509" t="str">
            <v>2624DW17</v>
          </cell>
          <cell r="D5509" t="str">
            <v>TTS50</v>
          </cell>
          <cell r="E5509">
            <v>46218</v>
          </cell>
        </row>
        <row r="5510">
          <cell r="A5510" t="str">
            <v>2626VL57</v>
          </cell>
          <cell r="D5510" t="str">
            <v>FTW121KE</v>
          </cell>
          <cell r="E5510">
            <v>46218</v>
          </cell>
        </row>
        <row r="5511">
          <cell r="A5511" t="str">
            <v>2625EY47</v>
          </cell>
          <cell r="D5511" t="str">
            <v>KBP76</v>
          </cell>
          <cell r="E5511">
            <v>46218</v>
          </cell>
        </row>
        <row r="5512">
          <cell r="A5512" t="str">
            <v>2624IG67</v>
          </cell>
          <cell r="D5512" t="str">
            <v>TTS80</v>
          </cell>
          <cell r="E5512">
            <v>46218</v>
          </cell>
        </row>
        <row r="5513">
          <cell r="A5513" t="str">
            <v>2626KU47</v>
          </cell>
          <cell r="D5513" t="str">
            <v>FTW121KE</v>
          </cell>
          <cell r="E5513">
            <v>46218</v>
          </cell>
        </row>
        <row r="5514">
          <cell r="A5514" t="str">
            <v>2627SJ27</v>
          </cell>
          <cell r="D5514" t="str">
            <v>KBP34</v>
          </cell>
          <cell r="E5514">
            <v>46218</v>
          </cell>
        </row>
        <row r="5515">
          <cell r="A5515" t="str">
            <v>2613ZJ47</v>
          </cell>
          <cell r="D5515" t="str">
            <v>S706</v>
          </cell>
          <cell r="E5515">
            <v>46218</v>
          </cell>
        </row>
        <row r="5516">
          <cell r="A5516" t="str">
            <v>2626UD57</v>
          </cell>
          <cell r="D5516" t="str">
            <v>FTW102K</v>
          </cell>
          <cell r="E5516">
            <v>46218</v>
          </cell>
        </row>
        <row r="5517">
          <cell r="A5517" t="str">
            <v>2627KX17</v>
          </cell>
          <cell r="D5517" t="str">
            <v>KBP76</v>
          </cell>
          <cell r="E5517">
            <v>46218</v>
          </cell>
        </row>
        <row r="5518">
          <cell r="A5518" t="str">
            <v>2626L747</v>
          </cell>
          <cell r="D5518" t="str">
            <v>FTW121KE</v>
          </cell>
          <cell r="E5518">
            <v>46218</v>
          </cell>
        </row>
        <row r="5519">
          <cell r="A5519" t="str">
            <v>2613ZS47</v>
          </cell>
          <cell r="D5519" t="str">
            <v>S706</v>
          </cell>
          <cell r="E5519">
            <v>46218</v>
          </cell>
        </row>
        <row r="5520">
          <cell r="A5520" t="str">
            <v>2623JU47</v>
          </cell>
          <cell r="D5520" t="str">
            <v>TTS50</v>
          </cell>
          <cell r="E5520">
            <v>46218</v>
          </cell>
        </row>
        <row r="5521">
          <cell r="A5521" t="str">
            <v>2626J957</v>
          </cell>
          <cell r="D5521" t="str">
            <v>S706</v>
          </cell>
          <cell r="E5521">
            <v>46218</v>
          </cell>
        </row>
        <row r="5522">
          <cell r="A5522" t="str">
            <v>2626H557</v>
          </cell>
          <cell r="D5522" t="str">
            <v>FTW121KE</v>
          </cell>
          <cell r="E5522">
            <v>46218</v>
          </cell>
        </row>
        <row r="5523">
          <cell r="A5523" t="str">
            <v>2626Q537</v>
          </cell>
          <cell r="D5523" t="str">
            <v>S706</v>
          </cell>
          <cell r="E5523">
            <v>46218</v>
          </cell>
        </row>
        <row r="5524">
          <cell r="A5524" t="str">
            <v>2626JG67</v>
          </cell>
          <cell r="D5524" t="str">
            <v>FTW121KE</v>
          </cell>
          <cell r="E5524">
            <v>46218</v>
          </cell>
        </row>
        <row r="5525">
          <cell r="A5525" t="str">
            <v>2624L437</v>
          </cell>
          <cell r="D5525" t="str">
            <v>KBP86</v>
          </cell>
          <cell r="E5525">
            <v>46218</v>
          </cell>
        </row>
        <row r="5526">
          <cell r="A5526" t="str">
            <v>2620IQ17</v>
          </cell>
          <cell r="D5526" t="str">
            <v>TTS50</v>
          </cell>
          <cell r="E5526">
            <v>46218</v>
          </cell>
        </row>
        <row r="5527">
          <cell r="A5527" t="str">
            <v>2626PY47</v>
          </cell>
          <cell r="D5527" t="str">
            <v>S706</v>
          </cell>
          <cell r="E5527">
            <v>46218</v>
          </cell>
        </row>
        <row r="5528">
          <cell r="A5528" t="str">
            <v>2625F757</v>
          </cell>
          <cell r="D5528" t="str">
            <v>KBP76</v>
          </cell>
          <cell r="E5528">
            <v>46218</v>
          </cell>
        </row>
        <row r="5529">
          <cell r="A5529" t="str">
            <v>2626LY47</v>
          </cell>
          <cell r="D5529" t="str">
            <v>FTW121KE</v>
          </cell>
          <cell r="E5529">
            <v>46218</v>
          </cell>
        </row>
        <row r="5530">
          <cell r="A5530" t="str">
            <v>2627Q717</v>
          </cell>
          <cell r="D5530" t="str">
            <v>FTW121KE</v>
          </cell>
          <cell r="E5530">
            <v>46218</v>
          </cell>
        </row>
        <row r="5531">
          <cell r="A5531" t="str">
            <v>2626LX37</v>
          </cell>
          <cell r="D5531" t="str">
            <v>KBP86</v>
          </cell>
          <cell r="E5531">
            <v>46218</v>
          </cell>
        </row>
        <row r="5532">
          <cell r="A5532" t="str">
            <v>2626LE47</v>
          </cell>
          <cell r="D5532" t="str">
            <v>FTW121KE</v>
          </cell>
          <cell r="E5532">
            <v>46218</v>
          </cell>
        </row>
        <row r="5533">
          <cell r="A5533" t="str">
            <v>2626IZ67</v>
          </cell>
          <cell r="D5533" t="str">
            <v>FTW700</v>
          </cell>
          <cell r="E5533">
            <v>46218</v>
          </cell>
        </row>
        <row r="5534">
          <cell r="A5534" t="str">
            <v>2613YX57</v>
          </cell>
          <cell r="D5534" t="str">
            <v>S706</v>
          </cell>
          <cell r="E5534">
            <v>46218</v>
          </cell>
        </row>
        <row r="5535">
          <cell r="A5535" t="str">
            <v>2626HS57</v>
          </cell>
          <cell r="D5535" t="str">
            <v>FTW121KE</v>
          </cell>
          <cell r="E5535">
            <v>46218</v>
          </cell>
        </row>
        <row r="5536">
          <cell r="A5536" t="str">
            <v>2625LX57</v>
          </cell>
          <cell r="D5536" t="str">
            <v>KBP55</v>
          </cell>
          <cell r="E5536">
            <v>46218</v>
          </cell>
        </row>
        <row r="5537">
          <cell r="A5537" t="str">
            <v>2625LX47</v>
          </cell>
          <cell r="D5537" t="str">
            <v>TTS50</v>
          </cell>
          <cell r="E5537">
            <v>46218</v>
          </cell>
        </row>
        <row r="5538">
          <cell r="A5538" t="str">
            <v>2625K327</v>
          </cell>
          <cell r="D5538" t="str">
            <v>KBP86</v>
          </cell>
          <cell r="E5538">
            <v>46218</v>
          </cell>
        </row>
        <row r="5539">
          <cell r="A5539" t="str">
            <v>2627QE37</v>
          </cell>
          <cell r="D5539" t="str">
            <v>KBP52</v>
          </cell>
          <cell r="E5539">
            <v>46218</v>
          </cell>
        </row>
        <row r="5540">
          <cell r="A5540" t="str">
            <v>2627Q417</v>
          </cell>
          <cell r="D5540" t="str">
            <v>FTW121KE</v>
          </cell>
          <cell r="E5540">
            <v>46218</v>
          </cell>
        </row>
        <row r="5541">
          <cell r="A5541" t="str">
            <v>2619BE47</v>
          </cell>
          <cell r="D5541" t="str">
            <v>TTS50</v>
          </cell>
          <cell r="E5541">
            <v>46218</v>
          </cell>
        </row>
        <row r="5542">
          <cell r="A5542" t="str">
            <v>2625GQ67</v>
          </cell>
          <cell r="D5542" t="str">
            <v>TTS80</v>
          </cell>
          <cell r="E5542">
            <v>46218</v>
          </cell>
        </row>
        <row r="5543">
          <cell r="A5543" t="str">
            <v>2620JW37</v>
          </cell>
          <cell r="D5543" t="str">
            <v>TTS50</v>
          </cell>
          <cell r="E5543">
            <v>46218</v>
          </cell>
        </row>
        <row r="5544">
          <cell r="A5544" t="str">
            <v>2626H657</v>
          </cell>
          <cell r="D5544" t="str">
            <v>FTW121KE</v>
          </cell>
          <cell r="E5544">
            <v>46218</v>
          </cell>
        </row>
        <row r="5545">
          <cell r="A5545" t="str">
            <v>2625EY67</v>
          </cell>
          <cell r="D5545" t="str">
            <v>KBP74</v>
          </cell>
          <cell r="E5545">
            <v>46218</v>
          </cell>
        </row>
        <row r="5546">
          <cell r="A5546" t="str">
            <v>2610ZJ27</v>
          </cell>
          <cell r="D5546" t="str">
            <v>KBP74</v>
          </cell>
          <cell r="E5546">
            <v>46218</v>
          </cell>
        </row>
        <row r="5547">
          <cell r="A5547" t="str">
            <v>2613Y557</v>
          </cell>
          <cell r="D5547" t="str">
            <v>S706</v>
          </cell>
          <cell r="E5547">
            <v>46218</v>
          </cell>
        </row>
        <row r="5548">
          <cell r="A5548" t="str">
            <v>2620JJ37</v>
          </cell>
          <cell r="D5548" t="str">
            <v>TTS50</v>
          </cell>
          <cell r="E5548">
            <v>46218</v>
          </cell>
        </row>
        <row r="5549">
          <cell r="A5549" t="str">
            <v>2627Q827</v>
          </cell>
          <cell r="D5549" t="str">
            <v>FTW102K</v>
          </cell>
          <cell r="E5549">
            <v>46218</v>
          </cell>
        </row>
        <row r="5550">
          <cell r="A5550" t="str">
            <v>2627SN27</v>
          </cell>
          <cell r="D5550" t="str">
            <v>S15HV100</v>
          </cell>
          <cell r="E5550">
            <v>46218</v>
          </cell>
        </row>
        <row r="5551">
          <cell r="A5551" t="str">
            <v>2626VG57</v>
          </cell>
          <cell r="D5551" t="str">
            <v>FTW121KE</v>
          </cell>
          <cell r="E5551">
            <v>46218</v>
          </cell>
        </row>
        <row r="5552">
          <cell r="A5552" t="str">
            <v>2623DP27</v>
          </cell>
          <cell r="D5552" t="str">
            <v>TTS50</v>
          </cell>
          <cell r="E5552">
            <v>46218</v>
          </cell>
        </row>
        <row r="5553">
          <cell r="A5553" t="str">
            <v>2621OQ37</v>
          </cell>
          <cell r="D5553" t="str">
            <v>TTS80</v>
          </cell>
          <cell r="E5553">
            <v>46218</v>
          </cell>
        </row>
        <row r="5554">
          <cell r="A5554" t="str">
            <v>2624GD67</v>
          </cell>
          <cell r="D5554" t="str">
            <v>KBP76</v>
          </cell>
          <cell r="E5554">
            <v>46218</v>
          </cell>
        </row>
        <row r="5555">
          <cell r="A5555" t="str">
            <v>2626FF57</v>
          </cell>
          <cell r="D5555" t="str">
            <v>FTP150</v>
          </cell>
          <cell r="E5555">
            <v>46218</v>
          </cell>
        </row>
        <row r="5556">
          <cell r="A5556" t="str">
            <v>2623IZ17</v>
          </cell>
          <cell r="D5556" t="str">
            <v>TTS50</v>
          </cell>
          <cell r="E5556">
            <v>46218</v>
          </cell>
        </row>
        <row r="5557">
          <cell r="A5557" t="str">
            <v>2619DS37</v>
          </cell>
          <cell r="D5557" t="str">
            <v>TTS50</v>
          </cell>
          <cell r="E5557">
            <v>46218</v>
          </cell>
        </row>
        <row r="5558">
          <cell r="A5558" t="str">
            <v>2626HC57</v>
          </cell>
          <cell r="D5558" t="str">
            <v>FTW121KE</v>
          </cell>
          <cell r="E5558">
            <v>46218</v>
          </cell>
        </row>
        <row r="5559">
          <cell r="A5559" t="str">
            <v>2620GH57</v>
          </cell>
          <cell r="D5559" t="str">
            <v>TTS50</v>
          </cell>
          <cell r="E5559">
            <v>46218</v>
          </cell>
        </row>
        <row r="5560">
          <cell r="A5560" t="str">
            <v>2613ZL47</v>
          </cell>
          <cell r="D5560" t="str">
            <v>S706</v>
          </cell>
          <cell r="E5560">
            <v>46218</v>
          </cell>
        </row>
        <row r="5561">
          <cell r="A5561" t="str">
            <v>2624WV57</v>
          </cell>
          <cell r="D5561" t="str">
            <v>KBP86</v>
          </cell>
          <cell r="E5561">
            <v>46218</v>
          </cell>
        </row>
        <row r="5562">
          <cell r="A5562" t="str">
            <v>2613ZM47</v>
          </cell>
          <cell r="D5562" t="str">
            <v>S706</v>
          </cell>
          <cell r="E5562">
            <v>46218</v>
          </cell>
        </row>
        <row r="5563">
          <cell r="A5563" t="str">
            <v>2625E767</v>
          </cell>
          <cell r="D5563" t="str">
            <v>KBP86</v>
          </cell>
          <cell r="E5563">
            <v>46218</v>
          </cell>
        </row>
        <row r="5564">
          <cell r="A5564" t="str">
            <v>2626UX57</v>
          </cell>
          <cell r="D5564" t="str">
            <v>FTW121KE</v>
          </cell>
          <cell r="E5564">
            <v>46218</v>
          </cell>
        </row>
        <row r="5565">
          <cell r="A5565" t="str">
            <v>2625K537</v>
          </cell>
          <cell r="D5565" t="str">
            <v>KBP86</v>
          </cell>
          <cell r="E5565">
            <v>46218</v>
          </cell>
        </row>
        <row r="5566">
          <cell r="A5566" t="str">
            <v>2627KV17</v>
          </cell>
          <cell r="D5566" t="str">
            <v>KBP76</v>
          </cell>
          <cell r="E5566">
            <v>46218</v>
          </cell>
        </row>
        <row r="5567">
          <cell r="A5567" t="str">
            <v>2620QL37</v>
          </cell>
          <cell r="D5567" t="str">
            <v>TTS80</v>
          </cell>
          <cell r="E5567">
            <v>46218</v>
          </cell>
        </row>
        <row r="5568">
          <cell r="A5568" t="str">
            <v>2624PY27</v>
          </cell>
          <cell r="D5568" t="str">
            <v>TTS80</v>
          </cell>
          <cell r="E5568">
            <v>46218</v>
          </cell>
        </row>
        <row r="5569">
          <cell r="A5569" t="str">
            <v>2627Q917</v>
          </cell>
          <cell r="D5569" t="str">
            <v>FTW121KE</v>
          </cell>
          <cell r="E5569">
            <v>46218</v>
          </cell>
        </row>
        <row r="5570">
          <cell r="A5570" t="str">
            <v>2626KH67</v>
          </cell>
          <cell r="D5570" t="str">
            <v>KBP76</v>
          </cell>
          <cell r="E5570">
            <v>46218</v>
          </cell>
        </row>
        <row r="5571">
          <cell r="A5571" t="str">
            <v>2626JC67</v>
          </cell>
          <cell r="D5571" t="str">
            <v>FTW121KE</v>
          </cell>
          <cell r="E5571">
            <v>46218</v>
          </cell>
        </row>
        <row r="5572">
          <cell r="A5572" t="str">
            <v>2626FJ57</v>
          </cell>
          <cell r="D5572" t="str">
            <v>FTP150</v>
          </cell>
          <cell r="E5572">
            <v>46217</v>
          </cell>
        </row>
        <row r="5573">
          <cell r="A5573" t="str">
            <v>2625BX67</v>
          </cell>
          <cell r="D5573" t="str">
            <v>KBP86</v>
          </cell>
          <cell r="E5573">
            <v>46217</v>
          </cell>
        </row>
        <row r="5574">
          <cell r="A5574" t="str">
            <v>2624D967</v>
          </cell>
          <cell r="D5574" t="str">
            <v>KBP86</v>
          </cell>
          <cell r="E5574">
            <v>46217</v>
          </cell>
        </row>
        <row r="5575">
          <cell r="A5575" t="str">
            <v>2627AC27</v>
          </cell>
          <cell r="D5575" t="str">
            <v>KBP76</v>
          </cell>
          <cell r="E5575">
            <v>46217</v>
          </cell>
        </row>
        <row r="5576">
          <cell r="A5576" t="str">
            <v>2626PU27</v>
          </cell>
          <cell r="D5576" t="str">
            <v>KBP76</v>
          </cell>
          <cell r="E5576">
            <v>46217</v>
          </cell>
        </row>
        <row r="5577">
          <cell r="A5577" t="str">
            <v>2626V657</v>
          </cell>
          <cell r="D5577" t="str">
            <v>FTW121KE</v>
          </cell>
          <cell r="E5577">
            <v>46217</v>
          </cell>
        </row>
        <row r="5578">
          <cell r="A5578" t="str">
            <v>2626JH67</v>
          </cell>
          <cell r="D5578" t="str">
            <v>FTW121KE</v>
          </cell>
          <cell r="E5578">
            <v>46217</v>
          </cell>
        </row>
        <row r="5579">
          <cell r="A5579" t="str">
            <v>2626IE47</v>
          </cell>
          <cell r="D5579" t="str">
            <v>S506</v>
          </cell>
          <cell r="E5579">
            <v>46217</v>
          </cell>
        </row>
        <row r="5580">
          <cell r="A5580" t="str">
            <v>2626V457</v>
          </cell>
          <cell r="D5580" t="str">
            <v>FTW121KE</v>
          </cell>
          <cell r="E5580">
            <v>46217</v>
          </cell>
        </row>
        <row r="5581">
          <cell r="A5581" t="str">
            <v>2626LQ47</v>
          </cell>
          <cell r="D5581" t="str">
            <v>FTW121KE</v>
          </cell>
          <cell r="E5581">
            <v>46217</v>
          </cell>
        </row>
        <row r="5582">
          <cell r="A5582" t="str">
            <v>2622ES67</v>
          </cell>
          <cell r="D5582" t="str">
            <v>TTS80</v>
          </cell>
          <cell r="E5582">
            <v>46217</v>
          </cell>
        </row>
        <row r="5583">
          <cell r="A5583" t="str">
            <v>2627SL27</v>
          </cell>
          <cell r="D5583" t="str">
            <v>KBP34</v>
          </cell>
          <cell r="E5583">
            <v>46217</v>
          </cell>
        </row>
        <row r="5584">
          <cell r="A5584" t="str">
            <v>2625WE57</v>
          </cell>
          <cell r="D5584" t="str">
            <v>STA200KA</v>
          </cell>
          <cell r="E5584">
            <v>46217</v>
          </cell>
        </row>
        <row r="5585">
          <cell r="A5585" t="str">
            <v>2627KT17</v>
          </cell>
          <cell r="D5585" t="str">
            <v>FTP150</v>
          </cell>
          <cell r="E5585">
            <v>46217</v>
          </cell>
        </row>
        <row r="5586">
          <cell r="A5586" t="str">
            <v>2627HK67</v>
          </cell>
          <cell r="D5586" t="str">
            <v>KBP86</v>
          </cell>
          <cell r="E5586">
            <v>46217</v>
          </cell>
        </row>
        <row r="5587">
          <cell r="A5587" t="str">
            <v>2618XJ47</v>
          </cell>
          <cell r="D5587" t="str">
            <v>TTS50</v>
          </cell>
          <cell r="E5587">
            <v>46217</v>
          </cell>
        </row>
        <row r="5588">
          <cell r="A5588" t="str">
            <v>2620J827</v>
          </cell>
          <cell r="D5588" t="str">
            <v>TTS50</v>
          </cell>
          <cell r="E5588">
            <v>46217</v>
          </cell>
        </row>
        <row r="5589">
          <cell r="A5589" t="str">
            <v>2627IL47</v>
          </cell>
          <cell r="D5589" t="str">
            <v>KBP86</v>
          </cell>
          <cell r="E5589">
            <v>46217</v>
          </cell>
        </row>
        <row r="5590">
          <cell r="A5590" t="str">
            <v>2614YT17</v>
          </cell>
          <cell r="D5590" t="str">
            <v>S706</v>
          </cell>
          <cell r="E5590">
            <v>46217</v>
          </cell>
        </row>
        <row r="5591">
          <cell r="A5591" t="str">
            <v>2626LH37</v>
          </cell>
          <cell r="D5591" t="str">
            <v>FTW121KE</v>
          </cell>
          <cell r="E5591">
            <v>46217</v>
          </cell>
        </row>
        <row r="5592">
          <cell r="A5592" t="str">
            <v>2626LL47</v>
          </cell>
          <cell r="D5592" t="str">
            <v>FTW121KE</v>
          </cell>
          <cell r="E5592">
            <v>46217</v>
          </cell>
        </row>
        <row r="5593">
          <cell r="A5593" t="str">
            <v>2624U657</v>
          </cell>
          <cell r="D5593" t="str">
            <v>KBP86</v>
          </cell>
          <cell r="E5593">
            <v>46217</v>
          </cell>
        </row>
        <row r="5594">
          <cell r="A5594" t="str">
            <v>2626L147</v>
          </cell>
          <cell r="D5594" t="str">
            <v>FTW121KE</v>
          </cell>
          <cell r="E5594">
            <v>46217</v>
          </cell>
        </row>
        <row r="5595">
          <cell r="A5595" t="str">
            <v>2626V757</v>
          </cell>
          <cell r="D5595" t="str">
            <v>FTW121KE</v>
          </cell>
          <cell r="E5595">
            <v>46217</v>
          </cell>
        </row>
        <row r="5596">
          <cell r="A5596" t="str">
            <v>2626PH17</v>
          </cell>
          <cell r="D5596" t="str">
            <v>KBP55</v>
          </cell>
          <cell r="E5596">
            <v>46217</v>
          </cell>
        </row>
        <row r="5597">
          <cell r="A5597" t="str">
            <v>2626SR37</v>
          </cell>
          <cell r="D5597" t="str">
            <v>KBP74</v>
          </cell>
          <cell r="E5597">
            <v>46217</v>
          </cell>
        </row>
        <row r="5598">
          <cell r="A5598" t="str">
            <v>2626OC17</v>
          </cell>
          <cell r="D5598" t="str">
            <v>S706</v>
          </cell>
          <cell r="E5598">
            <v>46217</v>
          </cell>
        </row>
        <row r="5599">
          <cell r="A5599" t="str">
            <v>2620JF27</v>
          </cell>
          <cell r="D5599" t="str">
            <v>TTS50</v>
          </cell>
          <cell r="E5599">
            <v>46217</v>
          </cell>
        </row>
        <row r="5600">
          <cell r="A5600" t="str">
            <v>2627QH17</v>
          </cell>
          <cell r="D5600" t="str">
            <v>FTW121KE</v>
          </cell>
          <cell r="E5600">
            <v>46217</v>
          </cell>
        </row>
        <row r="5601">
          <cell r="A5601" t="str">
            <v>2625Q217</v>
          </cell>
          <cell r="D5601" t="str">
            <v>KBP76</v>
          </cell>
          <cell r="E5601">
            <v>46217</v>
          </cell>
        </row>
        <row r="5602">
          <cell r="A5602" t="str">
            <v>2626UN57</v>
          </cell>
          <cell r="D5602" t="str">
            <v>FTW102K</v>
          </cell>
          <cell r="E5602">
            <v>46217</v>
          </cell>
        </row>
        <row r="5603">
          <cell r="A5603" t="str">
            <v>2624L727</v>
          </cell>
          <cell r="D5603" t="str">
            <v>KBP76</v>
          </cell>
          <cell r="E5603">
            <v>46217</v>
          </cell>
        </row>
        <row r="5604">
          <cell r="A5604" t="str">
            <v>2620JB17</v>
          </cell>
          <cell r="D5604" t="str">
            <v>TTS50</v>
          </cell>
          <cell r="E5604">
            <v>46217</v>
          </cell>
        </row>
        <row r="5605">
          <cell r="A5605" t="str">
            <v>2626IT37</v>
          </cell>
          <cell r="D5605" t="str">
            <v>KBP86</v>
          </cell>
          <cell r="E5605">
            <v>46217</v>
          </cell>
        </row>
        <row r="5606">
          <cell r="A5606" t="str">
            <v>2626PW17</v>
          </cell>
          <cell r="D5606" t="str">
            <v>TTS80</v>
          </cell>
          <cell r="E5606">
            <v>46217</v>
          </cell>
        </row>
        <row r="5607">
          <cell r="A5607" t="str">
            <v>2623KW37</v>
          </cell>
          <cell r="D5607" t="str">
            <v>FTW700</v>
          </cell>
          <cell r="E5607">
            <v>46217</v>
          </cell>
        </row>
        <row r="5608">
          <cell r="A5608" t="str">
            <v>2626FJ57</v>
          </cell>
          <cell r="D5608" t="str">
            <v>FTP150</v>
          </cell>
          <cell r="E5608">
            <v>46217</v>
          </cell>
        </row>
        <row r="5609">
          <cell r="A5609" t="str">
            <v>2626JJ37</v>
          </cell>
          <cell r="D5609" t="str">
            <v>FTP150</v>
          </cell>
          <cell r="E5609">
            <v>46217</v>
          </cell>
        </row>
        <row r="5610">
          <cell r="A5610" t="str">
            <v>2619EA57</v>
          </cell>
          <cell r="D5610" t="str">
            <v>TTS50</v>
          </cell>
          <cell r="E5610">
            <v>46217</v>
          </cell>
        </row>
        <row r="5611">
          <cell r="A5611" t="str">
            <v>2627Q737</v>
          </cell>
          <cell r="D5611" t="str">
            <v>KBP86</v>
          </cell>
          <cell r="E5611">
            <v>46217</v>
          </cell>
        </row>
        <row r="5612">
          <cell r="A5612" t="str">
            <v>2624HU67</v>
          </cell>
          <cell r="D5612" t="str">
            <v>TTS80</v>
          </cell>
          <cell r="E5612">
            <v>46217</v>
          </cell>
        </row>
        <row r="5613">
          <cell r="A5613" t="str">
            <v>2626PG27</v>
          </cell>
          <cell r="D5613" t="str">
            <v>S706</v>
          </cell>
          <cell r="E5613">
            <v>46217</v>
          </cell>
        </row>
        <row r="5614">
          <cell r="A5614" t="str">
            <v>2620GE57</v>
          </cell>
          <cell r="D5614" t="str">
            <v>TTS50</v>
          </cell>
          <cell r="E5614">
            <v>46217</v>
          </cell>
        </row>
        <row r="5615">
          <cell r="A5615" t="str">
            <v>2621WN57</v>
          </cell>
          <cell r="D5615" t="str">
            <v>FTW700</v>
          </cell>
          <cell r="E5615">
            <v>46217</v>
          </cell>
        </row>
        <row r="5616">
          <cell r="A5616" t="str">
            <v>2623JO37</v>
          </cell>
          <cell r="D5616" t="str">
            <v>TTS50</v>
          </cell>
          <cell r="E5616">
            <v>46217</v>
          </cell>
        </row>
        <row r="5617">
          <cell r="A5617" t="str">
            <v>2626CV37</v>
          </cell>
          <cell r="D5617" t="str">
            <v>STA156KA</v>
          </cell>
          <cell r="E5617">
            <v>46217</v>
          </cell>
        </row>
        <row r="5618">
          <cell r="A5618" t="str">
            <v>2619JW57</v>
          </cell>
          <cell r="D5618" t="str">
            <v>TTS50</v>
          </cell>
          <cell r="E5618">
            <v>46217</v>
          </cell>
        </row>
        <row r="5619">
          <cell r="A5619" t="str">
            <v>2625KR57</v>
          </cell>
          <cell r="D5619" t="str">
            <v>S706</v>
          </cell>
          <cell r="E5619">
            <v>46217</v>
          </cell>
        </row>
        <row r="5620">
          <cell r="A5620" t="str">
            <v>2627AW27</v>
          </cell>
          <cell r="D5620" t="str">
            <v>KBP55</v>
          </cell>
          <cell r="E5620">
            <v>46217</v>
          </cell>
        </row>
        <row r="5621">
          <cell r="A5621" t="str">
            <v>2625L327</v>
          </cell>
          <cell r="D5621" t="str">
            <v>KBP76</v>
          </cell>
          <cell r="E5621">
            <v>46217</v>
          </cell>
        </row>
        <row r="5622">
          <cell r="A5622" t="str">
            <v>2626HB57</v>
          </cell>
          <cell r="D5622" t="str">
            <v>FTW121KE</v>
          </cell>
          <cell r="E5622">
            <v>46217</v>
          </cell>
        </row>
        <row r="5623">
          <cell r="A5623" t="str">
            <v>2625EX67</v>
          </cell>
          <cell r="D5623" t="str">
            <v>KBP74</v>
          </cell>
          <cell r="E5623">
            <v>46217</v>
          </cell>
        </row>
        <row r="5624">
          <cell r="A5624" t="str">
            <v>2626JJ67</v>
          </cell>
          <cell r="D5624" t="str">
            <v>FTW121KE</v>
          </cell>
          <cell r="E5624">
            <v>46217</v>
          </cell>
        </row>
        <row r="5625">
          <cell r="A5625" t="str">
            <v>2620JK37</v>
          </cell>
          <cell r="D5625" t="str">
            <v>TTS50</v>
          </cell>
          <cell r="E5625">
            <v>46217</v>
          </cell>
        </row>
        <row r="5626">
          <cell r="A5626" t="str">
            <v>2626CU37</v>
          </cell>
          <cell r="D5626" t="str">
            <v>STA156KA</v>
          </cell>
          <cell r="E5626">
            <v>46217</v>
          </cell>
        </row>
        <row r="5627">
          <cell r="A5627" t="str">
            <v>2623E367</v>
          </cell>
          <cell r="D5627" t="str">
            <v>TTS50</v>
          </cell>
          <cell r="E5627">
            <v>46217</v>
          </cell>
        </row>
        <row r="5628">
          <cell r="A5628" t="str">
            <v>2627D357</v>
          </cell>
          <cell r="D5628" t="str">
            <v>KBP76</v>
          </cell>
          <cell r="E5628">
            <v>46217</v>
          </cell>
        </row>
        <row r="5629">
          <cell r="A5629" t="str">
            <v>2626LO47</v>
          </cell>
          <cell r="D5629" t="str">
            <v>FTW121KE</v>
          </cell>
          <cell r="E5629">
            <v>46217</v>
          </cell>
        </row>
        <row r="5630">
          <cell r="A5630" t="str">
            <v>2626I447</v>
          </cell>
          <cell r="D5630" t="str">
            <v>KBP76</v>
          </cell>
          <cell r="E5630">
            <v>46217</v>
          </cell>
        </row>
        <row r="5631">
          <cell r="A5631" t="str">
            <v>2626II47</v>
          </cell>
          <cell r="D5631" t="str">
            <v>KBP86</v>
          </cell>
          <cell r="E5631">
            <v>46217</v>
          </cell>
        </row>
        <row r="5632">
          <cell r="A5632" t="str">
            <v>2625KV47</v>
          </cell>
          <cell r="D5632" t="str">
            <v>S706</v>
          </cell>
          <cell r="E5632">
            <v>46217</v>
          </cell>
        </row>
        <row r="5633">
          <cell r="A5633" t="str">
            <v>2626CX27</v>
          </cell>
          <cell r="D5633" t="str">
            <v>S15MB</v>
          </cell>
          <cell r="E5633">
            <v>46217</v>
          </cell>
        </row>
        <row r="5634">
          <cell r="A5634" t="str">
            <v>2627P917</v>
          </cell>
          <cell r="D5634" t="str">
            <v>FTW102K</v>
          </cell>
          <cell r="E5634">
            <v>46217</v>
          </cell>
        </row>
        <row r="5635">
          <cell r="A5635" t="str">
            <v>2626IG27</v>
          </cell>
          <cell r="D5635" t="str">
            <v>KBP76</v>
          </cell>
          <cell r="E5635">
            <v>46217</v>
          </cell>
        </row>
        <row r="5636">
          <cell r="A5636" t="str">
            <v>2626PS47</v>
          </cell>
          <cell r="D5636" t="str">
            <v>S706</v>
          </cell>
          <cell r="E5636">
            <v>46217</v>
          </cell>
        </row>
        <row r="5637">
          <cell r="A5637" t="str">
            <v>2626OF17</v>
          </cell>
          <cell r="D5637" t="str">
            <v>KBP76</v>
          </cell>
          <cell r="E5637">
            <v>46217</v>
          </cell>
        </row>
        <row r="5638">
          <cell r="A5638" t="str">
            <v>2627SE27</v>
          </cell>
          <cell r="D5638" t="str">
            <v>KBP86</v>
          </cell>
          <cell r="E5638">
            <v>46217</v>
          </cell>
        </row>
        <row r="5639">
          <cell r="A5639" t="str">
            <v>2625EU67</v>
          </cell>
          <cell r="D5639" t="str">
            <v>KBP74</v>
          </cell>
          <cell r="E5639">
            <v>46217</v>
          </cell>
        </row>
        <row r="5640">
          <cell r="A5640" t="str">
            <v>2627LB37</v>
          </cell>
          <cell r="D5640" t="str">
            <v>KBP76</v>
          </cell>
          <cell r="E5640">
            <v>46217</v>
          </cell>
        </row>
        <row r="5641">
          <cell r="A5641" t="str">
            <v>2623J317</v>
          </cell>
          <cell r="D5641" t="str">
            <v>TTS50</v>
          </cell>
          <cell r="E5641">
            <v>46217</v>
          </cell>
        </row>
        <row r="5642">
          <cell r="A5642" t="str">
            <v>2627PE17</v>
          </cell>
          <cell r="D5642" t="str">
            <v>FTW121KE</v>
          </cell>
          <cell r="E5642">
            <v>46217</v>
          </cell>
        </row>
        <row r="5643">
          <cell r="A5643" t="str">
            <v>2624HL27</v>
          </cell>
          <cell r="D5643" t="str">
            <v>STA156KA</v>
          </cell>
          <cell r="E5643">
            <v>46217</v>
          </cell>
        </row>
        <row r="5644">
          <cell r="A5644" t="str">
            <v>2625JR17</v>
          </cell>
          <cell r="D5644" t="str">
            <v>KBP76</v>
          </cell>
          <cell r="E5644">
            <v>46217</v>
          </cell>
        </row>
        <row r="5645">
          <cell r="A5645" t="str">
            <v>2627Q437</v>
          </cell>
          <cell r="D5645" t="str">
            <v>KBP86</v>
          </cell>
          <cell r="E5645">
            <v>46217</v>
          </cell>
        </row>
        <row r="5646">
          <cell r="A5646" t="str">
            <v>2625LX17</v>
          </cell>
          <cell r="D5646" t="str">
            <v>KBP86</v>
          </cell>
          <cell r="E5646">
            <v>46217</v>
          </cell>
        </row>
        <row r="5647">
          <cell r="A5647" t="str">
            <v>2626KK67</v>
          </cell>
          <cell r="D5647" t="str">
            <v>KBP76</v>
          </cell>
          <cell r="E5647">
            <v>46217</v>
          </cell>
        </row>
        <row r="5648">
          <cell r="A5648" t="str">
            <v>2626UY57</v>
          </cell>
          <cell r="D5648" t="str">
            <v>FTW121KE</v>
          </cell>
          <cell r="E5648">
            <v>46217</v>
          </cell>
        </row>
        <row r="5649">
          <cell r="A5649" t="str">
            <v>2622VP57</v>
          </cell>
          <cell r="D5649" t="str">
            <v>TTS50</v>
          </cell>
          <cell r="E5649">
            <v>46217</v>
          </cell>
        </row>
        <row r="5650">
          <cell r="A5650" t="str">
            <v>2625L857</v>
          </cell>
          <cell r="D5650" t="str">
            <v>S706</v>
          </cell>
          <cell r="E5650">
            <v>46217</v>
          </cell>
        </row>
        <row r="5651">
          <cell r="A5651" t="str">
            <v>2614YY17</v>
          </cell>
          <cell r="D5651" t="str">
            <v>S706</v>
          </cell>
          <cell r="E5651">
            <v>46217</v>
          </cell>
        </row>
        <row r="5652">
          <cell r="A5652" t="str">
            <v>2625G967</v>
          </cell>
          <cell r="D5652" t="str">
            <v>TTS80</v>
          </cell>
          <cell r="E5652">
            <v>46217</v>
          </cell>
        </row>
        <row r="5653">
          <cell r="A5653" t="str">
            <v>2621ID67</v>
          </cell>
          <cell r="D5653" t="str">
            <v>TTS80</v>
          </cell>
          <cell r="E5653">
            <v>46217</v>
          </cell>
        </row>
        <row r="5654">
          <cell r="A5654" t="str">
            <v>2626I147</v>
          </cell>
          <cell r="D5654" t="str">
            <v>KBP76</v>
          </cell>
          <cell r="E5654">
            <v>46217</v>
          </cell>
        </row>
        <row r="5655">
          <cell r="A5655" t="str">
            <v>2626CW47</v>
          </cell>
          <cell r="D5655" t="str">
            <v>STA156KA</v>
          </cell>
          <cell r="E5655">
            <v>46217</v>
          </cell>
        </row>
        <row r="5656">
          <cell r="A5656" t="str">
            <v>2623LP67</v>
          </cell>
          <cell r="D5656" t="str">
            <v>TTS80</v>
          </cell>
          <cell r="E5656">
            <v>46217</v>
          </cell>
        </row>
        <row r="5657">
          <cell r="A5657" t="str">
            <v>2626HX47</v>
          </cell>
          <cell r="D5657" t="str">
            <v>KBP76</v>
          </cell>
          <cell r="E5657">
            <v>46217</v>
          </cell>
        </row>
        <row r="5658">
          <cell r="A5658" t="str">
            <v>2625L137</v>
          </cell>
          <cell r="D5658" t="str">
            <v>KBP76</v>
          </cell>
          <cell r="E5658">
            <v>46217</v>
          </cell>
        </row>
        <row r="5659">
          <cell r="A5659" t="str">
            <v>2613YU57</v>
          </cell>
          <cell r="D5659" t="str">
            <v>S706</v>
          </cell>
          <cell r="E5659">
            <v>46217</v>
          </cell>
        </row>
        <row r="5660">
          <cell r="A5660" t="str">
            <v>2625E967</v>
          </cell>
          <cell r="D5660" t="str">
            <v>KBP76</v>
          </cell>
          <cell r="E5660">
            <v>46217</v>
          </cell>
        </row>
        <row r="5661">
          <cell r="A5661" t="str">
            <v>2623J517</v>
          </cell>
          <cell r="D5661" t="str">
            <v>TTS50</v>
          </cell>
          <cell r="E5661">
            <v>46217</v>
          </cell>
        </row>
        <row r="5662">
          <cell r="A5662" t="str">
            <v>2624QX37</v>
          </cell>
          <cell r="D5662" t="str">
            <v>TTS50</v>
          </cell>
          <cell r="E5662">
            <v>46217</v>
          </cell>
        </row>
        <row r="5663">
          <cell r="A5663" t="str">
            <v>2626LE37</v>
          </cell>
          <cell r="D5663" t="str">
            <v>FTW121KE</v>
          </cell>
          <cell r="E5663">
            <v>46217</v>
          </cell>
        </row>
        <row r="5664">
          <cell r="A5664" t="str">
            <v>2627QC37</v>
          </cell>
          <cell r="D5664" t="str">
            <v>KBP34</v>
          </cell>
          <cell r="E5664">
            <v>46217</v>
          </cell>
        </row>
        <row r="5665">
          <cell r="A5665" t="str">
            <v>2623KX67</v>
          </cell>
          <cell r="D5665" t="str">
            <v>TTS80</v>
          </cell>
          <cell r="E5665">
            <v>46217</v>
          </cell>
        </row>
        <row r="5666">
          <cell r="A5666" t="str">
            <v>2626QF37</v>
          </cell>
          <cell r="D5666" t="str">
            <v>S706</v>
          </cell>
          <cell r="E5666">
            <v>46217</v>
          </cell>
        </row>
        <row r="5667">
          <cell r="A5667" t="str">
            <v>2625XM57</v>
          </cell>
          <cell r="D5667" t="str">
            <v>KBP86</v>
          </cell>
          <cell r="E5667">
            <v>46217</v>
          </cell>
        </row>
        <row r="5668">
          <cell r="A5668" t="str">
            <v>2627SH27</v>
          </cell>
          <cell r="D5668" t="str">
            <v>FTP200</v>
          </cell>
          <cell r="E5668">
            <v>46217</v>
          </cell>
        </row>
        <row r="5669">
          <cell r="A5669" t="str">
            <v>2627PA17</v>
          </cell>
          <cell r="D5669" t="str">
            <v>FTW102K</v>
          </cell>
          <cell r="E5669">
            <v>46217</v>
          </cell>
        </row>
        <row r="5670">
          <cell r="A5670" t="str">
            <v>2627IM47</v>
          </cell>
          <cell r="D5670" t="str">
            <v>FTP200</v>
          </cell>
          <cell r="E5670">
            <v>46217</v>
          </cell>
        </row>
        <row r="5671">
          <cell r="A5671" t="str">
            <v>2627VR17</v>
          </cell>
          <cell r="D5671" t="str">
            <v>KBP76</v>
          </cell>
          <cell r="E5671">
            <v>46217</v>
          </cell>
        </row>
        <row r="5672">
          <cell r="A5672" t="str">
            <v>2614YX17</v>
          </cell>
          <cell r="D5672" t="str">
            <v>S706</v>
          </cell>
          <cell r="E5672">
            <v>46217</v>
          </cell>
        </row>
        <row r="5673">
          <cell r="A5673" t="str">
            <v>2627WR27</v>
          </cell>
          <cell r="D5673" t="str">
            <v>KBP86</v>
          </cell>
          <cell r="E5673">
            <v>46217</v>
          </cell>
        </row>
        <row r="5674">
          <cell r="A5674" t="str">
            <v>2624DX17</v>
          </cell>
          <cell r="D5674" t="str">
            <v>TTS50</v>
          </cell>
          <cell r="E5674">
            <v>46217</v>
          </cell>
        </row>
        <row r="5675">
          <cell r="A5675" t="str">
            <v>2624IO67</v>
          </cell>
          <cell r="D5675" t="str">
            <v>TTS80</v>
          </cell>
          <cell r="E5675">
            <v>46217</v>
          </cell>
        </row>
        <row r="5676">
          <cell r="A5676" t="str">
            <v>2623IY67</v>
          </cell>
          <cell r="D5676" t="str">
            <v>KBP76</v>
          </cell>
          <cell r="E5676">
            <v>46217</v>
          </cell>
        </row>
        <row r="5677">
          <cell r="A5677" t="str">
            <v>2625QT27</v>
          </cell>
          <cell r="D5677" t="str">
            <v>S706</v>
          </cell>
          <cell r="E5677">
            <v>46217</v>
          </cell>
        </row>
        <row r="5678">
          <cell r="A5678" t="str">
            <v>2627AX27</v>
          </cell>
          <cell r="D5678" t="str">
            <v>KBP55</v>
          </cell>
          <cell r="E5678">
            <v>46217</v>
          </cell>
        </row>
        <row r="5679">
          <cell r="A5679" t="str">
            <v>2626O617</v>
          </cell>
          <cell r="D5679" t="str">
            <v>S706</v>
          </cell>
          <cell r="E5679">
            <v>46217</v>
          </cell>
        </row>
        <row r="5680">
          <cell r="A5680" t="str">
            <v>2613YV57</v>
          </cell>
          <cell r="D5680" t="str">
            <v>S706</v>
          </cell>
          <cell r="E5680">
            <v>46217</v>
          </cell>
        </row>
        <row r="5681">
          <cell r="A5681" t="str">
            <v>2626PX37</v>
          </cell>
          <cell r="D5681" t="str">
            <v>S706</v>
          </cell>
          <cell r="E5681">
            <v>46217</v>
          </cell>
        </row>
        <row r="5682">
          <cell r="A5682" t="str">
            <v>2613YW57</v>
          </cell>
          <cell r="D5682" t="str">
            <v>S706</v>
          </cell>
          <cell r="E5682">
            <v>46217</v>
          </cell>
        </row>
        <row r="5683">
          <cell r="A5683" t="str">
            <v>2614YU17</v>
          </cell>
          <cell r="D5683" t="str">
            <v>S706</v>
          </cell>
          <cell r="E5683">
            <v>46217</v>
          </cell>
        </row>
        <row r="5684">
          <cell r="A5684" t="str">
            <v>2625LC37</v>
          </cell>
          <cell r="D5684" t="str">
            <v>KBP55</v>
          </cell>
          <cell r="E5684">
            <v>46217</v>
          </cell>
        </row>
        <row r="5685">
          <cell r="A5685" t="str">
            <v>2626KP47</v>
          </cell>
          <cell r="D5685" t="str">
            <v>FTW121KE</v>
          </cell>
          <cell r="E5685">
            <v>46217</v>
          </cell>
        </row>
        <row r="5686">
          <cell r="A5686" t="str">
            <v>2627WG27</v>
          </cell>
          <cell r="D5686" t="str">
            <v>KBP86</v>
          </cell>
          <cell r="E5686">
            <v>46217</v>
          </cell>
        </row>
        <row r="5687">
          <cell r="A5687" t="str">
            <v>2627SG27</v>
          </cell>
          <cell r="D5687" t="str">
            <v>FTP200</v>
          </cell>
          <cell r="E5687">
            <v>46217</v>
          </cell>
        </row>
        <row r="5688">
          <cell r="A5688" t="str">
            <v>2626H457</v>
          </cell>
          <cell r="D5688" t="str">
            <v>FTW121KE</v>
          </cell>
          <cell r="E5688">
            <v>46217</v>
          </cell>
        </row>
        <row r="5689">
          <cell r="A5689" t="str">
            <v>2623JV47</v>
          </cell>
          <cell r="D5689" t="str">
            <v>TTS50</v>
          </cell>
          <cell r="E5689">
            <v>46217</v>
          </cell>
        </row>
        <row r="5690">
          <cell r="A5690" t="str">
            <v>2624WS57</v>
          </cell>
          <cell r="D5690" t="str">
            <v>KBP86</v>
          </cell>
          <cell r="E5690">
            <v>46217</v>
          </cell>
        </row>
        <row r="5691">
          <cell r="A5691" t="str">
            <v>2624WM57</v>
          </cell>
          <cell r="D5691" t="str">
            <v>KBP86</v>
          </cell>
          <cell r="E5691">
            <v>46217</v>
          </cell>
        </row>
        <row r="5692">
          <cell r="A5692" t="str">
            <v>2622DB57</v>
          </cell>
          <cell r="D5692" t="str">
            <v>FTW700</v>
          </cell>
          <cell r="E5692">
            <v>46217</v>
          </cell>
        </row>
        <row r="5693">
          <cell r="A5693" t="str">
            <v>2626LG47</v>
          </cell>
          <cell r="D5693" t="str">
            <v>FTW121KE</v>
          </cell>
          <cell r="E5693">
            <v>46217</v>
          </cell>
        </row>
        <row r="5694">
          <cell r="A5694" t="str">
            <v>2614YS17</v>
          </cell>
          <cell r="D5694" t="str">
            <v>S706</v>
          </cell>
          <cell r="E5694">
            <v>46217</v>
          </cell>
        </row>
        <row r="5695">
          <cell r="A5695" t="str">
            <v>2626PH27</v>
          </cell>
          <cell r="D5695" t="str">
            <v>S706</v>
          </cell>
          <cell r="E5695">
            <v>46217</v>
          </cell>
        </row>
        <row r="5696">
          <cell r="A5696" t="str">
            <v>2625KR47</v>
          </cell>
          <cell r="D5696" t="str">
            <v>S706</v>
          </cell>
          <cell r="E5696">
            <v>46217</v>
          </cell>
        </row>
        <row r="5697">
          <cell r="A5697" t="str">
            <v>2626J947</v>
          </cell>
          <cell r="D5697" t="str">
            <v>FTP150</v>
          </cell>
          <cell r="E5697">
            <v>46217</v>
          </cell>
        </row>
        <row r="5698">
          <cell r="A5698" t="str">
            <v>2627Q837</v>
          </cell>
          <cell r="D5698" t="str">
            <v>KBP86</v>
          </cell>
          <cell r="E5698">
            <v>46217</v>
          </cell>
        </row>
        <row r="5699">
          <cell r="A5699" t="str">
            <v>2627AL27</v>
          </cell>
          <cell r="D5699" t="str">
            <v>FTW102K</v>
          </cell>
          <cell r="E5699">
            <v>46217</v>
          </cell>
        </row>
        <row r="5700">
          <cell r="A5700" t="str">
            <v>2624PV27</v>
          </cell>
          <cell r="D5700" t="str">
            <v>TTS80</v>
          </cell>
          <cell r="E5700">
            <v>46217</v>
          </cell>
        </row>
        <row r="5701">
          <cell r="A5701" t="str">
            <v>2626PY57</v>
          </cell>
          <cell r="D5701" t="str">
            <v>S15MB</v>
          </cell>
          <cell r="E5701">
            <v>46217</v>
          </cell>
        </row>
        <row r="5702">
          <cell r="A5702" t="str">
            <v>2624XE57</v>
          </cell>
          <cell r="D5702" t="str">
            <v>KBP76</v>
          </cell>
          <cell r="E5702">
            <v>46217</v>
          </cell>
        </row>
        <row r="5703">
          <cell r="A5703" t="str">
            <v>2627IK47</v>
          </cell>
          <cell r="D5703" t="str">
            <v>KBP86</v>
          </cell>
          <cell r="E5703">
            <v>46217</v>
          </cell>
        </row>
        <row r="5704">
          <cell r="A5704" t="str">
            <v>2626GZ57</v>
          </cell>
          <cell r="D5704" t="str">
            <v>FTW121KE</v>
          </cell>
          <cell r="E5704">
            <v>46217</v>
          </cell>
        </row>
        <row r="5705">
          <cell r="A5705" t="str">
            <v>2625W757</v>
          </cell>
          <cell r="D5705" t="str">
            <v>S15MB</v>
          </cell>
          <cell r="E5705">
            <v>46217</v>
          </cell>
        </row>
        <row r="5706">
          <cell r="A5706" t="str">
            <v>2626Q457</v>
          </cell>
          <cell r="D5706" t="str">
            <v>STA156KA</v>
          </cell>
          <cell r="E5706">
            <v>46217</v>
          </cell>
        </row>
        <row r="5707">
          <cell r="A5707" t="str">
            <v>2613YS57</v>
          </cell>
          <cell r="D5707" t="str">
            <v>S706</v>
          </cell>
          <cell r="E5707">
            <v>46217</v>
          </cell>
        </row>
        <row r="5708">
          <cell r="A5708" t="str">
            <v>2622SR37</v>
          </cell>
          <cell r="D5708" t="str">
            <v>TTS80</v>
          </cell>
          <cell r="E5708">
            <v>46217</v>
          </cell>
        </row>
        <row r="5709">
          <cell r="A5709" t="str">
            <v>2625PY17</v>
          </cell>
          <cell r="D5709" t="str">
            <v>KBP76</v>
          </cell>
          <cell r="E5709">
            <v>46217</v>
          </cell>
        </row>
        <row r="5710">
          <cell r="A5710" t="str">
            <v>2627IN47</v>
          </cell>
          <cell r="D5710" t="str">
            <v>FTP200</v>
          </cell>
          <cell r="E5710">
            <v>46217</v>
          </cell>
        </row>
        <row r="5711">
          <cell r="A5711" t="str">
            <v>2622SI17</v>
          </cell>
          <cell r="D5711" t="str">
            <v>KBP55</v>
          </cell>
          <cell r="E5711">
            <v>46217</v>
          </cell>
        </row>
        <row r="5712">
          <cell r="A5712" t="str">
            <v>2627SF27</v>
          </cell>
          <cell r="D5712" t="str">
            <v>FTP200</v>
          </cell>
          <cell r="E5712">
            <v>46217</v>
          </cell>
        </row>
        <row r="5713">
          <cell r="A5713" t="str">
            <v>2627PY17</v>
          </cell>
          <cell r="D5713" t="str">
            <v>FTW121KE</v>
          </cell>
          <cell r="E5713">
            <v>46217</v>
          </cell>
        </row>
        <row r="5714">
          <cell r="A5714" t="str">
            <v>2627QT17</v>
          </cell>
          <cell r="D5714" t="str">
            <v>FTW121KE</v>
          </cell>
          <cell r="E5714">
            <v>46217</v>
          </cell>
        </row>
        <row r="5715">
          <cell r="A5715" t="str">
            <v>2627VA17</v>
          </cell>
          <cell r="D5715" t="str">
            <v>S706</v>
          </cell>
          <cell r="E5715">
            <v>46217</v>
          </cell>
        </row>
        <row r="5716">
          <cell r="A5716" t="str">
            <v>2620JE17</v>
          </cell>
          <cell r="D5716" t="str">
            <v>TTS50</v>
          </cell>
          <cell r="E5716">
            <v>46217</v>
          </cell>
        </row>
        <row r="5717">
          <cell r="A5717" t="str">
            <v>2626SS37</v>
          </cell>
          <cell r="D5717" t="str">
            <v>KBP74</v>
          </cell>
          <cell r="E5717">
            <v>46217</v>
          </cell>
        </row>
        <row r="5718">
          <cell r="A5718" t="str">
            <v>2626HN57</v>
          </cell>
          <cell r="D5718" t="str">
            <v>FTW121KE</v>
          </cell>
          <cell r="E5718">
            <v>46217</v>
          </cell>
        </row>
        <row r="5719">
          <cell r="A5719" t="str">
            <v>2626Q837</v>
          </cell>
          <cell r="D5719" t="str">
            <v>S706</v>
          </cell>
          <cell r="E5719">
            <v>46217</v>
          </cell>
        </row>
        <row r="5720">
          <cell r="A5720" t="str">
            <v>2626HT57</v>
          </cell>
          <cell r="D5720" t="str">
            <v>FTW121KE</v>
          </cell>
          <cell r="E5720">
            <v>46217</v>
          </cell>
        </row>
        <row r="5721">
          <cell r="A5721" t="str">
            <v>2626KI67</v>
          </cell>
          <cell r="D5721" t="str">
            <v>KBP76</v>
          </cell>
          <cell r="E5721">
            <v>46217</v>
          </cell>
        </row>
        <row r="5722">
          <cell r="A5722" t="str">
            <v>2623JG27</v>
          </cell>
          <cell r="D5722" t="str">
            <v>TTS80</v>
          </cell>
          <cell r="E5722">
            <v>46217</v>
          </cell>
        </row>
        <row r="5723">
          <cell r="A5723" t="str">
            <v>2627PW17</v>
          </cell>
          <cell r="D5723" t="str">
            <v>FTW121KE</v>
          </cell>
          <cell r="E5723">
            <v>46217</v>
          </cell>
        </row>
        <row r="5724">
          <cell r="A5724" t="str">
            <v>2624KV37</v>
          </cell>
          <cell r="D5724" t="str">
            <v>KBP86</v>
          </cell>
          <cell r="E5724">
            <v>46217</v>
          </cell>
        </row>
        <row r="5725">
          <cell r="A5725" t="str">
            <v>2625L257</v>
          </cell>
          <cell r="D5725" t="str">
            <v>S706</v>
          </cell>
          <cell r="E5725">
            <v>46217</v>
          </cell>
        </row>
        <row r="5726">
          <cell r="A5726" t="str">
            <v>2624DV17</v>
          </cell>
          <cell r="D5726" t="str">
            <v>TTS50</v>
          </cell>
          <cell r="E5726">
            <v>46217</v>
          </cell>
        </row>
        <row r="5727">
          <cell r="A5727" t="str">
            <v>2625IY47</v>
          </cell>
          <cell r="D5727" t="str">
            <v>S805</v>
          </cell>
          <cell r="E5727">
            <v>46217</v>
          </cell>
        </row>
        <row r="5728">
          <cell r="A5728" t="str">
            <v>2625I837</v>
          </cell>
          <cell r="D5728" t="str">
            <v>KBP86</v>
          </cell>
          <cell r="E5728">
            <v>46217</v>
          </cell>
        </row>
        <row r="5729">
          <cell r="A5729" t="str">
            <v>2626BF57</v>
          </cell>
          <cell r="D5729" t="str">
            <v>STA156KA</v>
          </cell>
          <cell r="E5729">
            <v>46217</v>
          </cell>
        </row>
        <row r="5730">
          <cell r="A5730" t="str">
            <v>2622FK67</v>
          </cell>
          <cell r="D5730" t="str">
            <v>TTS80</v>
          </cell>
          <cell r="E5730">
            <v>46217</v>
          </cell>
        </row>
        <row r="5731">
          <cell r="A5731" t="str">
            <v>2626D527</v>
          </cell>
          <cell r="D5731" t="str">
            <v>S15MB</v>
          </cell>
          <cell r="E5731">
            <v>46217</v>
          </cell>
        </row>
        <row r="5732">
          <cell r="A5732" t="str">
            <v>2624SA37</v>
          </cell>
          <cell r="D5732" t="str">
            <v>TTS80</v>
          </cell>
          <cell r="E5732">
            <v>46217</v>
          </cell>
        </row>
        <row r="5733">
          <cell r="A5733" t="str">
            <v>2623JD47</v>
          </cell>
          <cell r="D5733" t="str">
            <v>TTS50</v>
          </cell>
          <cell r="E5733">
            <v>46217</v>
          </cell>
        </row>
        <row r="5734">
          <cell r="A5734" t="str">
            <v>2624PL17</v>
          </cell>
          <cell r="D5734" t="str">
            <v>TTS80</v>
          </cell>
          <cell r="E5734">
            <v>46217</v>
          </cell>
        </row>
        <row r="5735">
          <cell r="A5735" t="str">
            <v>2626FK57</v>
          </cell>
          <cell r="D5735" t="str">
            <v>KBP76</v>
          </cell>
          <cell r="E5735">
            <v>46217</v>
          </cell>
        </row>
        <row r="5736">
          <cell r="A5736" t="str">
            <v>2627LA37</v>
          </cell>
          <cell r="D5736" t="str">
            <v>KBP76</v>
          </cell>
          <cell r="E5736">
            <v>46217</v>
          </cell>
        </row>
        <row r="5737">
          <cell r="A5737" t="str">
            <v>2622VK57</v>
          </cell>
          <cell r="D5737" t="str">
            <v>TTS50</v>
          </cell>
          <cell r="E5737">
            <v>46217</v>
          </cell>
        </row>
        <row r="5738">
          <cell r="A5738" t="str">
            <v>2625U257</v>
          </cell>
          <cell r="D5738" t="str">
            <v>TTS50</v>
          </cell>
          <cell r="E5738">
            <v>46217</v>
          </cell>
        </row>
        <row r="5739">
          <cell r="A5739" t="str">
            <v>2608Z227</v>
          </cell>
          <cell r="D5739" t="str">
            <v>S706</v>
          </cell>
          <cell r="E5739">
            <v>46217</v>
          </cell>
        </row>
        <row r="5740">
          <cell r="A5740" t="str">
            <v>2627XD17</v>
          </cell>
          <cell r="D5740" t="str">
            <v>TTS50</v>
          </cell>
          <cell r="E5740">
            <v>46217</v>
          </cell>
        </row>
        <row r="5741">
          <cell r="A5741" t="str">
            <v>2627VN27</v>
          </cell>
          <cell r="D5741" t="str">
            <v>TTS50</v>
          </cell>
          <cell r="E5741">
            <v>46217</v>
          </cell>
        </row>
        <row r="5742">
          <cell r="A5742" t="str">
            <v>2620JB27</v>
          </cell>
          <cell r="D5742" t="str">
            <v>TTS50</v>
          </cell>
          <cell r="E5742">
            <v>46217</v>
          </cell>
        </row>
        <row r="5743">
          <cell r="A5743" t="str">
            <v>2625JL47</v>
          </cell>
          <cell r="D5743" t="str">
            <v>KBP86</v>
          </cell>
          <cell r="E5743">
            <v>46217</v>
          </cell>
        </row>
        <row r="5744">
          <cell r="A5744" t="str">
            <v>2626VO57</v>
          </cell>
          <cell r="D5744" t="str">
            <v>FTW121KE</v>
          </cell>
          <cell r="E5744">
            <v>46216</v>
          </cell>
        </row>
        <row r="5745">
          <cell r="A5745" t="str">
            <v>2417ZN47</v>
          </cell>
          <cell r="D5745" t="str">
            <v>FTW102K</v>
          </cell>
          <cell r="E5745">
            <v>46216</v>
          </cell>
        </row>
        <row r="5746">
          <cell r="A5746" t="str">
            <v>2624GV67</v>
          </cell>
          <cell r="D5746" t="str">
            <v>KBP76</v>
          </cell>
          <cell r="E5746">
            <v>46216</v>
          </cell>
        </row>
        <row r="5747">
          <cell r="A5747" t="str">
            <v>2625Z417</v>
          </cell>
          <cell r="D5747" t="str">
            <v>S805</v>
          </cell>
          <cell r="E5747">
            <v>46216</v>
          </cell>
        </row>
        <row r="5748">
          <cell r="A5748" t="str">
            <v>2624K847</v>
          </cell>
          <cell r="D5748" t="str">
            <v>TTS40</v>
          </cell>
          <cell r="E5748">
            <v>46216</v>
          </cell>
        </row>
        <row r="5749">
          <cell r="A5749" t="str">
            <v>2626QU57</v>
          </cell>
          <cell r="D5749" t="str">
            <v>KBP76</v>
          </cell>
          <cell r="E5749">
            <v>46216</v>
          </cell>
        </row>
        <row r="5750">
          <cell r="A5750" t="str">
            <v>2617DY10</v>
          </cell>
          <cell r="D5750" t="str">
            <v>TTS125</v>
          </cell>
          <cell r="E5750">
            <v>46216</v>
          </cell>
        </row>
        <row r="5751">
          <cell r="A5751" t="str">
            <v>2626SU37</v>
          </cell>
          <cell r="D5751" t="str">
            <v>KBP74</v>
          </cell>
          <cell r="E5751">
            <v>46216</v>
          </cell>
        </row>
        <row r="5752">
          <cell r="A5752" t="str">
            <v>2625Z417</v>
          </cell>
          <cell r="D5752" t="str">
            <v>S805</v>
          </cell>
          <cell r="E5752">
            <v>46216</v>
          </cell>
        </row>
        <row r="5753">
          <cell r="A5753" t="str">
            <v>2619QX27</v>
          </cell>
          <cell r="D5753" t="str">
            <v>TTS50</v>
          </cell>
          <cell r="E5753">
            <v>46216</v>
          </cell>
        </row>
        <row r="5754">
          <cell r="A5754" t="str">
            <v>2626UT37</v>
          </cell>
          <cell r="D5754" t="str">
            <v>KBP86</v>
          </cell>
          <cell r="E5754">
            <v>46216</v>
          </cell>
        </row>
        <row r="5755">
          <cell r="A5755" t="str">
            <v>2619DH37</v>
          </cell>
          <cell r="D5755" t="str">
            <v>TTS50</v>
          </cell>
          <cell r="E5755">
            <v>46216</v>
          </cell>
        </row>
        <row r="5756">
          <cell r="A5756" t="str">
            <v>2622W457</v>
          </cell>
          <cell r="D5756" t="str">
            <v>TTS50</v>
          </cell>
          <cell r="E5756">
            <v>46216</v>
          </cell>
        </row>
        <row r="5757">
          <cell r="A5757" t="str">
            <v>2622VS57</v>
          </cell>
          <cell r="D5757" t="str">
            <v>TTS50</v>
          </cell>
          <cell r="E5757">
            <v>46216</v>
          </cell>
        </row>
        <row r="5758">
          <cell r="A5758" t="str">
            <v>2626UR57</v>
          </cell>
          <cell r="D5758" t="str">
            <v>FTW102K</v>
          </cell>
          <cell r="E5758">
            <v>46216</v>
          </cell>
        </row>
        <row r="5759">
          <cell r="A5759" t="str">
            <v>2626C347</v>
          </cell>
          <cell r="D5759" t="str">
            <v>KBP126</v>
          </cell>
          <cell r="E5759">
            <v>46216</v>
          </cell>
        </row>
        <row r="5760">
          <cell r="A5760" t="str">
            <v>2625Z417</v>
          </cell>
          <cell r="D5760" t="str">
            <v>S805</v>
          </cell>
          <cell r="E5760">
            <v>46216</v>
          </cell>
        </row>
        <row r="5761">
          <cell r="A5761" t="str">
            <v>2626VT57</v>
          </cell>
          <cell r="D5761" t="str">
            <v>FTW121KE</v>
          </cell>
          <cell r="E5761">
            <v>46216</v>
          </cell>
        </row>
        <row r="5762">
          <cell r="A5762" t="str">
            <v>2624XI57</v>
          </cell>
          <cell r="D5762" t="str">
            <v>KBP76</v>
          </cell>
          <cell r="E5762">
            <v>46216</v>
          </cell>
        </row>
        <row r="5763">
          <cell r="A5763" t="str">
            <v>2625F667</v>
          </cell>
          <cell r="D5763" t="str">
            <v>KBP55</v>
          </cell>
          <cell r="E5763">
            <v>46216</v>
          </cell>
        </row>
        <row r="5764">
          <cell r="A5764" t="str">
            <v>2625D767</v>
          </cell>
          <cell r="D5764" t="str">
            <v>S706</v>
          </cell>
          <cell r="E5764">
            <v>46216</v>
          </cell>
        </row>
        <row r="5765">
          <cell r="A5765" t="str">
            <v>2622VY57</v>
          </cell>
          <cell r="D5765" t="str">
            <v>TTS50</v>
          </cell>
          <cell r="E5765">
            <v>46216</v>
          </cell>
        </row>
        <row r="5766">
          <cell r="A5766" t="str">
            <v>2614ZD27</v>
          </cell>
          <cell r="D5766" t="str">
            <v>S706</v>
          </cell>
          <cell r="E5766">
            <v>46216</v>
          </cell>
        </row>
        <row r="5767">
          <cell r="A5767" t="str">
            <v>2625FJ80</v>
          </cell>
          <cell r="D5767" t="str">
            <v>TTS125</v>
          </cell>
          <cell r="E5767">
            <v>46216</v>
          </cell>
        </row>
        <row r="5768">
          <cell r="A5768" t="str">
            <v>2626UZ57</v>
          </cell>
          <cell r="D5768" t="str">
            <v>FTW121KE</v>
          </cell>
          <cell r="E5768">
            <v>46216</v>
          </cell>
        </row>
        <row r="5769">
          <cell r="A5769" t="str">
            <v>2626I157</v>
          </cell>
          <cell r="D5769" t="str">
            <v>KBP86</v>
          </cell>
          <cell r="E5769">
            <v>46216</v>
          </cell>
        </row>
        <row r="5770">
          <cell r="A5770" t="str">
            <v>2626KS27</v>
          </cell>
          <cell r="D5770" t="str">
            <v>FTW121KE</v>
          </cell>
          <cell r="E5770">
            <v>46216</v>
          </cell>
        </row>
        <row r="5771">
          <cell r="A5771" t="str">
            <v>2626V857</v>
          </cell>
          <cell r="D5771" t="str">
            <v>FTW121KE</v>
          </cell>
          <cell r="E5771">
            <v>46216</v>
          </cell>
        </row>
        <row r="5772">
          <cell r="A5772" t="str">
            <v>2626OM47</v>
          </cell>
          <cell r="D5772" t="str">
            <v>FTW102K</v>
          </cell>
          <cell r="E5772">
            <v>46216</v>
          </cell>
        </row>
        <row r="5773">
          <cell r="A5773" t="str">
            <v>2625EE67</v>
          </cell>
          <cell r="D5773" t="str">
            <v>KBP76</v>
          </cell>
          <cell r="E5773">
            <v>46216</v>
          </cell>
        </row>
        <row r="5774">
          <cell r="A5774" t="str">
            <v>2626JE67</v>
          </cell>
          <cell r="D5774" t="str">
            <v>FTW121KE</v>
          </cell>
          <cell r="E5774">
            <v>46216</v>
          </cell>
        </row>
        <row r="5775">
          <cell r="A5775" t="str">
            <v>2624B767</v>
          </cell>
          <cell r="D5775" t="str">
            <v>KBP86</v>
          </cell>
          <cell r="E5775">
            <v>46216</v>
          </cell>
        </row>
        <row r="5776">
          <cell r="A5776" t="str">
            <v>2623EA67</v>
          </cell>
          <cell r="D5776" t="str">
            <v>TTS50</v>
          </cell>
          <cell r="E5776">
            <v>46216</v>
          </cell>
        </row>
        <row r="5777">
          <cell r="A5777" t="str">
            <v>2625K727</v>
          </cell>
          <cell r="D5777" t="str">
            <v>KBP86</v>
          </cell>
          <cell r="E5777">
            <v>46216</v>
          </cell>
        </row>
        <row r="5778">
          <cell r="A5778" t="str">
            <v>2626QU47</v>
          </cell>
          <cell r="D5778" t="str">
            <v>KBP76</v>
          </cell>
          <cell r="E5778">
            <v>46216</v>
          </cell>
        </row>
        <row r="5779">
          <cell r="A5779" t="str">
            <v>2613YT57</v>
          </cell>
          <cell r="D5779" t="str">
            <v>S706</v>
          </cell>
          <cell r="E5779">
            <v>46216</v>
          </cell>
        </row>
        <row r="5780">
          <cell r="A5780" t="str">
            <v>2626GT57</v>
          </cell>
          <cell r="D5780" t="str">
            <v>TTS50</v>
          </cell>
          <cell r="E5780">
            <v>46216</v>
          </cell>
        </row>
        <row r="5781">
          <cell r="A5781" t="str">
            <v>2626LN37</v>
          </cell>
          <cell r="D5781" t="str">
            <v>KBP86</v>
          </cell>
          <cell r="E5781">
            <v>46216</v>
          </cell>
        </row>
        <row r="5782">
          <cell r="A5782" t="str">
            <v>2613YP57</v>
          </cell>
          <cell r="D5782" t="str">
            <v>S706</v>
          </cell>
          <cell r="E5782">
            <v>46216</v>
          </cell>
        </row>
        <row r="5783">
          <cell r="A5783" t="str">
            <v>2626LF37</v>
          </cell>
          <cell r="D5783" t="str">
            <v>FTW121KE</v>
          </cell>
          <cell r="E5783">
            <v>46216</v>
          </cell>
        </row>
        <row r="5784">
          <cell r="A5784" t="str">
            <v>2626L547</v>
          </cell>
          <cell r="D5784" t="str">
            <v>FTW121KE</v>
          </cell>
          <cell r="E5784">
            <v>46216</v>
          </cell>
        </row>
        <row r="5785">
          <cell r="A5785" t="str">
            <v>2625QR17</v>
          </cell>
          <cell r="D5785" t="str">
            <v>TTS80</v>
          </cell>
          <cell r="E5785">
            <v>46216</v>
          </cell>
        </row>
        <row r="5786">
          <cell r="A5786" t="str">
            <v>2626HW57</v>
          </cell>
          <cell r="D5786" t="str">
            <v>KBP86</v>
          </cell>
          <cell r="E5786">
            <v>46216</v>
          </cell>
        </row>
        <row r="5787">
          <cell r="A5787" t="str">
            <v>2626H357</v>
          </cell>
          <cell r="D5787" t="str">
            <v>FTW121KE</v>
          </cell>
          <cell r="E5787">
            <v>46216</v>
          </cell>
        </row>
        <row r="5788">
          <cell r="A5788" t="str">
            <v>2614ZE27</v>
          </cell>
          <cell r="D5788" t="str">
            <v>S706</v>
          </cell>
          <cell r="E5788">
            <v>46216</v>
          </cell>
        </row>
        <row r="5789">
          <cell r="A5789" t="str">
            <v>2626LV27</v>
          </cell>
          <cell r="D5789" t="str">
            <v>FTW102K</v>
          </cell>
          <cell r="E5789">
            <v>46216</v>
          </cell>
        </row>
        <row r="5790">
          <cell r="A5790" t="str">
            <v>2614ZC27</v>
          </cell>
          <cell r="D5790" t="str">
            <v>S706</v>
          </cell>
          <cell r="E5790">
            <v>46216</v>
          </cell>
        </row>
        <row r="5791">
          <cell r="A5791" t="str">
            <v>2620IM17</v>
          </cell>
          <cell r="D5791" t="str">
            <v>TTS50</v>
          </cell>
          <cell r="E5791">
            <v>46216</v>
          </cell>
        </row>
        <row r="5792">
          <cell r="A5792" t="str">
            <v>2626KE27</v>
          </cell>
          <cell r="D5792" t="str">
            <v>FTW121KE</v>
          </cell>
          <cell r="E5792">
            <v>46216</v>
          </cell>
        </row>
        <row r="5793">
          <cell r="A5793" t="str">
            <v>2626L647</v>
          </cell>
          <cell r="D5793" t="str">
            <v>FTW121KE</v>
          </cell>
          <cell r="E5793">
            <v>46216</v>
          </cell>
        </row>
        <row r="5794">
          <cell r="A5794" t="str">
            <v>2625L357</v>
          </cell>
          <cell r="D5794" t="str">
            <v>S706</v>
          </cell>
          <cell r="E5794">
            <v>46216</v>
          </cell>
        </row>
        <row r="5795">
          <cell r="A5795" t="str">
            <v>2625KX37</v>
          </cell>
          <cell r="D5795" t="str">
            <v>S706</v>
          </cell>
          <cell r="E5795">
            <v>46216</v>
          </cell>
        </row>
        <row r="5796">
          <cell r="A5796" t="str">
            <v>2619E637</v>
          </cell>
          <cell r="D5796" t="str">
            <v>TTS50</v>
          </cell>
          <cell r="E5796">
            <v>46216</v>
          </cell>
        </row>
        <row r="5797">
          <cell r="A5797" t="str">
            <v>2627Q337</v>
          </cell>
          <cell r="D5797" t="str">
            <v>KBP86</v>
          </cell>
          <cell r="E5797">
            <v>46216</v>
          </cell>
        </row>
        <row r="5798">
          <cell r="A5798" t="str">
            <v>2626KW27</v>
          </cell>
          <cell r="D5798" t="str">
            <v>FTW121KE</v>
          </cell>
          <cell r="E5798">
            <v>46216</v>
          </cell>
        </row>
        <row r="5799">
          <cell r="A5799" t="str">
            <v>2624GS67</v>
          </cell>
          <cell r="D5799" t="str">
            <v>KBP76</v>
          </cell>
          <cell r="E5799">
            <v>46216</v>
          </cell>
        </row>
        <row r="5800">
          <cell r="A5800" t="str">
            <v>2626D227</v>
          </cell>
          <cell r="D5800" t="str">
            <v>S15MB</v>
          </cell>
          <cell r="E5800">
            <v>46216</v>
          </cell>
        </row>
        <row r="5801">
          <cell r="A5801" t="str">
            <v>2626QZ27</v>
          </cell>
          <cell r="D5801" t="str">
            <v>KBP74</v>
          </cell>
          <cell r="E5801">
            <v>46216</v>
          </cell>
        </row>
        <row r="5802">
          <cell r="A5802" t="str">
            <v>2626PZ37</v>
          </cell>
          <cell r="D5802" t="str">
            <v>S706</v>
          </cell>
          <cell r="E5802">
            <v>46216</v>
          </cell>
        </row>
        <row r="5803">
          <cell r="A5803" t="str">
            <v>2626VD57</v>
          </cell>
          <cell r="D5803" t="str">
            <v>FTW121KE</v>
          </cell>
          <cell r="E5803">
            <v>46216</v>
          </cell>
        </row>
        <row r="5804">
          <cell r="A5804" t="str">
            <v>2623JZ47</v>
          </cell>
          <cell r="D5804" t="str">
            <v>FTW700</v>
          </cell>
          <cell r="E5804">
            <v>46216</v>
          </cell>
        </row>
        <row r="5805">
          <cell r="A5805" t="str">
            <v>2626J457</v>
          </cell>
          <cell r="D5805" t="str">
            <v>TTS50</v>
          </cell>
          <cell r="E5805">
            <v>46216</v>
          </cell>
        </row>
        <row r="5806">
          <cell r="A5806" t="str">
            <v>2626J567</v>
          </cell>
          <cell r="D5806" t="str">
            <v>FTW121KE</v>
          </cell>
          <cell r="E5806">
            <v>46216</v>
          </cell>
        </row>
        <row r="5807">
          <cell r="A5807" t="str">
            <v>2625L557</v>
          </cell>
          <cell r="D5807" t="str">
            <v>S706</v>
          </cell>
          <cell r="E5807">
            <v>46216</v>
          </cell>
        </row>
        <row r="5808">
          <cell r="A5808" t="str">
            <v>2626LU47</v>
          </cell>
          <cell r="D5808" t="str">
            <v>FTW121KE</v>
          </cell>
          <cell r="E5808">
            <v>46216</v>
          </cell>
        </row>
        <row r="5809">
          <cell r="A5809" t="str">
            <v>2626LI47</v>
          </cell>
          <cell r="D5809" t="str">
            <v>FTW121KE</v>
          </cell>
          <cell r="E5809">
            <v>46216</v>
          </cell>
        </row>
        <row r="5810">
          <cell r="A5810" t="str">
            <v>2619SP27</v>
          </cell>
          <cell r="D5810" t="str">
            <v>TTS50</v>
          </cell>
          <cell r="E5810">
            <v>46216</v>
          </cell>
        </row>
        <row r="5811">
          <cell r="A5811" t="str">
            <v>2623FA70</v>
          </cell>
          <cell r="D5811" t="str">
            <v>TTS125</v>
          </cell>
          <cell r="E5811">
            <v>46216</v>
          </cell>
        </row>
        <row r="5812">
          <cell r="A5812" t="str">
            <v>2621ET80</v>
          </cell>
          <cell r="D5812" t="str">
            <v>TTS125</v>
          </cell>
          <cell r="E5812">
            <v>46216</v>
          </cell>
        </row>
        <row r="5813">
          <cell r="A5813" t="str">
            <v>2626LR67</v>
          </cell>
          <cell r="D5813" t="str">
            <v>KBP55</v>
          </cell>
          <cell r="E5813">
            <v>46216</v>
          </cell>
        </row>
        <row r="5814">
          <cell r="A5814" t="str">
            <v>2609XI57</v>
          </cell>
          <cell r="D5814" t="str">
            <v>TTS50</v>
          </cell>
          <cell r="E5814">
            <v>46216</v>
          </cell>
        </row>
        <row r="5815">
          <cell r="A5815" t="str">
            <v>2626U537</v>
          </cell>
          <cell r="D5815" t="str">
            <v>FTP200</v>
          </cell>
          <cell r="E5815">
            <v>46216</v>
          </cell>
        </row>
        <row r="5816">
          <cell r="A5816" t="str">
            <v>2620JV37</v>
          </cell>
          <cell r="D5816" t="str">
            <v>TTS50</v>
          </cell>
          <cell r="E5816">
            <v>46216</v>
          </cell>
        </row>
        <row r="5817">
          <cell r="A5817" t="str">
            <v>2626WL57</v>
          </cell>
          <cell r="D5817" t="str">
            <v>FTW102K</v>
          </cell>
          <cell r="E5817">
            <v>46216</v>
          </cell>
        </row>
        <row r="5818">
          <cell r="A5818" t="str">
            <v>2625WD57</v>
          </cell>
          <cell r="D5818" t="str">
            <v>STA200KA</v>
          </cell>
          <cell r="E5818">
            <v>46216</v>
          </cell>
        </row>
        <row r="5819">
          <cell r="A5819" t="str">
            <v>2624Q247</v>
          </cell>
          <cell r="D5819" t="str">
            <v>TTS80</v>
          </cell>
          <cell r="E5819">
            <v>46216</v>
          </cell>
        </row>
        <row r="5820">
          <cell r="A5820" t="str">
            <v>2623K617</v>
          </cell>
          <cell r="D5820" t="str">
            <v>TTS50</v>
          </cell>
          <cell r="E5820">
            <v>46216</v>
          </cell>
        </row>
        <row r="5821">
          <cell r="A5821" t="str">
            <v>2625G767</v>
          </cell>
          <cell r="D5821" t="str">
            <v>TTS80</v>
          </cell>
          <cell r="E5821">
            <v>46216</v>
          </cell>
        </row>
        <row r="5822">
          <cell r="A5822" t="str">
            <v>2625FJ20</v>
          </cell>
          <cell r="D5822" t="str">
            <v>TTS125</v>
          </cell>
          <cell r="E5822">
            <v>46216</v>
          </cell>
        </row>
        <row r="5823">
          <cell r="A5823" t="str">
            <v>2619SI27</v>
          </cell>
          <cell r="D5823" t="str">
            <v>TTS50</v>
          </cell>
          <cell r="E5823">
            <v>46216</v>
          </cell>
        </row>
        <row r="5824">
          <cell r="A5824" t="str">
            <v>2623FC10</v>
          </cell>
          <cell r="D5824" t="str">
            <v>TTS125</v>
          </cell>
          <cell r="E5824">
            <v>46216</v>
          </cell>
        </row>
        <row r="5825">
          <cell r="A5825" t="str">
            <v>2626VO57</v>
          </cell>
          <cell r="D5825" t="str">
            <v>FTW121KE</v>
          </cell>
          <cell r="E5825">
            <v>46216</v>
          </cell>
        </row>
        <row r="5826">
          <cell r="A5826" t="str">
            <v>2625EV67</v>
          </cell>
          <cell r="D5826" t="str">
            <v>KBP74</v>
          </cell>
          <cell r="E5826">
            <v>46216</v>
          </cell>
        </row>
        <row r="5827">
          <cell r="A5827" t="str">
            <v>2626U437</v>
          </cell>
          <cell r="D5827" t="str">
            <v>FTP200</v>
          </cell>
          <cell r="E5827">
            <v>46216</v>
          </cell>
        </row>
        <row r="5828">
          <cell r="A5828" t="str">
            <v>2626O447</v>
          </cell>
          <cell r="D5828" t="str">
            <v>KBP86</v>
          </cell>
          <cell r="E5828">
            <v>46216</v>
          </cell>
        </row>
        <row r="5829">
          <cell r="A5829" t="str">
            <v>2626KT47</v>
          </cell>
          <cell r="D5829" t="str">
            <v>FTW121KE</v>
          </cell>
          <cell r="E5829">
            <v>46216</v>
          </cell>
        </row>
        <row r="5830">
          <cell r="A5830" t="str">
            <v>2620JN17</v>
          </cell>
          <cell r="D5830" t="str">
            <v>TTS50</v>
          </cell>
          <cell r="E5830">
            <v>46216</v>
          </cell>
        </row>
        <row r="5831">
          <cell r="A5831" t="str">
            <v>2626KL67</v>
          </cell>
          <cell r="D5831" t="str">
            <v>KBP76</v>
          </cell>
          <cell r="E5831">
            <v>46216</v>
          </cell>
        </row>
        <row r="5832">
          <cell r="A5832" t="str">
            <v>2625KK27</v>
          </cell>
          <cell r="D5832" t="str">
            <v>KBP76</v>
          </cell>
          <cell r="E5832">
            <v>46216</v>
          </cell>
        </row>
        <row r="5833">
          <cell r="A5833" t="str">
            <v>2626QW27</v>
          </cell>
          <cell r="D5833" t="str">
            <v>KBP74</v>
          </cell>
          <cell r="E5833">
            <v>46216</v>
          </cell>
        </row>
        <row r="5834">
          <cell r="A5834" t="str">
            <v>2626LJ37</v>
          </cell>
          <cell r="D5834" t="str">
            <v>FTW121KE</v>
          </cell>
          <cell r="E5834">
            <v>46216</v>
          </cell>
        </row>
        <row r="5835">
          <cell r="A5835" t="str">
            <v>2626UO37</v>
          </cell>
          <cell r="D5835" t="str">
            <v>KBP86</v>
          </cell>
          <cell r="E5835">
            <v>46216</v>
          </cell>
        </row>
        <row r="5836">
          <cell r="A5836" t="str">
            <v>2625LF47</v>
          </cell>
          <cell r="D5836" t="str">
            <v>KBP74</v>
          </cell>
          <cell r="E5836">
            <v>46216</v>
          </cell>
        </row>
        <row r="5837">
          <cell r="A5837" t="str">
            <v>2619D337</v>
          </cell>
          <cell r="D5837" t="str">
            <v>TTS50</v>
          </cell>
          <cell r="E5837">
            <v>46216</v>
          </cell>
        </row>
        <row r="5838">
          <cell r="A5838" t="str">
            <v>2626IL47</v>
          </cell>
          <cell r="D5838" t="str">
            <v>KBP86</v>
          </cell>
          <cell r="E5838">
            <v>46216</v>
          </cell>
        </row>
        <row r="5839">
          <cell r="A5839" t="str">
            <v>2622LK17</v>
          </cell>
          <cell r="D5839" t="str">
            <v>FTW700</v>
          </cell>
          <cell r="E5839">
            <v>46216</v>
          </cell>
        </row>
        <row r="5840">
          <cell r="A5840" t="str">
            <v>2626UP57</v>
          </cell>
          <cell r="D5840" t="str">
            <v>FTW102K</v>
          </cell>
          <cell r="E5840">
            <v>46216</v>
          </cell>
        </row>
        <row r="5841">
          <cell r="A5841" t="str">
            <v>2626LK37</v>
          </cell>
          <cell r="D5841" t="str">
            <v>FTW121KE</v>
          </cell>
          <cell r="E5841">
            <v>46216</v>
          </cell>
        </row>
        <row r="5842">
          <cell r="A5842" t="str">
            <v>2621QD47</v>
          </cell>
          <cell r="D5842" t="str">
            <v>TTS80</v>
          </cell>
          <cell r="E5842">
            <v>46216</v>
          </cell>
        </row>
        <row r="5843">
          <cell r="A5843" t="str">
            <v>2625P167</v>
          </cell>
          <cell r="D5843" t="str">
            <v>FTW121KE</v>
          </cell>
          <cell r="E5843">
            <v>46216</v>
          </cell>
        </row>
        <row r="5844">
          <cell r="A5844" t="str">
            <v>2625SS67</v>
          </cell>
          <cell r="D5844" t="str">
            <v>TTS80</v>
          </cell>
          <cell r="E5844">
            <v>46216</v>
          </cell>
        </row>
        <row r="5845">
          <cell r="A5845" t="str">
            <v>2621O537</v>
          </cell>
          <cell r="D5845" t="str">
            <v>KBP76</v>
          </cell>
          <cell r="E5845">
            <v>46216</v>
          </cell>
        </row>
        <row r="5846">
          <cell r="A5846" t="str">
            <v>2626KJ27</v>
          </cell>
          <cell r="D5846" t="str">
            <v>FTW121KE</v>
          </cell>
          <cell r="E5846">
            <v>46216</v>
          </cell>
        </row>
        <row r="5847">
          <cell r="A5847" t="str">
            <v>2625D967</v>
          </cell>
          <cell r="D5847" t="str">
            <v>S706</v>
          </cell>
          <cell r="E5847">
            <v>46216</v>
          </cell>
        </row>
        <row r="5848">
          <cell r="A5848" t="str">
            <v>2626SB57</v>
          </cell>
          <cell r="D5848" t="str">
            <v>FTP150</v>
          </cell>
          <cell r="E5848">
            <v>46216</v>
          </cell>
        </row>
        <row r="5849">
          <cell r="A5849" t="str">
            <v>2626I557</v>
          </cell>
          <cell r="D5849" t="str">
            <v>FTP200</v>
          </cell>
          <cell r="E5849">
            <v>46216</v>
          </cell>
        </row>
        <row r="5850">
          <cell r="A5850" t="str">
            <v>2626I457</v>
          </cell>
          <cell r="D5850" t="str">
            <v>FTP200</v>
          </cell>
          <cell r="E5850">
            <v>46216</v>
          </cell>
        </row>
        <row r="5851">
          <cell r="A5851" t="str">
            <v>2626LP67</v>
          </cell>
          <cell r="D5851" t="str">
            <v>FTP200</v>
          </cell>
          <cell r="E5851">
            <v>46216</v>
          </cell>
        </row>
        <row r="5852">
          <cell r="A5852" t="str">
            <v>2621QA27</v>
          </cell>
          <cell r="D5852" t="str">
            <v>TTS80</v>
          </cell>
          <cell r="E5852">
            <v>46216</v>
          </cell>
        </row>
        <row r="5853">
          <cell r="A5853" t="str">
            <v>2627SD27</v>
          </cell>
          <cell r="D5853" t="str">
            <v>KBP86</v>
          </cell>
          <cell r="E5853">
            <v>46216</v>
          </cell>
        </row>
        <row r="5854">
          <cell r="A5854" t="str">
            <v>2626CZ27</v>
          </cell>
          <cell r="D5854" t="str">
            <v>S15MB</v>
          </cell>
          <cell r="E5854">
            <v>46216</v>
          </cell>
        </row>
        <row r="5855">
          <cell r="A5855" t="str">
            <v>2626Q157</v>
          </cell>
          <cell r="D5855" t="str">
            <v>S15MB</v>
          </cell>
          <cell r="E5855">
            <v>46216</v>
          </cell>
        </row>
        <row r="5856">
          <cell r="A5856" t="str">
            <v>2627X917</v>
          </cell>
          <cell r="D5856" t="str">
            <v>TTS50</v>
          </cell>
          <cell r="E5856">
            <v>46216</v>
          </cell>
        </row>
        <row r="5857">
          <cell r="A5857" t="str">
            <v>2626UM57</v>
          </cell>
          <cell r="D5857" t="str">
            <v>FTW102K</v>
          </cell>
          <cell r="E5857">
            <v>46216</v>
          </cell>
        </row>
        <row r="5858">
          <cell r="A5858" t="str">
            <v>2625K927</v>
          </cell>
          <cell r="D5858" t="str">
            <v>KBP86</v>
          </cell>
          <cell r="E5858">
            <v>46216</v>
          </cell>
        </row>
        <row r="5859">
          <cell r="A5859" t="str">
            <v>2626KV47</v>
          </cell>
          <cell r="D5859" t="str">
            <v>FTW121KE</v>
          </cell>
          <cell r="E5859">
            <v>46216</v>
          </cell>
        </row>
        <row r="5860">
          <cell r="A5860" t="str">
            <v>2624EY17</v>
          </cell>
          <cell r="D5860" t="str">
            <v>TTS50</v>
          </cell>
          <cell r="E5860">
            <v>46216</v>
          </cell>
        </row>
        <row r="5861">
          <cell r="A5861" t="str">
            <v>2626LQ67</v>
          </cell>
          <cell r="D5861" t="str">
            <v>FTP200</v>
          </cell>
          <cell r="E5861">
            <v>46216</v>
          </cell>
        </row>
        <row r="5862">
          <cell r="A5862" t="str">
            <v>2623KB57</v>
          </cell>
          <cell r="D5862" t="str">
            <v>KBP55</v>
          </cell>
          <cell r="E5862">
            <v>46216</v>
          </cell>
        </row>
        <row r="5863">
          <cell r="A5863" t="str">
            <v>2622WL57</v>
          </cell>
          <cell r="D5863" t="str">
            <v>FTW700</v>
          </cell>
          <cell r="E5863">
            <v>46216</v>
          </cell>
        </row>
        <row r="5864">
          <cell r="A5864" t="str">
            <v>2623J417</v>
          </cell>
          <cell r="D5864" t="str">
            <v>TTS50</v>
          </cell>
          <cell r="E5864">
            <v>46216</v>
          </cell>
        </row>
        <row r="5865">
          <cell r="A5865" t="str">
            <v>2623F947</v>
          </cell>
          <cell r="D5865" t="str">
            <v>KBP86</v>
          </cell>
          <cell r="E5865">
            <v>46216</v>
          </cell>
        </row>
        <row r="5866">
          <cell r="A5866" t="str">
            <v>2626GY57</v>
          </cell>
          <cell r="D5866" t="str">
            <v>FTW121KE</v>
          </cell>
          <cell r="E5866">
            <v>46216</v>
          </cell>
        </row>
        <row r="5867">
          <cell r="A5867" t="str">
            <v>2626FD57</v>
          </cell>
          <cell r="D5867" t="str">
            <v>FTP150</v>
          </cell>
          <cell r="E5867">
            <v>46216</v>
          </cell>
        </row>
        <row r="5868">
          <cell r="A5868" t="str">
            <v>2623LU67</v>
          </cell>
          <cell r="D5868" t="str">
            <v>TTS80</v>
          </cell>
          <cell r="E5868">
            <v>46216</v>
          </cell>
        </row>
        <row r="5869">
          <cell r="A5869" t="str">
            <v>2626J547</v>
          </cell>
          <cell r="D5869" t="str">
            <v>FTP150</v>
          </cell>
          <cell r="E5869">
            <v>46216</v>
          </cell>
        </row>
        <row r="5870">
          <cell r="A5870" t="str">
            <v>2617QO57</v>
          </cell>
          <cell r="D5870" t="str">
            <v>KBP52</v>
          </cell>
          <cell r="E5870">
            <v>46216</v>
          </cell>
        </row>
        <row r="5871">
          <cell r="A5871" t="str">
            <v>2624GV17</v>
          </cell>
          <cell r="D5871" t="str">
            <v>KBP52</v>
          </cell>
          <cell r="E5871">
            <v>46216</v>
          </cell>
        </row>
        <row r="5872">
          <cell r="A5872" t="str">
            <v>2623JL37</v>
          </cell>
          <cell r="D5872" t="str">
            <v>TTS50</v>
          </cell>
          <cell r="E5872">
            <v>46216</v>
          </cell>
        </row>
        <row r="5873">
          <cell r="A5873" t="str">
            <v>2626PA57</v>
          </cell>
          <cell r="D5873" t="str">
            <v>KBP126</v>
          </cell>
          <cell r="E5873">
            <v>46216</v>
          </cell>
        </row>
        <row r="5874">
          <cell r="A5874" t="str">
            <v>2619J817</v>
          </cell>
          <cell r="D5874" t="str">
            <v>TTS50</v>
          </cell>
          <cell r="E5874">
            <v>46216</v>
          </cell>
        </row>
        <row r="5875">
          <cell r="A5875" t="str">
            <v>2626C247</v>
          </cell>
          <cell r="D5875" t="str">
            <v>KBP126</v>
          </cell>
          <cell r="E5875">
            <v>46216</v>
          </cell>
        </row>
        <row r="5876">
          <cell r="A5876" t="str">
            <v>2615ZM17</v>
          </cell>
          <cell r="D5876" t="str">
            <v>S706</v>
          </cell>
          <cell r="E5876">
            <v>46216</v>
          </cell>
        </row>
        <row r="5877">
          <cell r="A5877" t="str">
            <v>2614ZH27</v>
          </cell>
          <cell r="D5877" t="str">
            <v>S706</v>
          </cell>
          <cell r="E5877">
            <v>46216</v>
          </cell>
        </row>
        <row r="5878">
          <cell r="A5878" t="str">
            <v>2619BI47</v>
          </cell>
          <cell r="D5878" t="str">
            <v>TTS50</v>
          </cell>
          <cell r="E5878">
            <v>46216</v>
          </cell>
        </row>
        <row r="5879">
          <cell r="A5879" t="str">
            <v>2626LU27</v>
          </cell>
          <cell r="D5879" t="str">
            <v>FTW102K</v>
          </cell>
          <cell r="E5879">
            <v>46216</v>
          </cell>
        </row>
        <row r="5880">
          <cell r="A5880" t="str">
            <v>2625Z317</v>
          </cell>
          <cell r="D5880" t="str">
            <v>S706</v>
          </cell>
          <cell r="E5880">
            <v>46216</v>
          </cell>
        </row>
        <row r="5881">
          <cell r="A5881" t="str">
            <v>2626KV27</v>
          </cell>
          <cell r="D5881" t="str">
            <v>FTW121KE</v>
          </cell>
          <cell r="E5881">
            <v>46216</v>
          </cell>
        </row>
        <row r="5882">
          <cell r="A5882" t="str">
            <v>2626IH47</v>
          </cell>
          <cell r="D5882" t="str">
            <v>KBP86</v>
          </cell>
          <cell r="E5882">
            <v>46216</v>
          </cell>
        </row>
        <row r="5883">
          <cell r="A5883" t="str">
            <v>2626D127</v>
          </cell>
          <cell r="D5883" t="str">
            <v>S15MB</v>
          </cell>
          <cell r="E5883">
            <v>46216</v>
          </cell>
        </row>
        <row r="5884">
          <cell r="A5884" t="str">
            <v>2626LC47</v>
          </cell>
          <cell r="D5884" t="str">
            <v>FTW121KE</v>
          </cell>
          <cell r="E5884">
            <v>46216</v>
          </cell>
        </row>
        <row r="5885">
          <cell r="A5885" t="str">
            <v>2626OL47</v>
          </cell>
          <cell r="D5885" t="str">
            <v>FTW102K</v>
          </cell>
          <cell r="E5885">
            <v>46216</v>
          </cell>
        </row>
        <row r="5886">
          <cell r="A5886" t="str">
            <v>2617DY10</v>
          </cell>
          <cell r="D5886" t="str">
            <v>TTS125</v>
          </cell>
          <cell r="E5886">
            <v>46216</v>
          </cell>
        </row>
        <row r="5887">
          <cell r="A5887" t="str">
            <v>2625L637</v>
          </cell>
          <cell r="D5887" t="str">
            <v>KBP76</v>
          </cell>
          <cell r="E5887">
            <v>46216</v>
          </cell>
        </row>
        <row r="5888">
          <cell r="A5888" t="str">
            <v>2626SD27</v>
          </cell>
          <cell r="D5888" t="str">
            <v>TTS80</v>
          </cell>
          <cell r="E5888">
            <v>46216</v>
          </cell>
        </row>
        <row r="5889">
          <cell r="A5889" t="str">
            <v>2626QH47</v>
          </cell>
          <cell r="D5889" t="str">
            <v>S706</v>
          </cell>
          <cell r="E5889">
            <v>46216</v>
          </cell>
        </row>
        <row r="5890">
          <cell r="A5890" t="str">
            <v>2626PD27</v>
          </cell>
          <cell r="D5890" t="str">
            <v>S706</v>
          </cell>
          <cell r="E5890">
            <v>46216</v>
          </cell>
        </row>
        <row r="5891">
          <cell r="A5891" t="str">
            <v>2627PK17</v>
          </cell>
          <cell r="D5891" t="str">
            <v>FTW121KE</v>
          </cell>
          <cell r="E5891">
            <v>46216</v>
          </cell>
        </row>
        <row r="5892">
          <cell r="A5892" t="str">
            <v>2614ZB27</v>
          </cell>
          <cell r="D5892" t="str">
            <v>S706</v>
          </cell>
          <cell r="E5892">
            <v>46216</v>
          </cell>
        </row>
        <row r="5893">
          <cell r="A5893" t="str">
            <v>2626I357</v>
          </cell>
          <cell r="D5893" t="str">
            <v>FTP200</v>
          </cell>
          <cell r="E5893">
            <v>46216</v>
          </cell>
        </row>
        <row r="5894">
          <cell r="A5894" t="str">
            <v>2626UK57</v>
          </cell>
          <cell r="D5894" t="str">
            <v>FTW102K</v>
          </cell>
          <cell r="E5894">
            <v>46216</v>
          </cell>
        </row>
        <row r="5895">
          <cell r="A5895" t="str">
            <v>2624I167</v>
          </cell>
          <cell r="D5895" t="str">
            <v>TTS80</v>
          </cell>
          <cell r="E5895">
            <v>46216</v>
          </cell>
        </row>
        <row r="5896">
          <cell r="A5896" t="str">
            <v>2626OC67</v>
          </cell>
          <cell r="D5896" t="str">
            <v>TTS80</v>
          </cell>
          <cell r="E5896">
            <v>46216</v>
          </cell>
        </row>
        <row r="5897">
          <cell r="A5897" t="str">
            <v>2626OB17</v>
          </cell>
          <cell r="D5897" t="str">
            <v>S706</v>
          </cell>
          <cell r="E5897">
            <v>46216</v>
          </cell>
        </row>
        <row r="5898">
          <cell r="A5898" t="str">
            <v>2625SO67</v>
          </cell>
          <cell r="D5898" t="str">
            <v>TTS80</v>
          </cell>
          <cell r="E5898">
            <v>46216</v>
          </cell>
        </row>
        <row r="5899">
          <cell r="A5899" t="str">
            <v>2626QS47</v>
          </cell>
          <cell r="D5899" t="str">
            <v>KBP76</v>
          </cell>
          <cell r="E5899">
            <v>46216</v>
          </cell>
        </row>
        <row r="5900">
          <cell r="A5900" t="str">
            <v>2626U637</v>
          </cell>
          <cell r="D5900" t="str">
            <v>FTP200</v>
          </cell>
          <cell r="E5900">
            <v>46216</v>
          </cell>
        </row>
        <row r="5901">
          <cell r="A5901" t="str">
            <v>2623IY27</v>
          </cell>
          <cell r="D5901" t="str">
            <v>KBP76</v>
          </cell>
          <cell r="E5901">
            <v>46216</v>
          </cell>
        </row>
        <row r="5902">
          <cell r="A5902" t="str">
            <v>2619DQ37</v>
          </cell>
          <cell r="D5902" t="str">
            <v>TTS50</v>
          </cell>
          <cell r="E5902">
            <v>46216</v>
          </cell>
        </row>
        <row r="5903">
          <cell r="A5903" t="str">
            <v>2624B567</v>
          </cell>
          <cell r="D5903" t="str">
            <v>KBP86</v>
          </cell>
          <cell r="E5903">
            <v>46216</v>
          </cell>
        </row>
        <row r="5904">
          <cell r="A5904" t="str">
            <v>2623EI67</v>
          </cell>
          <cell r="D5904" t="str">
            <v>TTS50</v>
          </cell>
          <cell r="E5904">
            <v>46216</v>
          </cell>
        </row>
        <row r="5905">
          <cell r="A5905" t="str">
            <v>2626HY47</v>
          </cell>
          <cell r="D5905" t="str">
            <v>KBP76</v>
          </cell>
          <cell r="E5905">
            <v>46216</v>
          </cell>
        </row>
        <row r="5906">
          <cell r="A5906" t="str">
            <v>2626UR57</v>
          </cell>
          <cell r="D5906" t="str">
            <v>FTW102K</v>
          </cell>
          <cell r="E5906">
            <v>46216</v>
          </cell>
        </row>
        <row r="5907">
          <cell r="A5907" t="str">
            <v>2626GS57</v>
          </cell>
          <cell r="D5907" t="str">
            <v>TTS50</v>
          </cell>
          <cell r="E5907">
            <v>46216</v>
          </cell>
        </row>
        <row r="5908">
          <cell r="A5908" t="str">
            <v>2625SZ57</v>
          </cell>
          <cell r="D5908" t="str">
            <v>TTS50</v>
          </cell>
          <cell r="E5908">
            <v>46216</v>
          </cell>
        </row>
        <row r="5909">
          <cell r="A5909" t="str">
            <v>2626I247</v>
          </cell>
          <cell r="D5909" t="str">
            <v>KBP76</v>
          </cell>
          <cell r="E5909">
            <v>46216</v>
          </cell>
        </row>
        <row r="5910">
          <cell r="A5910" t="str">
            <v>2626HW47</v>
          </cell>
          <cell r="D5910" t="str">
            <v>KBP76</v>
          </cell>
          <cell r="E5910">
            <v>46216</v>
          </cell>
        </row>
        <row r="5911">
          <cell r="A5911" t="str">
            <v>2626IX67</v>
          </cell>
          <cell r="D5911" t="str">
            <v>FTP150</v>
          </cell>
          <cell r="E5911">
            <v>46216</v>
          </cell>
        </row>
        <row r="5912">
          <cell r="A5912" t="str">
            <v>2625KG57</v>
          </cell>
          <cell r="D5912" t="str">
            <v>S706</v>
          </cell>
          <cell r="E5912">
            <v>46216</v>
          </cell>
        </row>
        <row r="5913">
          <cell r="A5913" t="str">
            <v>2626OK47</v>
          </cell>
          <cell r="D5913" t="str">
            <v>FTW102K</v>
          </cell>
          <cell r="E5913">
            <v>46216</v>
          </cell>
        </row>
        <row r="5914">
          <cell r="A5914" t="str">
            <v>2622SN37</v>
          </cell>
          <cell r="D5914" t="str">
            <v>TTS80</v>
          </cell>
          <cell r="E5914">
            <v>46216</v>
          </cell>
        </row>
        <row r="5915">
          <cell r="A5915" t="str">
            <v>2623JC17</v>
          </cell>
          <cell r="D5915" t="str">
            <v>TTS50</v>
          </cell>
          <cell r="E5915">
            <v>46216</v>
          </cell>
        </row>
        <row r="5916">
          <cell r="A5916" t="str">
            <v>2622WJ57</v>
          </cell>
          <cell r="D5916" t="str">
            <v>TTS50</v>
          </cell>
          <cell r="E5916">
            <v>46216</v>
          </cell>
        </row>
        <row r="5917">
          <cell r="A5917" t="str">
            <v>2626H757</v>
          </cell>
          <cell r="D5917" t="str">
            <v>FTW121KE</v>
          </cell>
          <cell r="E5917">
            <v>46216</v>
          </cell>
        </row>
        <row r="5918">
          <cell r="A5918" t="str">
            <v>2618O157</v>
          </cell>
          <cell r="D5918" t="str">
            <v>TTS80</v>
          </cell>
          <cell r="E5918">
            <v>46216</v>
          </cell>
        </row>
        <row r="5919">
          <cell r="A5919" t="str">
            <v>2626J557</v>
          </cell>
          <cell r="D5919" t="str">
            <v>TTS50</v>
          </cell>
          <cell r="E5919">
            <v>46216</v>
          </cell>
        </row>
        <row r="5920">
          <cell r="A5920" t="str">
            <v>2626PT17</v>
          </cell>
          <cell r="D5920" t="str">
            <v>TTS80</v>
          </cell>
          <cell r="E5920">
            <v>46216</v>
          </cell>
        </row>
        <row r="5921">
          <cell r="A5921" t="str">
            <v>2624GN67</v>
          </cell>
          <cell r="D5921" t="str">
            <v>KBP76</v>
          </cell>
          <cell r="E5921">
            <v>46216</v>
          </cell>
        </row>
        <row r="5922">
          <cell r="A5922" t="str">
            <v>2626I647</v>
          </cell>
          <cell r="D5922" t="str">
            <v>KBP76</v>
          </cell>
          <cell r="E5922">
            <v>46216</v>
          </cell>
        </row>
        <row r="5923">
          <cell r="A5923" t="str">
            <v>2619A857</v>
          </cell>
          <cell r="D5923" t="str">
            <v>FTW102K</v>
          </cell>
          <cell r="E5923">
            <v>46216</v>
          </cell>
        </row>
        <row r="5924">
          <cell r="A5924" t="str">
            <v>2624Q937</v>
          </cell>
          <cell r="D5924" t="str">
            <v>KBP76</v>
          </cell>
          <cell r="E5924">
            <v>46216</v>
          </cell>
        </row>
        <row r="5925">
          <cell r="A5925" t="str">
            <v>2626PP37</v>
          </cell>
          <cell r="D5925" t="str">
            <v>S706</v>
          </cell>
          <cell r="E5925">
            <v>46216</v>
          </cell>
        </row>
        <row r="5926">
          <cell r="A5926" t="str">
            <v>2626JI37</v>
          </cell>
          <cell r="D5926" t="str">
            <v>FTP150</v>
          </cell>
          <cell r="E5926">
            <v>46215</v>
          </cell>
        </row>
        <row r="5927">
          <cell r="A5927" t="str">
            <v>2626FL57</v>
          </cell>
          <cell r="D5927" t="str">
            <v>KBP76</v>
          </cell>
          <cell r="E5927">
            <v>46215</v>
          </cell>
        </row>
        <row r="5928">
          <cell r="A5928" t="str">
            <v>2624GW17</v>
          </cell>
          <cell r="D5928" t="str">
            <v>KBP52</v>
          </cell>
          <cell r="E5928">
            <v>46215</v>
          </cell>
        </row>
        <row r="5929">
          <cell r="A5929" t="str">
            <v>2624GO47</v>
          </cell>
          <cell r="D5929" t="str">
            <v>KBP76</v>
          </cell>
          <cell r="E5929">
            <v>46215</v>
          </cell>
        </row>
        <row r="5930">
          <cell r="A5930" t="str">
            <v>2626HR57</v>
          </cell>
          <cell r="D5930" t="str">
            <v>FTW121KE</v>
          </cell>
          <cell r="E5930">
            <v>46215</v>
          </cell>
        </row>
        <row r="5931">
          <cell r="A5931" t="str">
            <v>2626PW47</v>
          </cell>
          <cell r="D5931" t="str">
            <v>S706</v>
          </cell>
          <cell r="E5931">
            <v>46215</v>
          </cell>
        </row>
        <row r="5932">
          <cell r="A5932" t="str">
            <v>2626HK17</v>
          </cell>
          <cell r="D5932" t="str">
            <v>S15MB</v>
          </cell>
          <cell r="E5932">
            <v>46215</v>
          </cell>
        </row>
        <row r="5933">
          <cell r="A5933" t="str">
            <v>2627SC27</v>
          </cell>
          <cell r="D5933" t="str">
            <v>KBP86</v>
          </cell>
          <cell r="E5933">
            <v>46215</v>
          </cell>
        </row>
        <row r="5934">
          <cell r="A5934" t="str">
            <v>2626CZ47</v>
          </cell>
          <cell r="D5934" t="str">
            <v>STA156KA</v>
          </cell>
          <cell r="E5934">
            <v>46215</v>
          </cell>
        </row>
        <row r="5935">
          <cell r="A5935" t="str">
            <v>2626PE27</v>
          </cell>
          <cell r="D5935" t="str">
            <v>S706</v>
          </cell>
          <cell r="E5935">
            <v>46215</v>
          </cell>
        </row>
        <row r="5936">
          <cell r="A5936" t="str">
            <v>2626H257</v>
          </cell>
          <cell r="D5936" t="str">
            <v>FTW121KE</v>
          </cell>
          <cell r="E5936">
            <v>46215</v>
          </cell>
        </row>
        <row r="5937">
          <cell r="A5937" t="str">
            <v>2625SQ27</v>
          </cell>
          <cell r="D5937" t="str">
            <v>KBP55</v>
          </cell>
          <cell r="E5937">
            <v>46215</v>
          </cell>
        </row>
        <row r="5938">
          <cell r="A5938" t="str">
            <v>2624PC47</v>
          </cell>
          <cell r="D5938" t="str">
            <v>KBP76</v>
          </cell>
          <cell r="E5938">
            <v>46215</v>
          </cell>
        </row>
        <row r="5939">
          <cell r="A5939" t="str">
            <v>2623Y757</v>
          </cell>
          <cell r="D5939" t="str">
            <v>S706</v>
          </cell>
          <cell r="E5939">
            <v>46215</v>
          </cell>
        </row>
        <row r="5940">
          <cell r="A5940" t="str">
            <v>2626PW37</v>
          </cell>
          <cell r="D5940" t="str">
            <v>S706</v>
          </cell>
          <cell r="E5940">
            <v>46215</v>
          </cell>
        </row>
        <row r="5941">
          <cell r="A5941" t="str">
            <v>2620J117</v>
          </cell>
          <cell r="D5941" t="str">
            <v>TTS50</v>
          </cell>
          <cell r="E5941">
            <v>46215</v>
          </cell>
        </row>
        <row r="5942">
          <cell r="A5942" t="str">
            <v>2626O147</v>
          </cell>
          <cell r="D5942" t="str">
            <v>KBP86</v>
          </cell>
          <cell r="E5942">
            <v>46215</v>
          </cell>
        </row>
        <row r="5943">
          <cell r="A5943" t="str">
            <v>2620B847</v>
          </cell>
          <cell r="D5943" t="str">
            <v>TTS50</v>
          </cell>
          <cell r="E5943">
            <v>46215</v>
          </cell>
        </row>
        <row r="5944">
          <cell r="A5944" t="str">
            <v>2621HU67</v>
          </cell>
          <cell r="D5944" t="str">
            <v>KBP55</v>
          </cell>
          <cell r="E5944">
            <v>46215</v>
          </cell>
        </row>
        <row r="5945">
          <cell r="A5945" t="str">
            <v>2626LB47</v>
          </cell>
          <cell r="D5945" t="str">
            <v>FTW121KE</v>
          </cell>
          <cell r="E5945">
            <v>46215</v>
          </cell>
        </row>
        <row r="5946">
          <cell r="A5946" t="str">
            <v>2626IH27</v>
          </cell>
          <cell r="D5946" t="str">
            <v>KBP76</v>
          </cell>
          <cell r="E5946">
            <v>46215</v>
          </cell>
        </row>
        <row r="5947">
          <cell r="A5947" t="str">
            <v>2626VV57</v>
          </cell>
          <cell r="D5947" t="str">
            <v>FTW121KE</v>
          </cell>
          <cell r="E5947">
            <v>46215</v>
          </cell>
        </row>
        <row r="5948">
          <cell r="A5948" t="str">
            <v>2624WT57</v>
          </cell>
          <cell r="D5948" t="str">
            <v>KBP86</v>
          </cell>
          <cell r="E5948">
            <v>46215</v>
          </cell>
        </row>
        <row r="5949">
          <cell r="A5949" t="str">
            <v>2624FC80</v>
          </cell>
          <cell r="D5949" t="str">
            <v>TTS125</v>
          </cell>
          <cell r="E5949">
            <v>46215</v>
          </cell>
        </row>
        <row r="5950">
          <cell r="A5950" t="str">
            <v>2627QN17</v>
          </cell>
          <cell r="D5950" t="str">
            <v>FTW121KE</v>
          </cell>
          <cell r="E5950">
            <v>46215</v>
          </cell>
        </row>
        <row r="5951">
          <cell r="A5951" t="str">
            <v>2623JR37</v>
          </cell>
          <cell r="D5951" t="str">
            <v>TTS50</v>
          </cell>
          <cell r="E5951">
            <v>46215</v>
          </cell>
        </row>
        <row r="5952">
          <cell r="A5952" t="str">
            <v>2626I547</v>
          </cell>
          <cell r="D5952" t="str">
            <v>KBP76</v>
          </cell>
          <cell r="E5952">
            <v>46215</v>
          </cell>
        </row>
        <row r="5953">
          <cell r="A5953" t="str">
            <v>2626LQ17</v>
          </cell>
          <cell r="D5953" t="str">
            <v>S706</v>
          </cell>
          <cell r="E5953">
            <v>46215</v>
          </cell>
        </row>
        <row r="5954">
          <cell r="A5954" t="str">
            <v>2625F267</v>
          </cell>
          <cell r="D5954" t="str">
            <v>KBP55</v>
          </cell>
          <cell r="E5954">
            <v>46215</v>
          </cell>
        </row>
        <row r="5955">
          <cell r="A5955" t="str">
            <v>2625I347</v>
          </cell>
          <cell r="D5955" t="str">
            <v>KBP76</v>
          </cell>
          <cell r="E5955">
            <v>46215</v>
          </cell>
        </row>
        <row r="5956">
          <cell r="A5956" t="str">
            <v>2625L527</v>
          </cell>
          <cell r="D5956" t="str">
            <v>KBP76</v>
          </cell>
          <cell r="E5956">
            <v>46215</v>
          </cell>
        </row>
        <row r="5957">
          <cell r="A5957" t="str">
            <v>2626JL67</v>
          </cell>
          <cell r="D5957" t="str">
            <v>FTW121KE</v>
          </cell>
          <cell r="E5957">
            <v>46215</v>
          </cell>
        </row>
        <row r="5958">
          <cell r="A5958" t="str">
            <v>2625G567</v>
          </cell>
          <cell r="D5958" t="str">
            <v>TTS80</v>
          </cell>
          <cell r="E5958">
            <v>46215</v>
          </cell>
        </row>
        <row r="5959">
          <cell r="A5959" t="str">
            <v>2626QK47</v>
          </cell>
          <cell r="D5959" t="str">
            <v>S706</v>
          </cell>
          <cell r="E5959">
            <v>46215</v>
          </cell>
        </row>
        <row r="5960">
          <cell r="A5960" t="str">
            <v>2625W657</v>
          </cell>
          <cell r="D5960" t="str">
            <v>S15MB</v>
          </cell>
          <cell r="E5960">
            <v>46215</v>
          </cell>
        </row>
        <row r="5961">
          <cell r="A5961" t="str">
            <v>2626OL67</v>
          </cell>
          <cell r="D5961" t="str">
            <v>TTS80</v>
          </cell>
          <cell r="E5961">
            <v>46215</v>
          </cell>
        </row>
        <row r="5962">
          <cell r="A5962" t="str">
            <v>2627QL17</v>
          </cell>
          <cell r="D5962" t="str">
            <v>FTW121KE</v>
          </cell>
          <cell r="E5962">
            <v>46215</v>
          </cell>
        </row>
        <row r="5963">
          <cell r="A5963" t="str">
            <v>2626JI17</v>
          </cell>
          <cell r="D5963" t="str">
            <v>FTW700</v>
          </cell>
          <cell r="E5963">
            <v>46215</v>
          </cell>
        </row>
        <row r="5964">
          <cell r="A5964" t="str">
            <v>2624GW17</v>
          </cell>
          <cell r="D5964" t="str">
            <v>KBP52</v>
          </cell>
          <cell r="E5964">
            <v>46215</v>
          </cell>
        </row>
        <row r="5965">
          <cell r="A5965" t="str">
            <v>2626PW47</v>
          </cell>
          <cell r="D5965" t="str">
            <v>S706</v>
          </cell>
          <cell r="E5965">
            <v>46215</v>
          </cell>
        </row>
        <row r="5966">
          <cell r="A5966" t="str">
            <v>2626O667</v>
          </cell>
          <cell r="D5966" t="str">
            <v>TTS80</v>
          </cell>
          <cell r="E5966">
            <v>46215</v>
          </cell>
        </row>
        <row r="5967">
          <cell r="A5967" t="str">
            <v>2626OK67</v>
          </cell>
          <cell r="D5967" t="str">
            <v>TTS80</v>
          </cell>
          <cell r="E5967">
            <v>46215</v>
          </cell>
        </row>
        <row r="5968">
          <cell r="A5968" t="str">
            <v>2626LM37</v>
          </cell>
          <cell r="D5968" t="str">
            <v>KBP86</v>
          </cell>
          <cell r="E5968">
            <v>46215</v>
          </cell>
        </row>
        <row r="5969">
          <cell r="A5969" t="str">
            <v>2623J947</v>
          </cell>
          <cell r="D5969" t="str">
            <v>KBP76</v>
          </cell>
          <cell r="E5969">
            <v>46215</v>
          </cell>
        </row>
        <row r="5970">
          <cell r="A5970" t="str">
            <v>2626OM67</v>
          </cell>
          <cell r="D5970" t="str">
            <v>TTS80</v>
          </cell>
          <cell r="E5970">
            <v>46215</v>
          </cell>
        </row>
        <row r="5971">
          <cell r="A5971" t="str">
            <v>2626O817</v>
          </cell>
          <cell r="D5971" t="str">
            <v>S706</v>
          </cell>
          <cell r="E5971">
            <v>46215</v>
          </cell>
        </row>
        <row r="5972">
          <cell r="A5972" t="str">
            <v>2626QH37</v>
          </cell>
          <cell r="D5972" t="str">
            <v>S706</v>
          </cell>
          <cell r="E5972">
            <v>46215</v>
          </cell>
        </row>
        <row r="5973">
          <cell r="A5973" t="str">
            <v>2626ON67</v>
          </cell>
          <cell r="D5973" t="str">
            <v>TTS80</v>
          </cell>
          <cell r="E5973">
            <v>46215</v>
          </cell>
        </row>
        <row r="5974">
          <cell r="A5974" t="str">
            <v>2623JL47</v>
          </cell>
          <cell r="D5974" t="str">
            <v>TTS50</v>
          </cell>
          <cell r="E5974">
            <v>46215</v>
          </cell>
        </row>
        <row r="5975">
          <cell r="A5975" t="str">
            <v>2626V157</v>
          </cell>
          <cell r="D5975" t="str">
            <v>FTW121KE</v>
          </cell>
          <cell r="E5975">
            <v>46215</v>
          </cell>
        </row>
        <row r="5976">
          <cell r="A5976" t="str">
            <v>2627S217</v>
          </cell>
          <cell r="D5976" t="str">
            <v>KBP86</v>
          </cell>
          <cell r="E5976">
            <v>46215</v>
          </cell>
        </row>
        <row r="5977">
          <cell r="A5977" t="str">
            <v>2626I257</v>
          </cell>
          <cell r="D5977" t="str">
            <v>FTP200</v>
          </cell>
          <cell r="E5977">
            <v>46215</v>
          </cell>
        </row>
        <row r="5978">
          <cell r="A5978" t="str">
            <v>2627QY17</v>
          </cell>
          <cell r="D5978" t="str">
            <v>KBP86</v>
          </cell>
          <cell r="E5978">
            <v>46215</v>
          </cell>
        </row>
        <row r="5979">
          <cell r="A5979" t="str">
            <v>2626H957</v>
          </cell>
          <cell r="D5979" t="str">
            <v>FTW121KE</v>
          </cell>
          <cell r="E5979">
            <v>46215</v>
          </cell>
        </row>
        <row r="5980">
          <cell r="A5980" t="str">
            <v>2626PY17</v>
          </cell>
          <cell r="D5980" t="str">
            <v>TTS80</v>
          </cell>
          <cell r="E5980">
            <v>46215</v>
          </cell>
        </row>
        <row r="5981">
          <cell r="A5981" t="str">
            <v>2627PS17</v>
          </cell>
          <cell r="D5981" t="str">
            <v>FTW121KE</v>
          </cell>
          <cell r="E5981">
            <v>46215</v>
          </cell>
        </row>
        <row r="5982">
          <cell r="A5982" t="str">
            <v>2626IC27</v>
          </cell>
          <cell r="D5982" t="str">
            <v>KBP86</v>
          </cell>
          <cell r="E5982">
            <v>46215</v>
          </cell>
        </row>
        <row r="5983">
          <cell r="A5983" t="str">
            <v>2627S117</v>
          </cell>
          <cell r="D5983" t="str">
            <v>KBP86</v>
          </cell>
          <cell r="E5983">
            <v>46215</v>
          </cell>
        </row>
        <row r="5984">
          <cell r="A5984" t="str">
            <v>2626HZ47</v>
          </cell>
          <cell r="D5984" t="str">
            <v>KBP76</v>
          </cell>
          <cell r="E5984">
            <v>46215</v>
          </cell>
        </row>
        <row r="5985">
          <cell r="A5985" t="str">
            <v>2626SU47</v>
          </cell>
          <cell r="D5985" t="str">
            <v>STA156KA</v>
          </cell>
          <cell r="E5985">
            <v>46215</v>
          </cell>
        </row>
        <row r="5986">
          <cell r="A5986" t="str">
            <v>2625I757</v>
          </cell>
          <cell r="D5986" t="str">
            <v>KBP76</v>
          </cell>
          <cell r="E5986">
            <v>46215</v>
          </cell>
        </row>
        <row r="5987">
          <cell r="A5987" t="str">
            <v>2625EG67</v>
          </cell>
          <cell r="D5987" t="str">
            <v>KBP76</v>
          </cell>
          <cell r="E5987">
            <v>46215</v>
          </cell>
        </row>
        <row r="5988">
          <cell r="A5988" t="str">
            <v>2623JP37</v>
          </cell>
          <cell r="D5988" t="str">
            <v>TTS50</v>
          </cell>
          <cell r="E5988">
            <v>46215</v>
          </cell>
        </row>
        <row r="5989">
          <cell r="A5989" t="str">
            <v>2626HM57</v>
          </cell>
          <cell r="D5989" t="str">
            <v>FTW121KE</v>
          </cell>
          <cell r="E5989">
            <v>46215</v>
          </cell>
        </row>
        <row r="5990">
          <cell r="A5990" t="str">
            <v>2625IV37</v>
          </cell>
          <cell r="D5990" t="str">
            <v>KBP76</v>
          </cell>
          <cell r="E5990">
            <v>46215</v>
          </cell>
        </row>
        <row r="5991">
          <cell r="A5991" t="str">
            <v>2626KB57</v>
          </cell>
          <cell r="D5991" t="str">
            <v>STA156KA</v>
          </cell>
          <cell r="E5991">
            <v>46215</v>
          </cell>
        </row>
        <row r="5992">
          <cell r="A5992" t="str">
            <v>2614YW47</v>
          </cell>
          <cell r="D5992" t="str">
            <v>S706</v>
          </cell>
          <cell r="E5992">
            <v>46215</v>
          </cell>
        </row>
        <row r="5993">
          <cell r="A5993" t="str">
            <v>2626IB57</v>
          </cell>
          <cell r="D5993" t="str">
            <v>FTP200</v>
          </cell>
          <cell r="E5993">
            <v>46215</v>
          </cell>
        </row>
        <row r="5994">
          <cell r="A5994" t="str">
            <v>2623JF47</v>
          </cell>
          <cell r="D5994" t="str">
            <v>TTS50</v>
          </cell>
          <cell r="E5994">
            <v>46215</v>
          </cell>
        </row>
        <row r="5995">
          <cell r="A5995" t="str">
            <v>2626Q547</v>
          </cell>
          <cell r="D5995" t="str">
            <v>S706</v>
          </cell>
          <cell r="E5995">
            <v>46215</v>
          </cell>
        </row>
        <row r="5996">
          <cell r="A5996" t="str">
            <v>2626HS17</v>
          </cell>
          <cell r="D5996" t="str">
            <v>KBP86</v>
          </cell>
          <cell r="E5996">
            <v>46215</v>
          </cell>
        </row>
        <row r="5997">
          <cell r="A5997" t="str">
            <v>2626I657</v>
          </cell>
          <cell r="D5997" t="str">
            <v>FTP200</v>
          </cell>
          <cell r="E5997">
            <v>46215</v>
          </cell>
        </row>
        <row r="5998">
          <cell r="A5998" t="str">
            <v>2625FO67</v>
          </cell>
          <cell r="D5998" t="str">
            <v>TTS80</v>
          </cell>
          <cell r="E5998">
            <v>46215</v>
          </cell>
        </row>
        <row r="5999">
          <cell r="A5999" t="str">
            <v>2624EK17</v>
          </cell>
          <cell r="D5999" t="str">
            <v>FTW102K</v>
          </cell>
          <cell r="E5999">
            <v>46215</v>
          </cell>
        </row>
        <row r="6000">
          <cell r="A6000" t="str">
            <v>2626VY57</v>
          </cell>
          <cell r="D6000" t="str">
            <v>KBP86</v>
          </cell>
          <cell r="E6000">
            <v>46215</v>
          </cell>
        </row>
        <row r="6001">
          <cell r="A6001" t="str">
            <v>2619SR27</v>
          </cell>
          <cell r="D6001" t="str">
            <v>TTS50</v>
          </cell>
          <cell r="E6001">
            <v>46215</v>
          </cell>
        </row>
        <row r="6002">
          <cell r="A6002" t="str">
            <v>2624EG17</v>
          </cell>
          <cell r="D6002" t="str">
            <v>FTW102K</v>
          </cell>
          <cell r="E6002">
            <v>46215</v>
          </cell>
        </row>
        <row r="6003">
          <cell r="A6003" t="str">
            <v>2626VX57</v>
          </cell>
          <cell r="D6003" t="str">
            <v>KBP86</v>
          </cell>
          <cell r="E6003">
            <v>46215</v>
          </cell>
        </row>
        <row r="6004">
          <cell r="A6004" t="str">
            <v>2620JM37</v>
          </cell>
          <cell r="D6004" t="str">
            <v>TTS50</v>
          </cell>
          <cell r="E6004">
            <v>46215</v>
          </cell>
        </row>
        <row r="6005">
          <cell r="A6005" t="str">
            <v>2623DU67</v>
          </cell>
          <cell r="D6005" t="str">
            <v>TTS50</v>
          </cell>
          <cell r="E6005">
            <v>46215</v>
          </cell>
        </row>
        <row r="6006">
          <cell r="A6006" t="str">
            <v>2619DP37</v>
          </cell>
          <cell r="D6006" t="str">
            <v>TTS50</v>
          </cell>
          <cell r="E6006">
            <v>46215</v>
          </cell>
        </row>
        <row r="6007">
          <cell r="A6007" t="str">
            <v>2625I537</v>
          </cell>
          <cell r="D6007" t="str">
            <v>KBP86</v>
          </cell>
          <cell r="E6007">
            <v>46215</v>
          </cell>
        </row>
        <row r="6008">
          <cell r="A6008" t="str">
            <v>2625SM67</v>
          </cell>
          <cell r="D6008" t="str">
            <v>TTS80</v>
          </cell>
          <cell r="E6008">
            <v>46215</v>
          </cell>
        </row>
        <row r="6009">
          <cell r="A6009" t="str">
            <v>2627PM17</v>
          </cell>
          <cell r="D6009" t="str">
            <v>FTW121KE</v>
          </cell>
          <cell r="E6009">
            <v>46215</v>
          </cell>
        </row>
        <row r="6010">
          <cell r="A6010" t="str">
            <v>2626L537</v>
          </cell>
          <cell r="D6010" t="str">
            <v>FTW121KE</v>
          </cell>
          <cell r="E6010">
            <v>46215</v>
          </cell>
        </row>
        <row r="6011">
          <cell r="A6011" t="str">
            <v>2625LW57</v>
          </cell>
          <cell r="D6011" t="str">
            <v>KBP55</v>
          </cell>
          <cell r="E6011">
            <v>46215</v>
          </cell>
        </row>
        <row r="6012">
          <cell r="A6012" t="str">
            <v>2626QB47</v>
          </cell>
          <cell r="D6012" t="str">
            <v>S706</v>
          </cell>
          <cell r="E6012">
            <v>46215</v>
          </cell>
        </row>
        <row r="6013">
          <cell r="A6013" t="str">
            <v>2625KL57</v>
          </cell>
          <cell r="D6013" t="str">
            <v>S706</v>
          </cell>
          <cell r="E6013">
            <v>46215</v>
          </cell>
        </row>
        <row r="6014">
          <cell r="A6014" t="str">
            <v>2626QS27</v>
          </cell>
          <cell r="D6014" t="str">
            <v>FTP200</v>
          </cell>
          <cell r="E6014">
            <v>46215</v>
          </cell>
        </row>
        <row r="6015">
          <cell r="A6015" t="str">
            <v>2626JZ67</v>
          </cell>
          <cell r="D6015" t="str">
            <v>S706</v>
          </cell>
          <cell r="E6015">
            <v>46215</v>
          </cell>
        </row>
        <row r="6016">
          <cell r="A6016" t="str">
            <v>2626CY27</v>
          </cell>
          <cell r="D6016" t="str">
            <v>S15MB</v>
          </cell>
          <cell r="E6016">
            <v>46215</v>
          </cell>
        </row>
        <row r="6017">
          <cell r="A6017" t="str">
            <v>2624OG47</v>
          </cell>
          <cell r="D6017" t="str">
            <v>KBP52</v>
          </cell>
          <cell r="E6017">
            <v>46215</v>
          </cell>
        </row>
        <row r="6018">
          <cell r="A6018" t="str">
            <v>2626O567</v>
          </cell>
          <cell r="D6018" t="str">
            <v>TTS80</v>
          </cell>
          <cell r="E6018">
            <v>46215</v>
          </cell>
        </row>
        <row r="6019">
          <cell r="A6019" t="str">
            <v>2626LW17</v>
          </cell>
          <cell r="D6019" t="str">
            <v>S706</v>
          </cell>
          <cell r="E6019">
            <v>46215</v>
          </cell>
        </row>
        <row r="6020">
          <cell r="A6020" t="str">
            <v>2626FB57</v>
          </cell>
          <cell r="D6020" t="str">
            <v>FTP150</v>
          </cell>
          <cell r="E6020">
            <v>46215</v>
          </cell>
        </row>
        <row r="6021">
          <cell r="A6021" t="str">
            <v>2625KJ57</v>
          </cell>
          <cell r="D6021" t="str">
            <v>S706</v>
          </cell>
          <cell r="E6021">
            <v>46215</v>
          </cell>
        </row>
        <row r="6022">
          <cell r="A6022" t="str">
            <v>2623EX20</v>
          </cell>
          <cell r="D6022" t="str">
            <v>TTS125</v>
          </cell>
          <cell r="E6022">
            <v>46215</v>
          </cell>
        </row>
        <row r="6023">
          <cell r="A6023" t="str">
            <v>2626QG37</v>
          </cell>
          <cell r="D6023" t="str">
            <v>S706</v>
          </cell>
          <cell r="E6023">
            <v>46215</v>
          </cell>
        </row>
        <row r="6024">
          <cell r="A6024" t="str">
            <v>2624O937</v>
          </cell>
          <cell r="D6024" t="str">
            <v>KBP76</v>
          </cell>
          <cell r="E6024">
            <v>46215</v>
          </cell>
        </row>
        <row r="6025">
          <cell r="A6025" t="str">
            <v>2614YO47</v>
          </cell>
          <cell r="D6025" t="str">
            <v>S706</v>
          </cell>
          <cell r="E6025">
            <v>46215</v>
          </cell>
        </row>
        <row r="6026">
          <cell r="A6026" t="str">
            <v>2620IZ27</v>
          </cell>
          <cell r="D6026" t="str">
            <v>TTS50</v>
          </cell>
          <cell r="E6026">
            <v>46215</v>
          </cell>
        </row>
        <row r="6027">
          <cell r="A6027" t="str">
            <v>2626D427</v>
          </cell>
          <cell r="D6027" t="str">
            <v>S15MB</v>
          </cell>
          <cell r="E6027">
            <v>46215</v>
          </cell>
        </row>
        <row r="6028">
          <cell r="A6028" t="str">
            <v>2625SA27</v>
          </cell>
          <cell r="D6028" t="str">
            <v>STA156KA</v>
          </cell>
          <cell r="E6028">
            <v>46215</v>
          </cell>
        </row>
        <row r="6029">
          <cell r="A6029" t="str">
            <v>2625CU67</v>
          </cell>
          <cell r="D6029" t="str">
            <v>KBP52</v>
          </cell>
          <cell r="E6029">
            <v>46215</v>
          </cell>
        </row>
        <row r="6030">
          <cell r="A6030" t="str">
            <v>2625OX17</v>
          </cell>
          <cell r="D6030" t="str">
            <v>S706</v>
          </cell>
          <cell r="E6030">
            <v>46215</v>
          </cell>
        </row>
        <row r="6031">
          <cell r="A6031" t="str">
            <v>2625SO27</v>
          </cell>
          <cell r="D6031" t="str">
            <v>KBP55</v>
          </cell>
          <cell r="E6031">
            <v>46215</v>
          </cell>
        </row>
        <row r="6032">
          <cell r="A6032" t="str">
            <v>2626Q947</v>
          </cell>
          <cell r="D6032" t="str">
            <v>S706</v>
          </cell>
          <cell r="E6032">
            <v>46215</v>
          </cell>
        </row>
        <row r="6033">
          <cell r="A6033" t="str">
            <v>2434VP57</v>
          </cell>
          <cell r="D6033" t="str">
            <v>KBP76</v>
          </cell>
          <cell r="E6033">
            <v>46215</v>
          </cell>
        </row>
        <row r="6034">
          <cell r="A6034" t="str">
            <v>2626V957</v>
          </cell>
          <cell r="D6034" t="str">
            <v>FTW121KE</v>
          </cell>
          <cell r="E6034">
            <v>46215</v>
          </cell>
        </row>
        <row r="6035">
          <cell r="A6035" t="str">
            <v>2625AP67</v>
          </cell>
          <cell r="D6035" t="str">
            <v>FTW700</v>
          </cell>
          <cell r="E6035">
            <v>46215</v>
          </cell>
        </row>
        <row r="6036">
          <cell r="A6036" t="str">
            <v>2625E667</v>
          </cell>
          <cell r="D6036" t="str">
            <v>KBP86</v>
          </cell>
          <cell r="E6036">
            <v>46215</v>
          </cell>
        </row>
        <row r="6037">
          <cell r="A6037" t="str">
            <v>2626PQ17</v>
          </cell>
          <cell r="D6037" t="str">
            <v>TTS80</v>
          </cell>
          <cell r="E6037">
            <v>46215</v>
          </cell>
        </row>
        <row r="6038">
          <cell r="A6038" t="str">
            <v>2625HY47</v>
          </cell>
          <cell r="D6038" t="str">
            <v>KBP76</v>
          </cell>
          <cell r="E6038">
            <v>46215</v>
          </cell>
        </row>
        <row r="6039">
          <cell r="A6039" t="str">
            <v>2623J917</v>
          </cell>
          <cell r="D6039" t="str">
            <v>TTS50</v>
          </cell>
          <cell r="E6039">
            <v>46215</v>
          </cell>
        </row>
        <row r="6040">
          <cell r="A6040" t="str">
            <v>2626HZ57</v>
          </cell>
          <cell r="D6040" t="str">
            <v>KBP86</v>
          </cell>
          <cell r="E6040">
            <v>46215</v>
          </cell>
        </row>
        <row r="6041">
          <cell r="A6041" t="str">
            <v>2620BC47</v>
          </cell>
          <cell r="D6041" t="str">
            <v>TTS50</v>
          </cell>
          <cell r="E6041">
            <v>46215</v>
          </cell>
        </row>
        <row r="6042">
          <cell r="A6042" t="str">
            <v>2624X157</v>
          </cell>
          <cell r="D6042" t="str">
            <v>KBP86</v>
          </cell>
          <cell r="E6042">
            <v>46215</v>
          </cell>
        </row>
        <row r="6043">
          <cell r="A6043" t="str">
            <v>2625L427</v>
          </cell>
          <cell r="D6043" t="str">
            <v>KBP76</v>
          </cell>
          <cell r="E6043">
            <v>46215</v>
          </cell>
        </row>
        <row r="6044">
          <cell r="A6044" t="str">
            <v>2627PG17</v>
          </cell>
          <cell r="D6044" t="str">
            <v>FTW121KE</v>
          </cell>
          <cell r="E6044">
            <v>46215</v>
          </cell>
        </row>
        <row r="6045">
          <cell r="A6045" t="str">
            <v>2625EL67</v>
          </cell>
          <cell r="D6045" t="str">
            <v>STA156KA</v>
          </cell>
          <cell r="E6045">
            <v>46215</v>
          </cell>
        </row>
        <row r="6046">
          <cell r="A6046" t="str">
            <v>2626KA57</v>
          </cell>
          <cell r="D6046" t="str">
            <v>STA156KA</v>
          </cell>
          <cell r="E6046">
            <v>46215</v>
          </cell>
        </row>
        <row r="6047">
          <cell r="A6047" t="str">
            <v>2626UH57</v>
          </cell>
          <cell r="D6047" t="str">
            <v>FTW102K</v>
          </cell>
          <cell r="E6047">
            <v>46215</v>
          </cell>
        </row>
        <row r="6048">
          <cell r="A6048" t="str">
            <v>2627Q317</v>
          </cell>
          <cell r="D6048" t="str">
            <v>FTW121KE</v>
          </cell>
          <cell r="E6048">
            <v>46215</v>
          </cell>
        </row>
        <row r="6049">
          <cell r="A6049" t="str">
            <v>2627WW17</v>
          </cell>
          <cell r="D6049" t="str">
            <v>KBP52</v>
          </cell>
          <cell r="E6049">
            <v>46215</v>
          </cell>
        </row>
        <row r="6050">
          <cell r="A6050" t="str">
            <v>2626U647</v>
          </cell>
          <cell r="D6050" t="str">
            <v>KBP86</v>
          </cell>
          <cell r="E6050">
            <v>46215</v>
          </cell>
        </row>
        <row r="6051">
          <cell r="A6051" t="str">
            <v>2626VJ57</v>
          </cell>
          <cell r="D6051" t="str">
            <v>FTW121KE</v>
          </cell>
          <cell r="E6051">
            <v>46215</v>
          </cell>
        </row>
        <row r="6052">
          <cell r="A6052" t="str">
            <v>2626QN27</v>
          </cell>
          <cell r="D6052" t="str">
            <v>KBP76</v>
          </cell>
          <cell r="E6052">
            <v>46215</v>
          </cell>
        </row>
        <row r="6053">
          <cell r="A6053" t="str">
            <v>2627Q637</v>
          </cell>
          <cell r="D6053" t="str">
            <v>KBP86</v>
          </cell>
          <cell r="E6053">
            <v>46215</v>
          </cell>
        </row>
        <row r="6054">
          <cell r="A6054" t="str">
            <v>2626JS57</v>
          </cell>
          <cell r="D6054" t="str">
            <v>KBP76</v>
          </cell>
          <cell r="E6054">
            <v>46215</v>
          </cell>
        </row>
        <row r="6055">
          <cell r="A6055" t="str">
            <v>2626P567</v>
          </cell>
          <cell r="D6055" t="str">
            <v>TTS80</v>
          </cell>
          <cell r="E6055">
            <v>46215</v>
          </cell>
        </row>
        <row r="6056">
          <cell r="A6056" t="str">
            <v>2625FJ90</v>
          </cell>
          <cell r="D6056" t="str">
            <v>TTS125</v>
          </cell>
          <cell r="E6056">
            <v>46215</v>
          </cell>
        </row>
        <row r="6057">
          <cell r="A6057" t="str">
            <v>2626SB27</v>
          </cell>
          <cell r="D6057" t="str">
            <v>TTS80</v>
          </cell>
          <cell r="E6057">
            <v>46215</v>
          </cell>
        </row>
        <row r="6058">
          <cell r="A6058" t="str">
            <v>2620JQ37</v>
          </cell>
          <cell r="D6058" t="str">
            <v>TTS50</v>
          </cell>
          <cell r="E6058">
            <v>46215</v>
          </cell>
        </row>
        <row r="6059">
          <cell r="A6059" t="str">
            <v>2627OR27</v>
          </cell>
          <cell r="D6059" t="str">
            <v>KBP86</v>
          </cell>
          <cell r="E6059">
            <v>46215</v>
          </cell>
        </row>
        <row r="6060">
          <cell r="A6060" t="str">
            <v>2624JC57</v>
          </cell>
          <cell r="D6060" t="str">
            <v>FTW102K</v>
          </cell>
          <cell r="E6060">
            <v>46215</v>
          </cell>
        </row>
        <row r="6061">
          <cell r="A6061" t="str">
            <v>2626JM67</v>
          </cell>
          <cell r="D6061" t="str">
            <v>FTW121KE</v>
          </cell>
          <cell r="E6061">
            <v>46215</v>
          </cell>
        </row>
        <row r="6062">
          <cell r="A6062" t="str">
            <v>2622WS57</v>
          </cell>
          <cell r="D6062" t="str">
            <v>FTW700</v>
          </cell>
          <cell r="E6062">
            <v>46215</v>
          </cell>
        </row>
        <row r="6063">
          <cell r="A6063" t="str">
            <v>2626VQ57</v>
          </cell>
          <cell r="D6063" t="str">
            <v>FTW121KE</v>
          </cell>
          <cell r="E6063">
            <v>46215</v>
          </cell>
        </row>
        <row r="6064">
          <cell r="A6064" t="str">
            <v>2626QQ27</v>
          </cell>
          <cell r="D6064" t="str">
            <v>KBP76</v>
          </cell>
          <cell r="E6064">
            <v>46215</v>
          </cell>
        </row>
        <row r="6065">
          <cell r="A6065" t="str">
            <v>2626J637</v>
          </cell>
          <cell r="D6065" t="str">
            <v>KBP86</v>
          </cell>
          <cell r="E6065">
            <v>46215</v>
          </cell>
        </row>
        <row r="6066">
          <cell r="A6066" t="str">
            <v>2626JT17</v>
          </cell>
          <cell r="D6066" t="str">
            <v>FTW121KE</v>
          </cell>
          <cell r="E6066">
            <v>46215</v>
          </cell>
        </row>
        <row r="6067">
          <cell r="A6067" t="str">
            <v>2626UP37</v>
          </cell>
          <cell r="D6067" t="str">
            <v>KBP86</v>
          </cell>
          <cell r="E6067">
            <v>46215</v>
          </cell>
        </row>
        <row r="6068">
          <cell r="A6068" t="str">
            <v>2624FD10</v>
          </cell>
          <cell r="D6068" t="str">
            <v>TTS125</v>
          </cell>
          <cell r="E6068">
            <v>46215</v>
          </cell>
        </row>
        <row r="6069">
          <cell r="A6069" t="str">
            <v>2625KQ57</v>
          </cell>
          <cell r="D6069" t="str">
            <v>S706</v>
          </cell>
          <cell r="E6069">
            <v>46215</v>
          </cell>
        </row>
        <row r="6070">
          <cell r="A6070" t="str">
            <v>2625U727</v>
          </cell>
          <cell r="D6070" t="str">
            <v>TTS80</v>
          </cell>
          <cell r="E6070">
            <v>46215</v>
          </cell>
        </row>
        <row r="6071">
          <cell r="A6071" t="str">
            <v>2626IA57</v>
          </cell>
          <cell r="D6071" t="str">
            <v>FTP200</v>
          </cell>
          <cell r="E6071">
            <v>46215</v>
          </cell>
        </row>
        <row r="6072">
          <cell r="A6072" t="str">
            <v>2626KL47</v>
          </cell>
          <cell r="D6072" t="str">
            <v>FTW102K</v>
          </cell>
          <cell r="E6072">
            <v>46215</v>
          </cell>
        </row>
        <row r="6073">
          <cell r="A6073" t="str">
            <v>2624GN47</v>
          </cell>
          <cell r="D6073" t="str">
            <v>KBP76</v>
          </cell>
          <cell r="E6073">
            <v>46215</v>
          </cell>
        </row>
        <row r="6074">
          <cell r="A6074" t="str">
            <v>2626FM57</v>
          </cell>
          <cell r="D6074" t="str">
            <v>KBP76</v>
          </cell>
          <cell r="E6074">
            <v>46215</v>
          </cell>
        </row>
        <row r="6075">
          <cell r="A6075" t="str">
            <v>2625SY67</v>
          </cell>
          <cell r="D6075" t="str">
            <v>FTW102K</v>
          </cell>
          <cell r="E6075">
            <v>46215</v>
          </cell>
        </row>
        <row r="6076">
          <cell r="A6076" t="str">
            <v>2626LZ47</v>
          </cell>
          <cell r="D6076" t="str">
            <v>KBP86</v>
          </cell>
          <cell r="E6076">
            <v>46215</v>
          </cell>
        </row>
        <row r="6077">
          <cell r="A6077" t="str">
            <v>2626CY47</v>
          </cell>
          <cell r="D6077" t="str">
            <v>STA156KA</v>
          </cell>
          <cell r="E6077">
            <v>46215</v>
          </cell>
        </row>
        <row r="6078">
          <cell r="A6078" t="str">
            <v>2626HU57</v>
          </cell>
          <cell r="D6078" t="str">
            <v>FTW121KE</v>
          </cell>
          <cell r="E6078">
            <v>46215</v>
          </cell>
        </row>
        <row r="6079">
          <cell r="A6079" t="str">
            <v>2625W457</v>
          </cell>
          <cell r="D6079" t="str">
            <v>S15MB</v>
          </cell>
          <cell r="E6079">
            <v>46215</v>
          </cell>
        </row>
        <row r="6080">
          <cell r="A6080" t="str">
            <v>2623K357</v>
          </cell>
          <cell r="D6080" t="str">
            <v>KBP76</v>
          </cell>
          <cell r="E6080">
            <v>46215</v>
          </cell>
        </row>
        <row r="6081">
          <cell r="A6081" t="str">
            <v>2624DZ17</v>
          </cell>
          <cell r="D6081" t="str">
            <v>TTS50</v>
          </cell>
          <cell r="E6081">
            <v>46215</v>
          </cell>
        </row>
        <row r="6082">
          <cell r="A6082" t="str">
            <v>2626VU57</v>
          </cell>
          <cell r="D6082" t="str">
            <v>FTW121KE</v>
          </cell>
          <cell r="E6082">
            <v>46215</v>
          </cell>
        </row>
        <row r="6083">
          <cell r="A6083" t="str">
            <v>2623DR67</v>
          </cell>
          <cell r="D6083" t="str">
            <v>TTS50</v>
          </cell>
          <cell r="E6083">
            <v>46215</v>
          </cell>
        </row>
        <row r="6084">
          <cell r="A6084" t="str">
            <v>2623JG37</v>
          </cell>
          <cell r="D6084" t="str">
            <v>TTS50</v>
          </cell>
          <cell r="E6084">
            <v>46215</v>
          </cell>
        </row>
        <row r="6085">
          <cell r="A6085" t="str">
            <v>2626IJ17</v>
          </cell>
          <cell r="D6085" t="str">
            <v>KBP76</v>
          </cell>
          <cell r="E6085">
            <v>46215</v>
          </cell>
        </row>
        <row r="6086">
          <cell r="A6086" t="str">
            <v>2626QO27</v>
          </cell>
          <cell r="D6086" t="str">
            <v>KBP76</v>
          </cell>
          <cell r="E6086">
            <v>46215</v>
          </cell>
        </row>
        <row r="6087">
          <cell r="A6087" t="str">
            <v>2626PJ27</v>
          </cell>
          <cell r="D6087" t="str">
            <v>S706</v>
          </cell>
          <cell r="E6087">
            <v>46215</v>
          </cell>
        </row>
        <row r="6088">
          <cell r="A6088" t="str">
            <v>2625LN57</v>
          </cell>
          <cell r="D6088" t="str">
            <v>STA156KA</v>
          </cell>
          <cell r="E6088">
            <v>46215</v>
          </cell>
        </row>
        <row r="6089">
          <cell r="A6089" t="str">
            <v>2626IV67</v>
          </cell>
          <cell r="D6089" t="str">
            <v>FTP150</v>
          </cell>
          <cell r="E6089">
            <v>46215</v>
          </cell>
        </row>
        <row r="6090">
          <cell r="A6090" t="str">
            <v>2626VH57</v>
          </cell>
          <cell r="D6090" t="str">
            <v>FTW121KE</v>
          </cell>
          <cell r="E6090">
            <v>46215</v>
          </cell>
        </row>
        <row r="6091">
          <cell r="A6091" t="str">
            <v>2623JI37</v>
          </cell>
          <cell r="D6091" t="str">
            <v>TTS50</v>
          </cell>
          <cell r="E6091">
            <v>46215</v>
          </cell>
        </row>
        <row r="6092">
          <cell r="A6092" t="str">
            <v>2626VA57</v>
          </cell>
          <cell r="D6092" t="str">
            <v>FTW121KE</v>
          </cell>
          <cell r="E6092">
            <v>46215</v>
          </cell>
        </row>
        <row r="6093">
          <cell r="A6093" t="str">
            <v>2625F657</v>
          </cell>
          <cell r="D6093" t="str">
            <v>KBP76</v>
          </cell>
          <cell r="E6093">
            <v>46215</v>
          </cell>
        </row>
        <row r="6094">
          <cell r="A6094" t="str">
            <v>2626HO57</v>
          </cell>
          <cell r="D6094" t="str">
            <v>FTW121KE</v>
          </cell>
          <cell r="E6094">
            <v>46215</v>
          </cell>
        </row>
        <row r="6095">
          <cell r="A6095" t="str">
            <v>2626IZ47</v>
          </cell>
          <cell r="D6095" t="str">
            <v>FTP150</v>
          </cell>
          <cell r="E6095">
            <v>46215</v>
          </cell>
        </row>
        <row r="6096">
          <cell r="A6096" t="str">
            <v>2626PC27</v>
          </cell>
          <cell r="D6096" t="str">
            <v>S706</v>
          </cell>
          <cell r="E6096">
            <v>46215</v>
          </cell>
        </row>
        <row r="6097">
          <cell r="A6097" t="str">
            <v>2626LR47</v>
          </cell>
          <cell r="D6097" t="str">
            <v>FTW121KE</v>
          </cell>
          <cell r="E6097">
            <v>46215</v>
          </cell>
        </row>
        <row r="6098">
          <cell r="A6098" t="str">
            <v>2624XH57</v>
          </cell>
          <cell r="D6098" t="str">
            <v>KBP76</v>
          </cell>
          <cell r="E6098">
            <v>46215</v>
          </cell>
        </row>
        <row r="6099">
          <cell r="A6099" t="str">
            <v>2625KK37</v>
          </cell>
          <cell r="D6099" t="str">
            <v>S706</v>
          </cell>
          <cell r="E6099">
            <v>46215</v>
          </cell>
        </row>
        <row r="6100">
          <cell r="A6100" t="str">
            <v>2626KY67</v>
          </cell>
          <cell r="D6100" t="str">
            <v>KBP76</v>
          </cell>
          <cell r="E6100">
            <v>46215</v>
          </cell>
        </row>
        <row r="6101">
          <cell r="A6101" t="str">
            <v>2614ZD37</v>
          </cell>
          <cell r="D6101" t="str">
            <v>S706</v>
          </cell>
          <cell r="E6101">
            <v>46215</v>
          </cell>
        </row>
        <row r="6102">
          <cell r="A6102" t="str">
            <v>2625KV37</v>
          </cell>
          <cell r="D6102" t="str">
            <v>S706</v>
          </cell>
          <cell r="E6102">
            <v>46215</v>
          </cell>
        </row>
        <row r="6103">
          <cell r="A6103" t="str">
            <v>2626VW57</v>
          </cell>
          <cell r="D6103" t="str">
            <v>FTW121KE</v>
          </cell>
          <cell r="E6103">
            <v>46214</v>
          </cell>
        </row>
        <row r="6104">
          <cell r="A6104" t="str">
            <v>2626PM67</v>
          </cell>
          <cell r="D6104" t="str">
            <v>TTS80</v>
          </cell>
          <cell r="E6104">
            <v>46214</v>
          </cell>
        </row>
        <row r="6105">
          <cell r="A6105" t="str">
            <v>2625ZN37</v>
          </cell>
          <cell r="D6105" t="str">
            <v>TTS80</v>
          </cell>
          <cell r="E6105">
            <v>46214</v>
          </cell>
        </row>
        <row r="6106">
          <cell r="A6106" t="str">
            <v>2624Z347</v>
          </cell>
          <cell r="D6106" t="str">
            <v>KBP86E</v>
          </cell>
          <cell r="E6106">
            <v>46214</v>
          </cell>
        </row>
        <row r="6107">
          <cell r="A6107" t="str">
            <v>2624AM57</v>
          </cell>
          <cell r="D6107" t="str">
            <v>STA156KA</v>
          </cell>
          <cell r="E6107">
            <v>46214</v>
          </cell>
        </row>
        <row r="6108">
          <cell r="A6108" t="str">
            <v>2620XN57</v>
          </cell>
          <cell r="D6108" t="str">
            <v>KBP86</v>
          </cell>
          <cell r="E6108">
            <v>46214</v>
          </cell>
        </row>
        <row r="6109">
          <cell r="A6109" t="str">
            <v>2624DR67</v>
          </cell>
          <cell r="D6109" t="str">
            <v>KBP86</v>
          </cell>
          <cell r="E6109">
            <v>46214</v>
          </cell>
        </row>
        <row r="6110">
          <cell r="A6110" t="str">
            <v>2626VB57</v>
          </cell>
          <cell r="D6110" t="str">
            <v>FTW121KE</v>
          </cell>
          <cell r="E6110">
            <v>46214</v>
          </cell>
        </row>
        <row r="6111">
          <cell r="A6111" t="str">
            <v>2623FB47</v>
          </cell>
          <cell r="D6111" t="str">
            <v>KBP86</v>
          </cell>
          <cell r="E6111">
            <v>46214</v>
          </cell>
        </row>
        <row r="6112">
          <cell r="A6112" t="str">
            <v>2624GZ27</v>
          </cell>
          <cell r="D6112" t="str">
            <v>KBP86</v>
          </cell>
          <cell r="E6112">
            <v>46214</v>
          </cell>
        </row>
        <row r="6113">
          <cell r="A6113" t="str">
            <v>2624GI47</v>
          </cell>
          <cell r="D6113" t="str">
            <v>KBP86</v>
          </cell>
          <cell r="E6113">
            <v>46214</v>
          </cell>
        </row>
        <row r="6114">
          <cell r="A6114" t="str">
            <v>2608LN27</v>
          </cell>
          <cell r="D6114" t="str">
            <v>S706</v>
          </cell>
          <cell r="E6114">
            <v>46214</v>
          </cell>
        </row>
        <row r="6115">
          <cell r="A6115" t="str">
            <v>2625SP27</v>
          </cell>
          <cell r="D6115" t="str">
            <v>KBP55</v>
          </cell>
          <cell r="E6115">
            <v>46214</v>
          </cell>
        </row>
        <row r="6116">
          <cell r="A6116" t="str">
            <v>2608LP27</v>
          </cell>
          <cell r="D6116" t="str">
            <v>S706</v>
          </cell>
          <cell r="E6116">
            <v>46214</v>
          </cell>
        </row>
        <row r="6117">
          <cell r="A6117" t="str">
            <v>2624FF60</v>
          </cell>
          <cell r="D6117" t="str">
            <v>TTS125</v>
          </cell>
          <cell r="E6117">
            <v>46214</v>
          </cell>
        </row>
        <row r="6118">
          <cell r="A6118" t="str">
            <v>2608LM27</v>
          </cell>
          <cell r="D6118" t="str">
            <v>S706</v>
          </cell>
          <cell r="E6118">
            <v>46214</v>
          </cell>
        </row>
        <row r="6119">
          <cell r="A6119" t="str">
            <v>2626OT67</v>
          </cell>
          <cell r="D6119" t="str">
            <v>TTS80</v>
          </cell>
          <cell r="E6119">
            <v>46214</v>
          </cell>
        </row>
        <row r="6120">
          <cell r="A6120" t="str">
            <v>2625YC17</v>
          </cell>
          <cell r="D6120" t="str">
            <v>TTS80</v>
          </cell>
          <cell r="E6120">
            <v>46214</v>
          </cell>
        </row>
        <row r="6121">
          <cell r="A6121" t="str">
            <v>2626J767</v>
          </cell>
          <cell r="D6121" t="str">
            <v>FTW121KE</v>
          </cell>
          <cell r="E6121">
            <v>46214</v>
          </cell>
        </row>
        <row r="6122">
          <cell r="A6122" t="str">
            <v>2624Z757</v>
          </cell>
          <cell r="D6122" t="str">
            <v>TTS80</v>
          </cell>
          <cell r="E6122">
            <v>46214</v>
          </cell>
        </row>
        <row r="6123">
          <cell r="A6123" t="str">
            <v>2626HQ57</v>
          </cell>
          <cell r="D6123" t="str">
            <v>FTW121KE</v>
          </cell>
          <cell r="E6123">
            <v>46214</v>
          </cell>
        </row>
        <row r="6124">
          <cell r="A6124" t="str">
            <v>2613ZX47</v>
          </cell>
          <cell r="D6124" t="str">
            <v>S706</v>
          </cell>
          <cell r="E6124">
            <v>46214</v>
          </cell>
        </row>
        <row r="6125">
          <cell r="A6125" t="str">
            <v>2624DU47</v>
          </cell>
          <cell r="D6125" t="str">
            <v>STA156KA</v>
          </cell>
          <cell r="E6125">
            <v>46214</v>
          </cell>
        </row>
        <row r="6126">
          <cell r="A6126" t="str">
            <v>2626OZ67</v>
          </cell>
          <cell r="D6126" t="str">
            <v>TTS80</v>
          </cell>
          <cell r="E6126">
            <v>46214</v>
          </cell>
        </row>
        <row r="6127">
          <cell r="A6127" t="str">
            <v>2625KN57</v>
          </cell>
          <cell r="D6127" t="str">
            <v>S706</v>
          </cell>
          <cell r="E6127">
            <v>46214</v>
          </cell>
        </row>
        <row r="6128">
          <cell r="A6128" t="str">
            <v>2626PU47</v>
          </cell>
          <cell r="D6128" t="str">
            <v>S706</v>
          </cell>
          <cell r="E6128">
            <v>46214</v>
          </cell>
        </row>
        <row r="6129">
          <cell r="A6129" t="str">
            <v>2619IS17</v>
          </cell>
          <cell r="D6129" t="str">
            <v>TTS50</v>
          </cell>
          <cell r="E6129">
            <v>46214</v>
          </cell>
        </row>
        <row r="6130">
          <cell r="A6130" t="str">
            <v>2626JC57</v>
          </cell>
          <cell r="D6130" t="str">
            <v>S706</v>
          </cell>
          <cell r="E6130">
            <v>46214</v>
          </cell>
        </row>
        <row r="6131">
          <cell r="A6131" t="str">
            <v>2614YI47</v>
          </cell>
          <cell r="D6131" t="str">
            <v>S706</v>
          </cell>
          <cell r="E6131">
            <v>46214</v>
          </cell>
        </row>
        <row r="6132">
          <cell r="A6132" t="str">
            <v>2619DZ37</v>
          </cell>
          <cell r="D6132" t="str">
            <v>TTS50</v>
          </cell>
          <cell r="E6132">
            <v>46214</v>
          </cell>
        </row>
        <row r="6133">
          <cell r="A6133" t="str">
            <v>2623E767</v>
          </cell>
          <cell r="D6133" t="str">
            <v>TTS50</v>
          </cell>
          <cell r="E6133">
            <v>46214</v>
          </cell>
        </row>
        <row r="6134">
          <cell r="A6134" t="str">
            <v>2623BN67</v>
          </cell>
          <cell r="D6134" t="str">
            <v>KBP86</v>
          </cell>
          <cell r="E6134">
            <v>46214</v>
          </cell>
        </row>
        <row r="6135">
          <cell r="A6135" t="str">
            <v>2626PA67</v>
          </cell>
          <cell r="D6135" t="str">
            <v>TTS80</v>
          </cell>
          <cell r="E6135">
            <v>46214</v>
          </cell>
        </row>
        <row r="6136">
          <cell r="A6136" t="str">
            <v>2626J857</v>
          </cell>
          <cell r="D6136" t="str">
            <v>S706</v>
          </cell>
          <cell r="E6136">
            <v>46214</v>
          </cell>
        </row>
        <row r="6137">
          <cell r="A6137" t="str">
            <v>2623F727</v>
          </cell>
          <cell r="D6137" t="str">
            <v>TTS50</v>
          </cell>
          <cell r="E6137">
            <v>46214</v>
          </cell>
        </row>
        <row r="6138">
          <cell r="A6138" t="str">
            <v>2626JH57</v>
          </cell>
          <cell r="D6138" t="str">
            <v>S706</v>
          </cell>
          <cell r="E6138">
            <v>46214</v>
          </cell>
        </row>
        <row r="6139">
          <cell r="A6139" t="str">
            <v>2624GM67</v>
          </cell>
          <cell r="D6139" t="str">
            <v>KBP76</v>
          </cell>
          <cell r="E6139">
            <v>46214</v>
          </cell>
        </row>
        <row r="6140">
          <cell r="A6140" t="str">
            <v>2624DE67</v>
          </cell>
          <cell r="D6140" t="str">
            <v>KBP86</v>
          </cell>
          <cell r="E6140">
            <v>46214</v>
          </cell>
        </row>
        <row r="6141">
          <cell r="A6141" t="str">
            <v>2625L737</v>
          </cell>
          <cell r="D6141" t="str">
            <v>KBP76</v>
          </cell>
          <cell r="E6141">
            <v>46214</v>
          </cell>
        </row>
        <row r="6142">
          <cell r="A6142" t="str">
            <v>2626HV47</v>
          </cell>
          <cell r="D6142" t="str">
            <v>KBP76</v>
          </cell>
          <cell r="E6142">
            <v>46214</v>
          </cell>
        </row>
        <row r="6143">
          <cell r="A6143" t="str">
            <v>2624GQ67</v>
          </cell>
          <cell r="D6143" t="str">
            <v>KBP76</v>
          </cell>
          <cell r="E6143">
            <v>46214</v>
          </cell>
        </row>
        <row r="6144">
          <cell r="A6144" t="str">
            <v>2626PM67</v>
          </cell>
          <cell r="D6144" t="str">
            <v>TTS80</v>
          </cell>
          <cell r="E6144">
            <v>46214</v>
          </cell>
        </row>
        <row r="6145">
          <cell r="A6145" t="str">
            <v>2624DV47</v>
          </cell>
          <cell r="D6145" t="str">
            <v>STA156KA</v>
          </cell>
          <cell r="E6145">
            <v>46214</v>
          </cell>
        </row>
        <row r="6146">
          <cell r="A6146" t="str">
            <v>2625KM47</v>
          </cell>
          <cell r="D6146" t="str">
            <v>S706</v>
          </cell>
          <cell r="E6146">
            <v>46214</v>
          </cell>
        </row>
        <row r="6147">
          <cell r="A6147" t="str">
            <v>2626HK57</v>
          </cell>
          <cell r="D6147" t="str">
            <v>FTW121KE</v>
          </cell>
          <cell r="E6147">
            <v>46214</v>
          </cell>
        </row>
        <row r="6148">
          <cell r="A6148" t="str">
            <v>2626UG37</v>
          </cell>
          <cell r="D6148" t="str">
            <v>TTS80</v>
          </cell>
          <cell r="E6148">
            <v>46214</v>
          </cell>
        </row>
        <row r="6149">
          <cell r="A6149" t="str">
            <v>2623EX10</v>
          </cell>
          <cell r="D6149" t="str">
            <v>TTS125</v>
          </cell>
          <cell r="E6149">
            <v>46214</v>
          </cell>
        </row>
        <row r="6150">
          <cell r="A6150" t="str">
            <v>2626HU17</v>
          </cell>
          <cell r="D6150" t="str">
            <v>KBP76</v>
          </cell>
          <cell r="E6150">
            <v>46214</v>
          </cell>
        </row>
        <row r="6151">
          <cell r="A6151" t="str">
            <v>2623DS27</v>
          </cell>
          <cell r="D6151" t="str">
            <v>TTS50</v>
          </cell>
          <cell r="E6151">
            <v>46214</v>
          </cell>
        </row>
        <row r="6152">
          <cell r="A6152" t="str">
            <v>2626VC57</v>
          </cell>
          <cell r="D6152" t="str">
            <v>FTW121KE</v>
          </cell>
          <cell r="E6152">
            <v>46214</v>
          </cell>
        </row>
        <row r="6153">
          <cell r="A6153" t="str">
            <v>2626JT67</v>
          </cell>
          <cell r="D6153" t="str">
            <v>S706</v>
          </cell>
          <cell r="E6153">
            <v>46214</v>
          </cell>
        </row>
        <row r="6154">
          <cell r="A6154" t="str">
            <v>2619JE17</v>
          </cell>
          <cell r="D6154" t="str">
            <v>TTS50</v>
          </cell>
          <cell r="E6154">
            <v>46214</v>
          </cell>
        </row>
        <row r="6155">
          <cell r="A6155" t="str">
            <v>2626OP67</v>
          </cell>
          <cell r="D6155" t="str">
            <v>TTS80</v>
          </cell>
          <cell r="E6155">
            <v>46214</v>
          </cell>
        </row>
        <row r="6156">
          <cell r="A6156" t="str">
            <v>2626LY17</v>
          </cell>
          <cell r="D6156" t="str">
            <v>S706</v>
          </cell>
          <cell r="E6156">
            <v>46214</v>
          </cell>
        </row>
        <row r="6157">
          <cell r="A6157" t="str">
            <v>2626I747</v>
          </cell>
          <cell r="D6157" t="str">
            <v>KBP76</v>
          </cell>
          <cell r="E6157">
            <v>46214</v>
          </cell>
        </row>
        <row r="6158">
          <cell r="A6158" t="str">
            <v>2626IE27</v>
          </cell>
          <cell r="D6158" t="str">
            <v>KBP86</v>
          </cell>
          <cell r="E6158">
            <v>46214</v>
          </cell>
        </row>
        <row r="6159">
          <cell r="A6159" t="str">
            <v>2624GR67</v>
          </cell>
          <cell r="D6159" t="str">
            <v>KBP76</v>
          </cell>
          <cell r="E6159">
            <v>46214</v>
          </cell>
        </row>
        <row r="6160">
          <cell r="A6160" t="str">
            <v>2626OW67</v>
          </cell>
          <cell r="D6160" t="str">
            <v>TTS80</v>
          </cell>
          <cell r="E6160">
            <v>46214</v>
          </cell>
        </row>
        <row r="6161">
          <cell r="A6161" t="str">
            <v>2626IV27</v>
          </cell>
          <cell r="D6161" t="str">
            <v>KBP86</v>
          </cell>
          <cell r="E6161">
            <v>46214</v>
          </cell>
        </row>
        <row r="6162">
          <cell r="A6162" t="str">
            <v>2626VM57</v>
          </cell>
          <cell r="D6162" t="str">
            <v>FTW121KE</v>
          </cell>
          <cell r="E6162">
            <v>46214</v>
          </cell>
        </row>
        <row r="6163">
          <cell r="A6163" t="str">
            <v>2626J667</v>
          </cell>
          <cell r="D6163" t="str">
            <v>FTW121KE</v>
          </cell>
          <cell r="E6163">
            <v>46214</v>
          </cell>
        </row>
        <row r="6164">
          <cell r="A6164" t="str">
            <v>2625FJ10</v>
          </cell>
          <cell r="D6164" t="str">
            <v>TTS125</v>
          </cell>
          <cell r="E6164">
            <v>46214</v>
          </cell>
        </row>
        <row r="6165">
          <cell r="A6165" t="str">
            <v>2627Q817</v>
          </cell>
          <cell r="D6165" t="str">
            <v>FTW121KE</v>
          </cell>
          <cell r="E6165">
            <v>46214</v>
          </cell>
        </row>
        <row r="6166">
          <cell r="A6166" t="str">
            <v>2626KZ47</v>
          </cell>
          <cell r="D6166" t="str">
            <v>FTW121KE</v>
          </cell>
          <cell r="E6166">
            <v>46214</v>
          </cell>
        </row>
        <row r="6167">
          <cell r="A6167" t="str">
            <v>2623G567</v>
          </cell>
          <cell r="D6167" t="str">
            <v>KBP86</v>
          </cell>
          <cell r="E6167">
            <v>46214</v>
          </cell>
        </row>
        <row r="6168">
          <cell r="A6168" t="str">
            <v>2626QT27</v>
          </cell>
          <cell r="D6168" t="str">
            <v>FTP200</v>
          </cell>
          <cell r="E6168">
            <v>46214</v>
          </cell>
        </row>
        <row r="6169">
          <cell r="A6169" t="str">
            <v>2621JU27</v>
          </cell>
          <cell r="D6169" t="str">
            <v>KBP86</v>
          </cell>
          <cell r="E6169">
            <v>46214</v>
          </cell>
        </row>
        <row r="6170">
          <cell r="A6170" t="str">
            <v>2626PX47</v>
          </cell>
          <cell r="D6170" t="str">
            <v>S706</v>
          </cell>
          <cell r="E6170">
            <v>46214</v>
          </cell>
        </row>
        <row r="6171">
          <cell r="A6171" t="str">
            <v>2618DZ80</v>
          </cell>
          <cell r="D6171" t="str">
            <v>TTS125</v>
          </cell>
          <cell r="E6171">
            <v>46214</v>
          </cell>
        </row>
        <row r="6172">
          <cell r="A6172" t="str">
            <v>2620JM17</v>
          </cell>
          <cell r="D6172" t="str">
            <v>TTS50</v>
          </cell>
          <cell r="E6172">
            <v>46214</v>
          </cell>
        </row>
        <row r="6173">
          <cell r="A6173" t="str">
            <v>2626P717</v>
          </cell>
          <cell r="D6173" t="str">
            <v>STA156KA</v>
          </cell>
          <cell r="E6173">
            <v>46214</v>
          </cell>
        </row>
        <row r="6174">
          <cell r="A6174" t="str">
            <v>2626JG57</v>
          </cell>
          <cell r="D6174" t="str">
            <v>S706</v>
          </cell>
          <cell r="E6174">
            <v>46214</v>
          </cell>
        </row>
        <row r="6175">
          <cell r="A6175" t="str">
            <v>2626KN47</v>
          </cell>
          <cell r="D6175" t="str">
            <v>FTW102K</v>
          </cell>
          <cell r="E6175">
            <v>46214</v>
          </cell>
        </row>
        <row r="6176">
          <cell r="A6176" t="str">
            <v>2626O967</v>
          </cell>
          <cell r="D6176" t="str">
            <v>TTS80</v>
          </cell>
          <cell r="E6176">
            <v>46214</v>
          </cell>
        </row>
        <row r="6177">
          <cell r="A6177" t="str">
            <v>2618DZ60</v>
          </cell>
          <cell r="D6177" t="str">
            <v>TTS125</v>
          </cell>
          <cell r="E6177">
            <v>46214</v>
          </cell>
        </row>
        <row r="6178">
          <cell r="A6178" t="str">
            <v>2624FC90</v>
          </cell>
          <cell r="D6178" t="str">
            <v>TTS125</v>
          </cell>
          <cell r="E6178">
            <v>46214</v>
          </cell>
        </row>
        <row r="6179">
          <cell r="A6179" t="str">
            <v>2624DQ17</v>
          </cell>
          <cell r="D6179" t="str">
            <v>TTS50</v>
          </cell>
          <cell r="E6179">
            <v>46214</v>
          </cell>
        </row>
        <row r="6180">
          <cell r="A6180" t="str">
            <v>2626LW47</v>
          </cell>
          <cell r="D6180" t="str">
            <v>FTW121KE</v>
          </cell>
          <cell r="E6180">
            <v>46214</v>
          </cell>
        </row>
        <row r="6181">
          <cell r="A6181" t="str">
            <v>2626V257</v>
          </cell>
          <cell r="D6181" t="str">
            <v>FTW121KE</v>
          </cell>
          <cell r="E6181">
            <v>46214</v>
          </cell>
        </row>
        <row r="6182">
          <cell r="A6182" t="str">
            <v>2623EC67</v>
          </cell>
          <cell r="D6182" t="str">
            <v>TTS50</v>
          </cell>
          <cell r="E6182">
            <v>46214</v>
          </cell>
        </row>
        <row r="6183">
          <cell r="A6183" t="str">
            <v>2626UF57</v>
          </cell>
          <cell r="D6183" t="str">
            <v>FTW102K</v>
          </cell>
          <cell r="E6183">
            <v>46214</v>
          </cell>
        </row>
        <row r="6184">
          <cell r="A6184" t="str">
            <v>2626OI67</v>
          </cell>
          <cell r="D6184" t="str">
            <v>TTS80</v>
          </cell>
          <cell r="E6184">
            <v>46214</v>
          </cell>
        </row>
        <row r="6185">
          <cell r="A6185" t="str">
            <v>2626PP17</v>
          </cell>
          <cell r="D6185" t="str">
            <v>TTS80</v>
          </cell>
          <cell r="E6185">
            <v>46214</v>
          </cell>
        </row>
        <row r="6186">
          <cell r="A6186" t="str">
            <v>2623BC67</v>
          </cell>
          <cell r="D6186" t="str">
            <v>KBP86</v>
          </cell>
          <cell r="E6186">
            <v>46214</v>
          </cell>
        </row>
        <row r="6187">
          <cell r="A6187" t="str">
            <v>2626P467</v>
          </cell>
          <cell r="D6187" t="str">
            <v>TTS80</v>
          </cell>
          <cell r="E6187">
            <v>46214</v>
          </cell>
        </row>
        <row r="6188">
          <cell r="A6188" t="str">
            <v>2626O267</v>
          </cell>
          <cell r="D6188" t="str">
            <v>TTS80</v>
          </cell>
          <cell r="E6188">
            <v>46214</v>
          </cell>
        </row>
        <row r="6189">
          <cell r="A6189" t="str">
            <v>2625PG67</v>
          </cell>
          <cell r="D6189" t="str">
            <v>FTW121KE</v>
          </cell>
          <cell r="E6189">
            <v>46214</v>
          </cell>
        </row>
        <row r="6190">
          <cell r="A6190" t="str">
            <v>2626KW67</v>
          </cell>
          <cell r="D6190" t="str">
            <v>KBP76</v>
          </cell>
          <cell r="E6190">
            <v>46214</v>
          </cell>
        </row>
        <row r="6191">
          <cell r="A6191" t="str">
            <v>2626OG67</v>
          </cell>
          <cell r="D6191" t="str">
            <v>TTS80</v>
          </cell>
          <cell r="E6191">
            <v>46214</v>
          </cell>
        </row>
        <row r="6192">
          <cell r="A6192" t="str">
            <v>2618HJ57</v>
          </cell>
          <cell r="D6192" t="str">
            <v>TTS50</v>
          </cell>
          <cell r="E6192">
            <v>46214</v>
          </cell>
        </row>
        <row r="6193">
          <cell r="A6193" t="str">
            <v>2626HA57</v>
          </cell>
          <cell r="D6193" t="str">
            <v>FTW121KE</v>
          </cell>
          <cell r="E6193">
            <v>46214</v>
          </cell>
        </row>
        <row r="6194">
          <cell r="A6194" t="str">
            <v>2626BE57</v>
          </cell>
          <cell r="D6194" t="str">
            <v>STA156KA</v>
          </cell>
          <cell r="E6194">
            <v>46214</v>
          </cell>
        </row>
        <row r="6195">
          <cell r="A6195" t="str">
            <v>2625S427</v>
          </cell>
          <cell r="D6195" t="str">
            <v>KBP76</v>
          </cell>
          <cell r="E6195">
            <v>46214</v>
          </cell>
        </row>
        <row r="6196">
          <cell r="A6196" t="str">
            <v>2626BD57</v>
          </cell>
          <cell r="D6196" t="str">
            <v>STA156KA</v>
          </cell>
          <cell r="E6196">
            <v>46214</v>
          </cell>
        </row>
        <row r="6197">
          <cell r="A6197" t="str">
            <v>2625GO67</v>
          </cell>
          <cell r="D6197" t="str">
            <v>TTS80</v>
          </cell>
          <cell r="E6197">
            <v>46214</v>
          </cell>
        </row>
        <row r="6198">
          <cell r="A6198" t="str">
            <v>2626GU57</v>
          </cell>
          <cell r="D6198" t="str">
            <v>TTS50</v>
          </cell>
          <cell r="E6198">
            <v>46214</v>
          </cell>
        </row>
        <row r="6199">
          <cell r="A6199" t="str">
            <v>2626PT47</v>
          </cell>
          <cell r="D6199" t="str">
            <v>S706</v>
          </cell>
          <cell r="E6199">
            <v>46214</v>
          </cell>
        </row>
        <row r="6200">
          <cell r="A6200" t="str">
            <v>2625ON17</v>
          </cell>
          <cell r="D6200" t="str">
            <v>KBP52</v>
          </cell>
          <cell r="E6200">
            <v>46214</v>
          </cell>
        </row>
        <row r="6201">
          <cell r="A6201" t="str">
            <v>2626P417</v>
          </cell>
          <cell r="D6201" t="str">
            <v>KBP76</v>
          </cell>
          <cell r="E6201">
            <v>46214</v>
          </cell>
        </row>
        <row r="6202">
          <cell r="A6202" t="str">
            <v>2624FF10</v>
          </cell>
          <cell r="D6202" t="str">
            <v>TTS125</v>
          </cell>
          <cell r="E6202">
            <v>46214</v>
          </cell>
        </row>
        <row r="6203">
          <cell r="A6203" t="str">
            <v>2626JV67</v>
          </cell>
          <cell r="D6203" t="str">
            <v>S706</v>
          </cell>
          <cell r="E6203">
            <v>46214</v>
          </cell>
        </row>
        <row r="6204">
          <cell r="A6204" t="str">
            <v>2614YP47</v>
          </cell>
          <cell r="D6204" t="str">
            <v>S706</v>
          </cell>
          <cell r="E6204">
            <v>46214</v>
          </cell>
        </row>
        <row r="6205">
          <cell r="A6205" t="str">
            <v>2626HV57</v>
          </cell>
          <cell r="D6205" t="str">
            <v>FTW121KE</v>
          </cell>
          <cell r="E6205">
            <v>46214</v>
          </cell>
        </row>
        <row r="6206">
          <cell r="A6206" t="str">
            <v>2620XN57</v>
          </cell>
          <cell r="D6206" t="str">
            <v>KBP86</v>
          </cell>
          <cell r="E6206">
            <v>46214</v>
          </cell>
        </row>
        <row r="6207">
          <cell r="A6207" t="str">
            <v>2623JA37</v>
          </cell>
          <cell r="D6207" t="str">
            <v>TTS50</v>
          </cell>
          <cell r="E6207">
            <v>46214</v>
          </cell>
        </row>
        <row r="6208">
          <cell r="A6208" t="str">
            <v>2626UO57</v>
          </cell>
          <cell r="D6208" t="str">
            <v>FTW102K</v>
          </cell>
          <cell r="E6208">
            <v>46214</v>
          </cell>
        </row>
        <row r="6209">
          <cell r="A6209" t="str">
            <v>2626O167</v>
          </cell>
          <cell r="D6209" t="str">
            <v>KBP55</v>
          </cell>
          <cell r="E6209">
            <v>46214</v>
          </cell>
        </row>
        <row r="6210">
          <cell r="A6210" t="str">
            <v>2627KR17</v>
          </cell>
          <cell r="D6210" t="str">
            <v>FTP150</v>
          </cell>
          <cell r="E6210">
            <v>46214</v>
          </cell>
        </row>
        <row r="6211">
          <cell r="A6211" t="str">
            <v>2626UV57</v>
          </cell>
          <cell r="D6211" t="str">
            <v>FTW121KE</v>
          </cell>
          <cell r="E6211">
            <v>46214</v>
          </cell>
        </row>
        <row r="6212">
          <cell r="A6212" t="str">
            <v>2623JB37</v>
          </cell>
          <cell r="D6212" t="str">
            <v>TTS50</v>
          </cell>
          <cell r="E6212">
            <v>46214</v>
          </cell>
        </row>
        <row r="6213">
          <cell r="A6213" t="str">
            <v>2622VJ47</v>
          </cell>
          <cell r="D6213" t="str">
            <v>KBP76</v>
          </cell>
          <cell r="E6213">
            <v>46214</v>
          </cell>
        </row>
        <row r="6214">
          <cell r="A6214" t="str">
            <v>2623KC57</v>
          </cell>
          <cell r="D6214" t="str">
            <v>KBP55</v>
          </cell>
          <cell r="E6214">
            <v>46214</v>
          </cell>
        </row>
        <row r="6215">
          <cell r="A6215" t="str">
            <v>2625FK10</v>
          </cell>
          <cell r="D6215" t="str">
            <v>TTS125</v>
          </cell>
          <cell r="E6215">
            <v>46214</v>
          </cell>
        </row>
        <row r="6216">
          <cell r="A6216" t="str">
            <v>2620J817</v>
          </cell>
          <cell r="D6216" t="str">
            <v>TTS50</v>
          </cell>
          <cell r="E6216">
            <v>46214</v>
          </cell>
        </row>
        <row r="6217">
          <cell r="A6217" t="str">
            <v>2623JJ37</v>
          </cell>
          <cell r="D6217" t="str">
            <v>TTS50</v>
          </cell>
          <cell r="E6217">
            <v>46214</v>
          </cell>
        </row>
        <row r="6218">
          <cell r="A6218" t="str">
            <v>2622WE57</v>
          </cell>
          <cell r="D6218" t="str">
            <v>TTS50</v>
          </cell>
          <cell r="E6218">
            <v>46214</v>
          </cell>
        </row>
        <row r="6219">
          <cell r="A6219" t="str">
            <v>2624CE37</v>
          </cell>
          <cell r="D6219" t="str">
            <v>STA156KA</v>
          </cell>
          <cell r="E6219">
            <v>46214</v>
          </cell>
        </row>
        <row r="6220">
          <cell r="A6220" t="str">
            <v>2627Q517</v>
          </cell>
          <cell r="D6220" t="str">
            <v>FTW121KE</v>
          </cell>
          <cell r="E6220">
            <v>46214</v>
          </cell>
        </row>
        <row r="6221">
          <cell r="A6221" t="str">
            <v>2623DN27</v>
          </cell>
          <cell r="D6221" t="str">
            <v>TTS50</v>
          </cell>
          <cell r="E6221">
            <v>46214</v>
          </cell>
        </row>
        <row r="6222">
          <cell r="A6222" t="str">
            <v>2626FG57</v>
          </cell>
          <cell r="D6222" t="str">
            <v>FTP150</v>
          </cell>
          <cell r="E6222">
            <v>46214</v>
          </cell>
        </row>
        <row r="6223">
          <cell r="A6223" t="str">
            <v>2626IN27</v>
          </cell>
          <cell r="D6223" t="str">
            <v>KBP76</v>
          </cell>
          <cell r="E6223">
            <v>46214</v>
          </cell>
        </row>
        <row r="6224">
          <cell r="A6224" t="str">
            <v>2626V557</v>
          </cell>
          <cell r="D6224" t="str">
            <v>FTW121KE</v>
          </cell>
          <cell r="E6224">
            <v>46214</v>
          </cell>
        </row>
        <row r="6225">
          <cell r="A6225" t="str">
            <v>2623JB17</v>
          </cell>
          <cell r="D6225" t="str">
            <v>TTS50</v>
          </cell>
          <cell r="E6225">
            <v>46214</v>
          </cell>
        </row>
        <row r="6226">
          <cell r="A6226" t="str">
            <v>2625CT67</v>
          </cell>
          <cell r="D6226" t="str">
            <v>KBP52</v>
          </cell>
          <cell r="E6226">
            <v>46214</v>
          </cell>
        </row>
        <row r="6227">
          <cell r="A6227" t="str">
            <v>2626SS47</v>
          </cell>
          <cell r="D6227" t="str">
            <v>STA156KA</v>
          </cell>
          <cell r="E6227">
            <v>46214</v>
          </cell>
        </row>
        <row r="6228">
          <cell r="A6228" t="str">
            <v>2624AN57</v>
          </cell>
          <cell r="D6228" t="str">
            <v>STA156KA</v>
          </cell>
          <cell r="E6228">
            <v>46214</v>
          </cell>
        </row>
        <row r="6229">
          <cell r="A6229" t="str">
            <v>2626H857</v>
          </cell>
          <cell r="D6229" t="str">
            <v>FTW121KE</v>
          </cell>
          <cell r="E6229">
            <v>46214</v>
          </cell>
        </row>
        <row r="6230">
          <cell r="A6230" t="str">
            <v>2626JX67</v>
          </cell>
          <cell r="D6230" t="str">
            <v>S706</v>
          </cell>
          <cell r="E6230">
            <v>46214</v>
          </cell>
        </row>
        <row r="6231">
          <cell r="A6231" t="str">
            <v>2625K137</v>
          </cell>
          <cell r="D6231" t="str">
            <v>KBP86</v>
          </cell>
          <cell r="E6231">
            <v>46214</v>
          </cell>
        </row>
        <row r="6232">
          <cell r="A6232" t="str">
            <v>2626P667</v>
          </cell>
          <cell r="D6232" t="str">
            <v>TTS80</v>
          </cell>
          <cell r="E6232">
            <v>46214</v>
          </cell>
        </row>
        <row r="6233">
          <cell r="A6233" t="str">
            <v>2626Q847</v>
          </cell>
          <cell r="D6233" t="str">
            <v>S706</v>
          </cell>
          <cell r="E6233">
            <v>46214</v>
          </cell>
        </row>
        <row r="6234">
          <cell r="A6234" t="str">
            <v>2626JL17</v>
          </cell>
          <cell r="D6234" t="str">
            <v>FTW102K</v>
          </cell>
          <cell r="E6234">
            <v>46214</v>
          </cell>
        </row>
        <row r="6235">
          <cell r="A6235" t="str">
            <v>2626LT27</v>
          </cell>
          <cell r="D6235" t="str">
            <v>FTW102K</v>
          </cell>
          <cell r="E6235">
            <v>46214</v>
          </cell>
        </row>
        <row r="6236">
          <cell r="A6236" t="str">
            <v>2625KN37</v>
          </cell>
          <cell r="D6236" t="str">
            <v>S706</v>
          </cell>
          <cell r="E6236">
            <v>46214</v>
          </cell>
        </row>
        <row r="6237">
          <cell r="A6237" t="str">
            <v>2626ST47</v>
          </cell>
          <cell r="D6237" t="str">
            <v>STA156KA</v>
          </cell>
          <cell r="E6237">
            <v>46214</v>
          </cell>
        </row>
        <row r="6238">
          <cell r="A6238" t="str">
            <v>2626VN57</v>
          </cell>
          <cell r="D6238" t="str">
            <v>FTW121KE</v>
          </cell>
          <cell r="E6238">
            <v>46214</v>
          </cell>
        </row>
        <row r="6239">
          <cell r="A6239" t="str">
            <v>2626VI57</v>
          </cell>
          <cell r="D6239" t="str">
            <v>FTW121KE</v>
          </cell>
          <cell r="E6239">
            <v>46214</v>
          </cell>
        </row>
        <row r="6240">
          <cell r="A6240" t="str">
            <v>2626JN67</v>
          </cell>
          <cell r="D6240" t="str">
            <v>FTW121KE</v>
          </cell>
          <cell r="E6240">
            <v>46214</v>
          </cell>
        </row>
        <row r="6241">
          <cell r="A6241" t="str">
            <v>2625KO27</v>
          </cell>
          <cell r="D6241" t="str">
            <v>S805</v>
          </cell>
          <cell r="E6241">
            <v>46214</v>
          </cell>
        </row>
        <row r="6242">
          <cell r="A6242" t="str">
            <v>2624FF40</v>
          </cell>
          <cell r="D6242" t="str">
            <v>TTS125</v>
          </cell>
          <cell r="E6242">
            <v>46214</v>
          </cell>
        </row>
        <row r="6243">
          <cell r="A6243" t="str">
            <v>2626K557</v>
          </cell>
          <cell r="D6243" t="str">
            <v>STA156KA</v>
          </cell>
          <cell r="E6243">
            <v>46214</v>
          </cell>
        </row>
        <row r="6244">
          <cell r="A6244" t="str">
            <v>2624CD37</v>
          </cell>
          <cell r="D6244" t="str">
            <v>STA156KA</v>
          </cell>
          <cell r="E6244">
            <v>46214</v>
          </cell>
        </row>
        <row r="6245">
          <cell r="A6245" t="str">
            <v>2624AL57</v>
          </cell>
          <cell r="D6245" t="str">
            <v>STA156KA</v>
          </cell>
          <cell r="E6245">
            <v>46214</v>
          </cell>
        </row>
        <row r="6246">
          <cell r="A6246" t="str">
            <v>2626HF57</v>
          </cell>
          <cell r="D6246" t="str">
            <v>FTW121KE</v>
          </cell>
          <cell r="E6246">
            <v>46214</v>
          </cell>
        </row>
        <row r="6247">
          <cell r="A6247" t="str">
            <v>2620JL37</v>
          </cell>
          <cell r="D6247" t="str">
            <v>TTS50</v>
          </cell>
          <cell r="E6247">
            <v>46214</v>
          </cell>
        </row>
        <row r="6248">
          <cell r="A6248" t="str">
            <v>2626PV47</v>
          </cell>
          <cell r="D6248" t="str">
            <v>S706</v>
          </cell>
          <cell r="E6248">
            <v>46214</v>
          </cell>
        </row>
        <row r="6249">
          <cell r="A6249" t="str">
            <v>2626LI27</v>
          </cell>
          <cell r="D6249" t="str">
            <v>KBP86</v>
          </cell>
          <cell r="E6249">
            <v>46214</v>
          </cell>
        </row>
        <row r="6250">
          <cell r="A6250" t="str">
            <v>2623DT67</v>
          </cell>
          <cell r="D6250" t="str">
            <v>TTS50</v>
          </cell>
          <cell r="E6250">
            <v>46214</v>
          </cell>
        </row>
        <row r="6251">
          <cell r="A6251" t="str">
            <v>2625LJ37</v>
          </cell>
          <cell r="D6251" t="str">
            <v>KBP55</v>
          </cell>
          <cell r="E6251">
            <v>46214</v>
          </cell>
        </row>
        <row r="6252">
          <cell r="A6252" t="str">
            <v>2627KS17</v>
          </cell>
          <cell r="D6252" t="str">
            <v>FTP150</v>
          </cell>
          <cell r="E6252">
            <v>46214</v>
          </cell>
        </row>
        <row r="6253">
          <cell r="A6253" t="str">
            <v>2613ZO47</v>
          </cell>
          <cell r="D6253" t="str">
            <v>S706</v>
          </cell>
          <cell r="E6253">
            <v>46214</v>
          </cell>
        </row>
        <row r="6254">
          <cell r="A6254" t="str">
            <v>2624HB37</v>
          </cell>
          <cell r="D6254" t="str">
            <v>KBP86</v>
          </cell>
          <cell r="E6254">
            <v>46214</v>
          </cell>
        </row>
        <row r="6255">
          <cell r="A6255" t="str">
            <v>2626JU67</v>
          </cell>
          <cell r="D6255" t="str">
            <v>S706</v>
          </cell>
          <cell r="E6255">
            <v>46214</v>
          </cell>
        </row>
        <row r="6256">
          <cell r="A6256" t="str">
            <v>2625OZ17</v>
          </cell>
          <cell r="D6256" t="str">
            <v>S706</v>
          </cell>
          <cell r="E6256">
            <v>46214</v>
          </cell>
        </row>
        <row r="6257">
          <cell r="A6257" t="str">
            <v>2619S327</v>
          </cell>
          <cell r="D6257" t="str">
            <v>TTS50</v>
          </cell>
          <cell r="E6257">
            <v>46214</v>
          </cell>
        </row>
        <row r="6258">
          <cell r="A6258" t="str">
            <v>2620JH27</v>
          </cell>
          <cell r="D6258" t="str">
            <v>TTS50</v>
          </cell>
          <cell r="E6258">
            <v>46214</v>
          </cell>
        </row>
        <row r="6259">
          <cell r="A6259" t="str">
            <v>2626UQ37</v>
          </cell>
          <cell r="D6259" t="str">
            <v>KBP86</v>
          </cell>
          <cell r="E6259">
            <v>46214</v>
          </cell>
        </row>
        <row r="6260">
          <cell r="A6260" t="str">
            <v>2624EH37</v>
          </cell>
          <cell r="D6260" t="str">
            <v>KBP86</v>
          </cell>
          <cell r="E6260">
            <v>46214</v>
          </cell>
        </row>
        <row r="6261">
          <cell r="A6261" t="str">
            <v>2626VK57</v>
          </cell>
          <cell r="D6261" t="str">
            <v>FTW121KE</v>
          </cell>
          <cell r="E6261">
            <v>46214</v>
          </cell>
        </row>
        <row r="6262">
          <cell r="A6262" t="str">
            <v>2626IW67</v>
          </cell>
          <cell r="D6262" t="str">
            <v>FTP150</v>
          </cell>
          <cell r="E6262">
            <v>46214</v>
          </cell>
        </row>
        <row r="6263">
          <cell r="A6263" t="str">
            <v>2626K857</v>
          </cell>
          <cell r="D6263" t="str">
            <v>STA156KA</v>
          </cell>
          <cell r="E6263">
            <v>46214</v>
          </cell>
        </row>
        <row r="6264">
          <cell r="A6264" t="str">
            <v>2626U147</v>
          </cell>
          <cell r="D6264" t="str">
            <v>KBP55</v>
          </cell>
          <cell r="E6264">
            <v>46214</v>
          </cell>
        </row>
        <row r="6265">
          <cell r="A6265" t="str">
            <v>2625LT17</v>
          </cell>
          <cell r="D6265" t="str">
            <v>KBP86</v>
          </cell>
          <cell r="E6265">
            <v>46214</v>
          </cell>
        </row>
        <row r="6266">
          <cell r="A6266" t="str">
            <v>2625HU57</v>
          </cell>
          <cell r="D6266" t="str">
            <v>KBP86</v>
          </cell>
          <cell r="E6266">
            <v>46214</v>
          </cell>
        </row>
        <row r="6267">
          <cell r="A6267" t="str">
            <v>2626K657</v>
          </cell>
          <cell r="D6267" t="str">
            <v>STA156KA</v>
          </cell>
          <cell r="E6267">
            <v>46214</v>
          </cell>
        </row>
        <row r="6268">
          <cell r="A6268" t="str">
            <v>2626HG57</v>
          </cell>
          <cell r="D6268" t="str">
            <v>FTW121KE</v>
          </cell>
          <cell r="E6268">
            <v>46214</v>
          </cell>
        </row>
        <row r="6269">
          <cell r="A6269" t="str">
            <v>2625CV67</v>
          </cell>
          <cell r="D6269" t="str">
            <v>S706</v>
          </cell>
          <cell r="E6269">
            <v>46214</v>
          </cell>
        </row>
        <row r="6270">
          <cell r="A6270" t="str">
            <v>2626GV57</v>
          </cell>
          <cell r="D6270" t="str">
            <v>TTS50</v>
          </cell>
          <cell r="E6270">
            <v>46214</v>
          </cell>
        </row>
        <row r="6271">
          <cell r="A6271" t="str">
            <v>2626Q347</v>
          </cell>
          <cell r="D6271" t="str">
            <v>S706</v>
          </cell>
          <cell r="E6271">
            <v>46214</v>
          </cell>
        </row>
        <row r="6272">
          <cell r="A6272" t="str">
            <v>2624EX17</v>
          </cell>
          <cell r="D6272" t="str">
            <v>TTS50</v>
          </cell>
          <cell r="E6272">
            <v>46214</v>
          </cell>
        </row>
        <row r="6273">
          <cell r="A6273" t="str">
            <v>2626J967</v>
          </cell>
          <cell r="D6273" t="str">
            <v>FTW121KE</v>
          </cell>
          <cell r="E6273">
            <v>46214</v>
          </cell>
        </row>
        <row r="6274">
          <cell r="A6274" t="str">
            <v>2626QK27</v>
          </cell>
          <cell r="D6274" t="str">
            <v>KBP76</v>
          </cell>
          <cell r="E6274">
            <v>46214</v>
          </cell>
        </row>
        <row r="6275">
          <cell r="A6275" t="str">
            <v>2626KR47</v>
          </cell>
          <cell r="D6275" t="str">
            <v>FTW121KE</v>
          </cell>
          <cell r="E6275">
            <v>46214</v>
          </cell>
        </row>
        <row r="6276">
          <cell r="A6276" t="str">
            <v>2623JC47</v>
          </cell>
          <cell r="D6276" t="str">
            <v>TTS50</v>
          </cell>
          <cell r="E6276">
            <v>46213</v>
          </cell>
        </row>
        <row r="6277">
          <cell r="A6277" t="str">
            <v>2625LU47</v>
          </cell>
          <cell r="D6277" t="str">
            <v>KBP55</v>
          </cell>
          <cell r="E6277">
            <v>46213</v>
          </cell>
        </row>
        <row r="6278">
          <cell r="A6278" t="str">
            <v>2624Z247</v>
          </cell>
          <cell r="D6278" t="str">
            <v>KBP86E</v>
          </cell>
          <cell r="E6278">
            <v>46213</v>
          </cell>
        </row>
        <row r="6279">
          <cell r="A6279" t="str">
            <v>2626K827</v>
          </cell>
          <cell r="D6279" t="str">
            <v>FTW102K</v>
          </cell>
          <cell r="E6279">
            <v>46213</v>
          </cell>
        </row>
        <row r="6280">
          <cell r="A6280" t="str">
            <v>2619D837</v>
          </cell>
          <cell r="D6280" t="str">
            <v>TTS50</v>
          </cell>
          <cell r="E6280">
            <v>46213</v>
          </cell>
        </row>
        <row r="6281">
          <cell r="A6281" t="str">
            <v>2624ES17</v>
          </cell>
          <cell r="D6281" t="str">
            <v>KBP44</v>
          </cell>
          <cell r="E6281">
            <v>46213</v>
          </cell>
        </row>
        <row r="6282">
          <cell r="A6282" t="str">
            <v>2619IX17</v>
          </cell>
          <cell r="D6282" t="str">
            <v>TTS50</v>
          </cell>
          <cell r="E6282">
            <v>46213</v>
          </cell>
        </row>
        <row r="6283">
          <cell r="A6283" t="str">
            <v>2622JF27</v>
          </cell>
          <cell r="D6283" t="str">
            <v>KBP44</v>
          </cell>
          <cell r="E6283">
            <v>46213</v>
          </cell>
        </row>
        <row r="6284">
          <cell r="A6284" t="str">
            <v>2620IW17</v>
          </cell>
          <cell r="D6284" t="str">
            <v>TTS50</v>
          </cell>
          <cell r="E6284">
            <v>46213</v>
          </cell>
        </row>
        <row r="6285">
          <cell r="A6285" t="str">
            <v>2625LX67</v>
          </cell>
          <cell r="D6285" t="str">
            <v>KBP76</v>
          </cell>
          <cell r="E6285">
            <v>46213</v>
          </cell>
        </row>
        <row r="6286">
          <cell r="A6286" t="str">
            <v>2623FD17</v>
          </cell>
          <cell r="D6286" t="str">
            <v>KBP86</v>
          </cell>
          <cell r="E6286">
            <v>46213</v>
          </cell>
        </row>
        <row r="6287">
          <cell r="A6287" t="str">
            <v>2625CS67</v>
          </cell>
          <cell r="D6287" t="str">
            <v>KBP52</v>
          </cell>
          <cell r="E6287">
            <v>46213</v>
          </cell>
        </row>
        <row r="6288">
          <cell r="A6288" t="str">
            <v>2620J617</v>
          </cell>
          <cell r="D6288" t="str">
            <v>TTS50</v>
          </cell>
          <cell r="E6288">
            <v>46213</v>
          </cell>
        </row>
        <row r="6289">
          <cell r="A6289" t="str">
            <v>2626UR37</v>
          </cell>
          <cell r="D6289" t="str">
            <v>KBP86</v>
          </cell>
          <cell r="E6289">
            <v>46213</v>
          </cell>
        </row>
        <row r="6290">
          <cell r="A6290" t="str">
            <v>2625QG17</v>
          </cell>
          <cell r="D6290" t="str">
            <v>KBP55</v>
          </cell>
          <cell r="E6290">
            <v>46213</v>
          </cell>
        </row>
        <row r="6291">
          <cell r="A6291" t="str">
            <v>2626FH57</v>
          </cell>
          <cell r="D6291" t="str">
            <v>FTP150</v>
          </cell>
          <cell r="E6291">
            <v>46213</v>
          </cell>
        </row>
        <row r="6292">
          <cell r="A6292" t="str">
            <v>2623JS47</v>
          </cell>
          <cell r="D6292" t="str">
            <v>TTS50</v>
          </cell>
          <cell r="E6292">
            <v>46213</v>
          </cell>
        </row>
        <row r="6293">
          <cell r="A6293" t="str">
            <v>2626J147</v>
          </cell>
          <cell r="D6293" t="str">
            <v>FTP150</v>
          </cell>
          <cell r="E6293">
            <v>46213</v>
          </cell>
        </row>
        <row r="6294">
          <cell r="A6294" t="str">
            <v>2625LQ47</v>
          </cell>
          <cell r="D6294" t="str">
            <v>KBP55</v>
          </cell>
          <cell r="E6294">
            <v>46213</v>
          </cell>
        </row>
        <row r="6295">
          <cell r="A6295" t="str">
            <v>2626FC57</v>
          </cell>
          <cell r="D6295" t="str">
            <v>FTP150</v>
          </cell>
          <cell r="E6295">
            <v>46213</v>
          </cell>
        </row>
        <row r="6296">
          <cell r="A6296" t="str">
            <v>2620JC17</v>
          </cell>
          <cell r="D6296" t="str">
            <v>TTS50</v>
          </cell>
          <cell r="E6296">
            <v>46213</v>
          </cell>
        </row>
        <row r="6297">
          <cell r="A6297" t="str">
            <v>2623J737</v>
          </cell>
          <cell r="D6297" t="str">
            <v>TTS50</v>
          </cell>
          <cell r="E6297">
            <v>46213</v>
          </cell>
        </row>
        <row r="6298">
          <cell r="A6298" t="str">
            <v>2625QK17</v>
          </cell>
          <cell r="D6298" t="str">
            <v>KBP55</v>
          </cell>
          <cell r="E6298">
            <v>46213</v>
          </cell>
        </row>
        <row r="6299">
          <cell r="A6299" t="str">
            <v>2624OE37</v>
          </cell>
          <cell r="D6299" t="str">
            <v>KBP86</v>
          </cell>
          <cell r="E6299">
            <v>46213</v>
          </cell>
        </row>
        <row r="6300">
          <cell r="A6300" t="str">
            <v>2623JM37</v>
          </cell>
          <cell r="D6300" t="str">
            <v>TTS50</v>
          </cell>
          <cell r="E6300">
            <v>46213</v>
          </cell>
        </row>
        <row r="6301">
          <cell r="A6301" t="str">
            <v>2625KF37</v>
          </cell>
          <cell r="D6301" t="str">
            <v>KBP52</v>
          </cell>
          <cell r="E6301">
            <v>46213</v>
          </cell>
        </row>
        <row r="6302">
          <cell r="A6302" t="str">
            <v>2625F767</v>
          </cell>
          <cell r="D6302" t="str">
            <v>KBP55</v>
          </cell>
          <cell r="E6302">
            <v>46213</v>
          </cell>
        </row>
        <row r="6303">
          <cell r="A6303" t="str">
            <v>2625OM17</v>
          </cell>
          <cell r="D6303" t="str">
            <v>KBP52</v>
          </cell>
          <cell r="E6303">
            <v>46213</v>
          </cell>
        </row>
        <row r="6304">
          <cell r="A6304" t="str">
            <v>2623DX67</v>
          </cell>
          <cell r="D6304" t="str">
            <v>TTS50</v>
          </cell>
          <cell r="E6304">
            <v>46213</v>
          </cell>
        </row>
        <row r="6305">
          <cell r="A6305" t="str">
            <v>2621OH27</v>
          </cell>
          <cell r="D6305" t="str">
            <v>KBP86</v>
          </cell>
          <cell r="E6305">
            <v>46213</v>
          </cell>
        </row>
        <row r="6306">
          <cell r="A6306" t="str">
            <v>2622VT57</v>
          </cell>
          <cell r="D6306" t="str">
            <v>TTS50</v>
          </cell>
          <cell r="E6306">
            <v>46213</v>
          </cell>
        </row>
        <row r="6307">
          <cell r="A6307" t="str">
            <v>2622S817</v>
          </cell>
          <cell r="D6307" t="str">
            <v>KBP86</v>
          </cell>
          <cell r="E6307">
            <v>46213</v>
          </cell>
        </row>
        <row r="6308">
          <cell r="A6308" t="str">
            <v>2623DO27</v>
          </cell>
          <cell r="D6308" t="str">
            <v>TTS50</v>
          </cell>
          <cell r="E6308">
            <v>46213</v>
          </cell>
        </row>
        <row r="6309">
          <cell r="A6309" t="str">
            <v>2626QP27</v>
          </cell>
          <cell r="D6309" t="str">
            <v>KBP76</v>
          </cell>
          <cell r="E6309">
            <v>46213</v>
          </cell>
        </row>
        <row r="6310">
          <cell r="A6310" t="str">
            <v>2620JD17</v>
          </cell>
          <cell r="D6310" t="str">
            <v>TTS50</v>
          </cell>
          <cell r="E6310">
            <v>46213</v>
          </cell>
        </row>
        <row r="6311">
          <cell r="A6311" t="str">
            <v>2626QM27</v>
          </cell>
          <cell r="D6311" t="str">
            <v>KBP76</v>
          </cell>
          <cell r="E6311">
            <v>46213</v>
          </cell>
        </row>
        <row r="6312">
          <cell r="A6312" t="str">
            <v>2619B847</v>
          </cell>
          <cell r="D6312" t="str">
            <v>TTS50</v>
          </cell>
          <cell r="E6312">
            <v>46213</v>
          </cell>
        </row>
        <row r="6313">
          <cell r="A6313" t="str">
            <v>2624O357</v>
          </cell>
          <cell r="D6313" t="str">
            <v>KBP76</v>
          </cell>
          <cell r="E6313">
            <v>46213</v>
          </cell>
        </row>
        <row r="6314">
          <cell r="A6314" t="str">
            <v>2626PF17</v>
          </cell>
          <cell r="D6314" t="str">
            <v>KBP55</v>
          </cell>
          <cell r="E6314">
            <v>46213</v>
          </cell>
        </row>
        <row r="6315">
          <cell r="A6315" t="str">
            <v>2624PG47</v>
          </cell>
          <cell r="D6315" t="str">
            <v>KBP76</v>
          </cell>
          <cell r="E6315">
            <v>46213</v>
          </cell>
        </row>
        <row r="6316">
          <cell r="A6316" t="str">
            <v>2623DJ27</v>
          </cell>
          <cell r="D6316" t="str">
            <v>TTS50</v>
          </cell>
          <cell r="E6316">
            <v>46213</v>
          </cell>
        </row>
        <row r="6317">
          <cell r="A6317" t="str">
            <v>2626JR57</v>
          </cell>
          <cell r="D6317" t="str">
            <v>KBP76</v>
          </cell>
          <cell r="E6317">
            <v>46213</v>
          </cell>
        </row>
        <row r="6318">
          <cell r="A6318" t="str">
            <v>2626U337</v>
          </cell>
          <cell r="D6318" t="str">
            <v>KBP55</v>
          </cell>
          <cell r="E6318">
            <v>46213</v>
          </cell>
        </row>
        <row r="6319">
          <cell r="A6319" t="str">
            <v>2624IP17</v>
          </cell>
          <cell r="D6319" t="str">
            <v>KBP76</v>
          </cell>
          <cell r="E6319">
            <v>46213</v>
          </cell>
        </row>
        <row r="6320">
          <cell r="A6320" t="str">
            <v>2623JI47</v>
          </cell>
          <cell r="D6320" t="str">
            <v>TTS50</v>
          </cell>
          <cell r="E6320">
            <v>46213</v>
          </cell>
        </row>
        <row r="6321">
          <cell r="A6321" t="str">
            <v>2624FE80</v>
          </cell>
          <cell r="D6321" t="str">
            <v>TTS125</v>
          </cell>
          <cell r="E6321">
            <v>46213</v>
          </cell>
        </row>
        <row r="6322">
          <cell r="A6322" t="str">
            <v>2625FX17</v>
          </cell>
          <cell r="D6322" t="str">
            <v>STA156KA</v>
          </cell>
          <cell r="E6322">
            <v>46213</v>
          </cell>
        </row>
        <row r="6323">
          <cell r="A6323" t="str">
            <v>2624FE70</v>
          </cell>
          <cell r="D6323" t="str">
            <v>TTS125</v>
          </cell>
          <cell r="E6323">
            <v>46213</v>
          </cell>
        </row>
        <row r="6324">
          <cell r="A6324" t="str">
            <v>2625D447</v>
          </cell>
          <cell r="D6324" t="str">
            <v>S15MB</v>
          </cell>
          <cell r="E6324">
            <v>46213</v>
          </cell>
        </row>
        <row r="6325">
          <cell r="A6325" t="str">
            <v>2626HI17</v>
          </cell>
          <cell r="D6325" t="str">
            <v>S15MB</v>
          </cell>
          <cell r="E6325">
            <v>46213</v>
          </cell>
        </row>
        <row r="6326">
          <cell r="A6326" t="str">
            <v>2626CG27</v>
          </cell>
          <cell r="D6326" t="str">
            <v>S15MB</v>
          </cell>
          <cell r="E6326">
            <v>46213</v>
          </cell>
        </row>
        <row r="6327">
          <cell r="A6327" t="str">
            <v>2626CD27</v>
          </cell>
          <cell r="D6327" t="str">
            <v>S15MB</v>
          </cell>
          <cell r="E6327">
            <v>46213</v>
          </cell>
        </row>
        <row r="6328">
          <cell r="A6328" t="str">
            <v>2626CH47</v>
          </cell>
          <cell r="D6328" t="str">
            <v>S15MB</v>
          </cell>
          <cell r="E6328">
            <v>46213</v>
          </cell>
        </row>
        <row r="6329">
          <cell r="A6329" t="str">
            <v>2626CH27</v>
          </cell>
          <cell r="D6329" t="str">
            <v>S15MB</v>
          </cell>
          <cell r="E6329">
            <v>46213</v>
          </cell>
        </row>
        <row r="6330">
          <cell r="A6330" t="str">
            <v>2626CE27</v>
          </cell>
          <cell r="D6330" t="str">
            <v>S15MB</v>
          </cell>
          <cell r="E6330">
            <v>46213</v>
          </cell>
        </row>
        <row r="6331">
          <cell r="A6331" t="str">
            <v>2625VO57</v>
          </cell>
          <cell r="D6331" t="str">
            <v>S15MB</v>
          </cell>
          <cell r="E6331">
            <v>46213</v>
          </cell>
        </row>
        <row r="6332">
          <cell r="A6332" t="str">
            <v>2626SV47</v>
          </cell>
          <cell r="D6332" t="str">
            <v>STA156KA</v>
          </cell>
          <cell r="E6332">
            <v>46213</v>
          </cell>
        </row>
        <row r="6333">
          <cell r="A6333" t="str">
            <v>2626UG57</v>
          </cell>
          <cell r="D6333" t="str">
            <v>FTW102K</v>
          </cell>
          <cell r="E6333">
            <v>46213</v>
          </cell>
        </row>
        <row r="6334">
          <cell r="A6334" t="str">
            <v>2626SQ37</v>
          </cell>
          <cell r="D6334" t="str">
            <v>STA156KA</v>
          </cell>
          <cell r="E6334">
            <v>46213</v>
          </cell>
        </row>
        <row r="6335">
          <cell r="A6335" t="str">
            <v>2626UQ57</v>
          </cell>
          <cell r="D6335" t="str">
            <v>FTW102K</v>
          </cell>
          <cell r="E6335">
            <v>46213</v>
          </cell>
        </row>
        <row r="6336">
          <cell r="A6336" t="str">
            <v>2625LM57</v>
          </cell>
          <cell r="D6336" t="str">
            <v>STA156KA</v>
          </cell>
          <cell r="E6336">
            <v>46213</v>
          </cell>
        </row>
        <row r="6337">
          <cell r="A6337" t="str">
            <v>2626UJ57</v>
          </cell>
          <cell r="D6337" t="str">
            <v>FTW102K</v>
          </cell>
          <cell r="E6337">
            <v>46213</v>
          </cell>
        </row>
        <row r="6338">
          <cell r="A6338" t="str">
            <v>2626KT37</v>
          </cell>
          <cell r="D6338" t="str">
            <v>FTW102K</v>
          </cell>
          <cell r="E6338">
            <v>46213</v>
          </cell>
        </row>
        <row r="6339">
          <cell r="A6339" t="str">
            <v>2621LM47</v>
          </cell>
          <cell r="D6339" t="str">
            <v>KBP52</v>
          </cell>
          <cell r="E6339">
            <v>46213</v>
          </cell>
        </row>
        <row r="6340">
          <cell r="A6340" t="str">
            <v>2626JM17</v>
          </cell>
          <cell r="D6340" t="str">
            <v>FTW102K</v>
          </cell>
          <cell r="E6340">
            <v>46213</v>
          </cell>
        </row>
        <row r="6341">
          <cell r="A6341" t="str">
            <v>2607LX37</v>
          </cell>
          <cell r="D6341" t="str">
            <v>KBP52</v>
          </cell>
          <cell r="E6341">
            <v>46213</v>
          </cell>
        </row>
        <row r="6342">
          <cell r="A6342" t="str">
            <v>2624J157</v>
          </cell>
          <cell r="D6342" t="str">
            <v>FTW102K</v>
          </cell>
          <cell r="E6342">
            <v>46213</v>
          </cell>
        </row>
        <row r="6343">
          <cell r="A6343" t="str">
            <v>2626LH47</v>
          </cell>
          <cell r="D6343" t="str">
            <v>FTW121KE</v>
          </cell>
          <cell r="E6343">
            <v>46213</v>
          </cell>
        </row>
        <row r="6344">
          <cell r="A6344" t="str">
            <v>2626UI57</v>
          </cell>
          <cell r="D6344" t="str">
            <v>FTW102K</v>
          </cell>
          <cell r="E6344">
            <v>46213</v>
          </cell>
        </row>
        <row r="6345">
          <cell r="A6345" t="str">
            <v>2625PI67</v>
          </cell>
          <cell r="D6345" t="str">
            <v>FTW121KE</v>
          </cell>
          <cell r="E6345">
            <v>46213</v>
          </cell>
        </row>
        <row r="6346">
          <cell r="A6346" t="str">
            <v>2626UC57</v>
          </cell>
          <cell r="D6346" t="str">
            <v>FTW102K</v>
          </cell>
          <cell r="E6346">
            <v>46213</v>
          </cell>
        </row>
        <row r="6347">
          <cell r="A6347" t="str">
            <v>2626JW17</v>
          </cell>
          <cell r="D6347" t="str">
            <v>FTW121KE</v>
          </cell>
          <cell r="E6347">
            <v>46213</v>
          </cell>
        </row>
        <row r="6348">
          <cell r="A6348" t="str">
            <v>2626KM27</v>
          </cell>
          <cell r="D6348" t="str">
            <v>FTW121KE</v>
          </cell>
          <cell r="E6348">
            <v>46213</v>
          </cell>
        </row>
        <row r="6349">
          <cell r="A6349" t="str">
            <v>2626KK27</v>
          </cell>
          <cell r="D6349" t="str">
            <v>FTW121KE</v>
          </cell>
          <cell r="E6349">
            <v>46213</v>
          </cell>
        </row>
        <row r="6350">
          <cell r="A6350" t="str">
            <v>2626JD67</v>
          </cell>
          <cell r="D6350" t="str">
            <v>FTW121KE</v>
          </cell>
          <cell r="E6350">
            <v>46213</v>
          </cell>
        </row>
        <row r="6351">
          <cell r="A6351" t="str">
            <v>2626HJ57</v>
          </cell>
          <cell r="D6351" t="str">
            <v>FTW121KE</v>
          </cell>
          <cell r="E6351">
            <v>46213</v>
          </cell>
        </row>
        <row r="6352">
          <cell r="A6352" t="str">
            <v>2626HH57</v>
          </cell>
          <cell r="D6352" t="str">
            <v>FTW121KE</v>
          </cell>
          <cell r="E6352">
            <v>46213</v>
          </cell>
        </row>
        <row r="6353">
          <cell r="A6353" t="str">
            <v>2626LG37</v>
          </cell>
          <cell r="D6353" t="str">
            <v>FTW121KE</v>
          </cell>
          <cell r="E6353">
            <v>46213</v>
          </cell>
        </row>
        <row r="6354">
          <cell r="A6354" t="str">
            <v>2626KQ47</v>
          </cell>
          <cell r="D6354" t="str">
            <v>FTW121KE</v>
          </cell>
          <cell r="E6354">
            <v>46213</v>
          </cell>
        </row>
        <row r="6355">
          <cell r="A6355" t="str">
            <v>2626LA37</v>
          </cell>
          <cell r="D6355" t="str">
            <v>FTW121KE</v>
          </cell>
          <cell r="E6355">
            <v>46213</v>
          </cell>
        </row>
        <row r="6356">
          <cell r="A6356" t="str">
            <v>2626LV47</v>
          </cell>
          <cell r="D6356" t="str">
            <v>FTW121KE</v>
          </cell>
          <cell r="E6356">
            <v>46213</v>
          </cell>
        </row>
        <row r="6357">
          <cell r="A6357" t="str">
            <v>2626KQ27</v>
          </cell>
          <cell r="D6357" t="str">
            <v>FTW121KE</v>
          </cell>
          <cell r="E6357">
            <v>46213</v>
          </cell>
        </row>
        <row r="6358">
          <cell r="A6358" t="str">
            <v>2626L237</v>
          </cell>
          <cell r="D6358" t="str">
            <v>FTW121KE</v>
          </cell>
          <cell r="E6358">
            <v>46213</v>
          </cell>
        </row>
        <row r="6359">
          <cell r="A6359" t="str">
            <v>2626L347</v>
          </cell>
          <cell r="D6359" t="str">
            <v>FTW121KE</v>
          </cell>
          <cell r="E6359">
            <v>46213</v>
          </cell>
        </row>
        <row r="6360">
          <cell r="A6360" t="str">
            <v>2626LA47</v>
          </cell>
          <cell r="D6360" t="str">
            <v>FTW121KE</v>
          </cell>
          <cell r="E6360">
            <v>46213</v>
          </cell>
        </row>
        <row r="6361">
          <cell r="A6361" t="str">
            <v>2623FF27</v>
          </cell>
          <cell r="D6361" t="str">
            <v>FTW700</v>
          </cell>
          <cell r="E6361">
            <v>46213</v>
          </cell>
        </row>
        <row r="6362">
          <cell r="A6362" t="str">
            <v>2626LN47</v>
          </cell>
          <cell r="D6362" t="str">
            <v>FTW121KE</v>
          </cell>
          <cell r="E6362">
            <v>46213</v>
          </cell>
        </row>
        <row r="6363">
          <cell r="A6363" t="str">
            <v>2623L137</v>
          </cell>
          <cell r="D6363" t="str">
            <v>FTW700</v>
          </cell>
          <cell r="E6363">
            <v>46213</v>
          </cell>
        </row>
        <row r="6364">
          <cell r="A6364" t="str">
            <v>2626KX47</v>
          </cell>
          <cell r="D6364" t="str">
            <v>FTW121KE</v>
          </cell>
          <cell r="E6364">
            <v>46213</v>
          </cell>
        </row>
        <row r="6365">
          <cell r="A6365" t="str">
            <v>2624EH27</v>
          </cell>
          <cell r="D6365" t="str">
            <v>KBP86</v>
          </cell>
          <cell r="E6365">
            <v>46213</v>
          </cell>
        </row>
        <row r="6366">
          <cell r="A6366" t="str">
            <v>2625QX57</v>
          </cell>
          <cell r="D6366" t="str">
            <v>FTW121KE</v>
          </cell>
          <cell r="E6366">
            <v>46213</v>
          </cell>
        </row>
        <row r="6367">
          <cell r="A6367" t="str">
            <v>2624GC47</v>
          </cell>
          <cell r="D6367" t="str">
            <v>KBP86</v>
          </cell>
          <cell r="E6367">
            <v>46213</v>
          </cell>
        </row>
        <row r="6368">
          <cell r="A6368" t="str">
            <v>2626LX47</v>
          </cell>
          <cell r="D6368" t="str">
            <v>FTW121KE</v>
          </cell>
          <cell r="E6368">
            <v>46213</v>
          </cell>
        </row>
        <row r="6369">
          <cell r="A6369" t="str">
            <v>2624GE47</v>
          </cell>
          <cell r="D6369" t="str">
            <v>KBP86</v>
          </cell>
          <cell r="E6369">
            <v>46213</v>
          </cell>
        </row>
        <row r="6370">
          <cell r="A6370" t="str">
            <v>2626K327</v>
          </cell>
          <cell r="D6370" t="str">
            <v>FTW700</v>
          </cell>
          <cell r="E6370">
            <v>46213</v>
          </cell>
        </row>
        <row r="6371">
          <cell r="A6371" t="str">
            <v>2624CI17</v>
          </cell>
          <cell r="D6371" t="str">
            <v>KBP86</v>
          </cell>
          <cell r="E6371">
            <v>46213</v>
          </cell>
        </row>
        <row r="6372">
          <cell r="A6372" t="str">
            <v>2624I567</v>
          </cell>
          <cell r="D6372" t="str">
            <v>TTS80</v>
          </cell>
          <cell r="E6372">
            <v>46213</v>
          </cell>
        </row>
        <row r="6373">
          <cell r="A6373" t="str">
            <v>2624EI27</v>
          </cell>
          <cell r="D6373" t="str">
            <v>KBP86</v>
          </cell>
          <cell r="E6373">
            <v>46213</v>
          </cell>
        </row>
        <row r="6374">
          <cell r="A6374" t="str">
            <v>2624PW27</v>
          </cell>
          <cell r="D6374" t="str">
            <v>TTS80</v>
          </cell>
          <cell r="E6374">
            <v>46213</v>
          </cell>
        </row>
        <row r="6375">
          <cell r="A6375" t="str">
            <v>2623BF67</v>
          </cell>
          <cell r="D6375" t="str">
            <v>KBP86</v>
          </cell>
          <cell r="E6375">
            <v>46213</v>
          </cell>
        </row>
        <row r="6376">
          <cell r="A6376" t="str">
            <v>2626ZD17</v>
          </cell>
          <cell r="D6376" t="str">
            <v>TTS80</v>
          </cell>
          <cell r="E6376">
            <v>46213</v>
          </cell>
        </row>
        <row r="6377">
          <cell r="A6377" t="str">
            <v>2623BO67</v>
          </cell>
          <cell r="D6377" t="str">
            <v>KBP86</v>
          </cell>
          <cell r="E6377">
            <v>46213</v>
          </cell>
        </row>
        <row r="6378">
          <cell r="A6378" t="str">
            <v>2623LA67</v>
          </cell>
          <cell r="D6378" t="str">
            <v>TTS80</v>
          </cell>
          <cell r="E6378">
            <v>46213</v>
          </cell>
        </row>
        <row r="6379">
          <cell r="A6379" t="str">
            <v>2624EG37</v>
          </cell>
          <cell r="D6379" t="str">
            <v>KBP86</v>
          </cell>
          <cell r="E6379">
            <v>46213</v>
          </cell>
        </row>
        <row r="6380">
          <cell r="A6380" t="str">
            <v>2626SM27</v>
          </cell>
          <cell r="D6380" t="str">
            <v>TTS80</v>
          </cell>
          <cell r="E6380">
            <v>46213</v>
          </cell>
        </row>
        <row r="6381">
          <cell r="A6381" t="str">
            <v>2624GA47</v>
          </cell>
          <cell r="D6381" t="str">
            <v>KBP86</v>
          </cell>
          <cell r="E6381">
            <v>46213</v>
          </cell>
        </row>
        <row r="6382">
          <cell r="A6382" t="str">
            <v>2626SC27</v>
          </cell>
          <cell r="D6382" t="str">
            <v>TTS80</v>
          </cell>
          <cell r="E6382">
            <v>46213</v>
          </cell>
        </row>
        <row r="6383">
          <cell r="A6383" t="str">
            <v>2626IM27</v>
          </cell>
          <cell r="D6383" t="str">
            <v>KBP76</v>
          </cell>
          <cell r="E6383">
            <v>46213</v>
          </cell>
        </row>
        <row r="6384">
          <cell r="A6384" t="str">
            <v>2624IN67</v>
          </cell>
          <cell r="D6384" t="str">
            <v>TTS80</v>
          </cell>
          <cell r="E6384">
            <v>46213</v>
          </cell>
        </row>
        <row r="6385">
          <cell r="A6385" t="str">
            <v>2625PS27</v>
          </cell>
          <cell r="D6385" t="str">
            <v>S706</v>
          </cell>
          <cell r="E6385">
            <v>46213</v>
          </cell>
        </row>
        <row r="6386">
          <cell r="A6386" t="str">
            <v>2625SJ27</v>
          </cell>
          <cell r="D6386" t="str">
            <v>FTP200</v>
          </cell>
          <cell r="E6386">
            <v>46213</v>
          </cell>
        </row>
        <row r="6387">
          <cell r="A6387" t="str">
            <v>2621QB17</v>
          </cell>
          <cell r="D6387" t="str">
            <v>KBP86</v>
          </cell>
          <cell r="E6387">
            <v>46213</v>
          </cell>
        </row>
        <row r="6388">
          <cell r="A6388" t="str">
            <v>2625SK27</v>
          </cell>
          <cell r="D6388" t="str">
            <v>KBP55</v>
          </cell>
          <cell r="E6388">
            <v>46213</v>
          </cell>
        </row>
        <row r="6389">
          <cell r="A6389" t="str">
            <v>2625FJ60</v>
          </cell>
          <cell r="D6389" t="str">
            <v>HV200</v>
          </cell>
          <cell r="E6389">
            <v>46213</v>
          </cell>
        </row>
        <row r="6390">
          <cell r="A6390" t="str">
            <v>2624DU67</v>
          </cell>
          <cell r="D6390" t="str">
            <v>KBP86</v>
          </cell>
          <cell r="E6390">
            <v>46213</v>
          </cell>
        </row>
        <row r="6391">
          <cell r="A6391" t="str">
            <v>2625FL60</v>
          </cell>
          <cell r="D6391" t="str">
            <v>HV200</v>
          </cell>
          <cell r="E6391">
            <v>46213</v>
          </cell>
        </row>
        <row r="6392">
          <cell r="A6392" t="str">
            <v>2625SJ57</v>
          </cell>
          <cell r="D6392" t="str">
            <v>KBP86</v>
          </cell>
          <cell r="E6392">
            <v>46213</v>
          </cell>
        </row>
        <row r="6393">
          <cell r="A6393" t="str">
            <v>2624FF90</v>
          </cell>
          <cell r="D6393" t="str">
            <v>TTS125</v>
          </cell>
          <cell r="E6393">
            <v>46213</v>
          </cell>
        </row>
        <row r="6394">
          <cell r="A6394" t="str">
            <v>2621LS47</v>
          </cell>
          <cell r="D6394" t="str">
            <v>KBP86</v>
          </cell>
          <cell r="E6394">
            <v>46213</v>
          </cell>
        </row>
        <row r="6395">
          <cell r="A6395" t="str">
            <v>2623FA60</v>
          </cell>
          <cell r="D6395" t="str">
            <v>TTS125</v>
          </cell>
          <cell r="E6395">
            <v>46213</v>
          </cell>
        </row>
        <row r="6396">
          <cell r="A6396" t="str">
            <v>2624D167</v>
          </cell>
          <cell r="D6396" t="str">
            <v>KBP86</v>
          </cell>
          <cell r="E6396">
            <v>46213</v>
          </cell>
        </row>
        <row r="6397">
          <cell r="A6397" t="str">
            <v>2623CF67</v>
          </cell>
          <cell r="D6397" t="str">
            <v>KBP86</v>
          </cell>
          <cell r="E6397">
            <v>46213</v>
          </cell>
        </row>
        <row r="6398">
          <cell r="A6398" t="str">
            <v>2626OD17</v>
          </cell>
          <cell r="D6398" t="str">
            <v>S706</v>
          </cell>
          <cell r="E6398">
            <v>46213</v>
          </cell>
        </row>
        <row r="6399">
          <cell r="A6399" t="str">
            <v>2624H527</v>
          </cell>
          <cell r="D6399" t="str">
            <v>KBP86</v>
          </cell>
          <cell r="E6399">
            <v>46213</v>
          </cell>
        </row>
        <row r="6400">
          <cell r="A6400" t="str">
            <v>2626PL27</v>
          </cell>
          <cell r="D6400" t="str">
            <v>S706</v>
          </cell>
          <cell r="E6400">
            <v>46213</v>
          </cell>
        </row>
        <row r="6401">
          <cell r="A6401" t="str">
            <v>2624WL57</v>
          </cell>
          <cell r="D6401" t="str">
            <v>KBP86</v>
          </cell>
          <cell r="E6401">
            <v>46213</v>
          </cell>
        </row>
        <row r="6402">
          <cell r="A6402" t="str">
            <v>2626QC37</v>
          </cell>
          <cell r="D6402" t="str">
            <v>S706</v>
          </cell>
          <cell r="E6402">
            <v>46213</v>
          </cell>
        </row>
        <row r="6403">
          <cell r="A6403" t="str">
            <v>2624WH57</v>
          </cell>
          <cell r="D6403" t="str">
            <v>KBP86</v>
          </cell>
          <cell r="E6403">
            <v>46213</v>
          </cell>
        </row>
        <row r="6404">
          <cell r="A6404" t="str">
            <v>2625PF17</v>
          </cell>
          <cell r="D6404" t="str">
            <v>S706</v>
          </cell>
          <cell r="E6404">
            <v>46213</v>
          </cell>
        </row>
        <row r="6405">
          <cell r="A6405" t="str">
            <v>2625SZ27</v>
          </cell>
          <cell r="D6405" t="str">
            <v>TTS80</v>
          </cell>
          <cell r="E6405">
            <v>46213</v>
          </cell>
        </row>
        <row r="6406">
          <cell r="A6406" t="str">
            <v>2625D367</v>
          </cell>
          <cell r="D6406" t="str">
            <v>S706</v>
          </cell>
          <cell r="E6406">
            <v>46213</v>
          </cell>
        </row>
        <row r="6407">
          <cell r="A6407" t="str">
            <v>2625LP37</v>
          </cell>
          <cell r="D6407" t="str">
            <v>TTS80</v>
          </cell>
          <cell r="E6407">
            <v>46213</v>
          </cell>
        </row>
        <row r="6408">
          <cell r="A6408" t="str">
            <v>2625D467</v>
          </cell>
          <cell r="D6408" t="str">
            <v>S706</v>
          </cell>
          <cell r="E6408">
            <v>46213</v>
          </cell>
        </row>
        <row r="6409">
          <cell r="A6409" t="str">
            <v>2626SI27</v>
          </cell>
          <cell r="D6409" t="str">
            <v>TTS80</v>
          </cell>
          <cell r="E6409">
            <v>46213</v>
          </cell>
        </row>
        <row r="6410">
          <cell r="A6410" t="str">
            <v>2626PQ37</v>
          </cell>
          <cell r="D6410" t="str">
            <v>S706</v>
          </cell>
          <cell r="E6410">
            <v>46213</v>
          </cell>
        </row>
        <row r="6411">
          <cell r="A6411" t="str">
            <v>2626SJ27</v>
          </cell>
          <cell r="D6411" t="str">
            <v>TTS80</v>
          </cell>
          <cell r="E6411">
            <v>46213</v>
          </cell>
        </row>
        <row r="6412">
          <cell r="A6412" t="str">
            <v>2626PV37</v>
          </cell>
          <cell r="D6412" t="str">
            <v>S706</v>
          </cell>
          <cell r="E6412">
            <v>46213</v>
          </cell>
        </row>
        <row r="6413">
          <cell r="A6413" t="str">
            <v>2624IU67</v>
          </cell>
          <cell r="D6413" t="str">
            <v>TTS80</v>
          </cell>
          <cell r="E6413">
            <v>46213</v>
          </cell>
        </row>
        <row r="6414">
          <cell r="A6414" t="str">
            <v>2613ZP47</v>
          </cell>
          <cell r="D6414" t="str">
            <v>S706</v>
          </cell>
          <cell r="E6414">
            <v>46213</v>
          </cell>
        </row>
        <row r="6415">
          <cell r="A6415" t="str">
            <v>2626PO17</v>
          </cell>
          <cell r="D6415" t="str">
            <v>TTS80</v>
          </cell>
          <cell r="E6415">
            <v>46213</v>
          </cell>
        </row>
        <row r="6416">
          <cell r="A6416" t="str">
            <v>2625OU17</v>
          </cell>
          <cell r="D6416" t="str">
            <v>S706</v>
          </cell>
          <cell r="E6416">
            <v>46213</v>
          </cell>
        </row>
        <row r="6417">
          <cell r="A6417" t="str">
            <v>2622AD67</v>
          </cell>
          <cell r="D6417" t="str">
            <v>KBP86</v>
          </cell>
          <cell r="E6417">
            <v>46213</v>
          </cell>
        </row>
        <row r="6418">
          <cell r="A6418" t="str">
            <v>2615ZO27</v>
          </cell>
          <cell r="D6418" t="str">
            <v>S706</v>
          </cell>
          <cell r="E6418">
            <v>46213</v>
          </cell>
        </row>
        <row r="6419">
          <cell r="A6419" t="str">
            <v>2623G967</v>
          </cell>
          <cell r="D6419" t="str">
            <v>KBP86</v>
          </cell>
          <cell r="E6419">
            <v>46213</v>
          </cell>
        </row>
        <row r="6420">
          <cell r="A6420" t="str">
            <v>2625OS17</v>
          </cell>
          <cell r="D6420" t="str">
            <v>S706</v>
          </cell>
          <cell r="E6420">
            <v>46213</v>
          </cell>
        </row>
        <row r="6421">
          <cell r="A6421" t="str">
            <v>2624D567</v>
          </cell>
          <cell r="D6421" t="str">
            <v>KBP86</v>
          </cell>
          <cell r="E6421">
            <v>46213</v>
          </cell>
        </row>
        <row r="6422">
          <cell r="A6422" t="str">
            <v>2625JT47</v>
          </cell>
          <cell r="D6422" t="str">
            <v>KBP86</v>
          </cell>
          <cell r="E6422">
            <v>46213</v>
          </cell>
        </row>
        <row r="6423">
          <cell r="A6423" t="str">
            <v>2622LF27</v>
          </cell>
          <cell r="D6423" t="str">
            <v>KBP86</v>
          </cell>
          <cell r="E6423">
            <v>46213</v>
          </cell>
        </row>
        <row r="6424">
          <cell r="A6424" t="str">
            <v>2623LF17</v>
          </cell>
          <cell r="D6424" t="str">
            <v>KBP86</v>
          </cell>
          <cell r="E6424">
            <v>46213</v>
          </cell>
        </row>
        <row r="6425">
          <cell r="A6425" t="str">
            <v>2624O647</v>
          </cell>
          <cell r="D6425" t="str">
            <v>KBP86</v>
          </cell>
          <cell r="E6425">
            <v>46213</v>
          </cell>
        </row>
        <row r="6426">
          <cell r="A6426" t="str">
            <v>2623GF67</v>
          </cell>
          <cell r="D6426" t="str">
            <v>KBP86</v>
          </cell>
          <cell r="E6426">
            <v>46213</v>
          </cell>
        </row>
        <row r="6427">
          <cell r="A6427" t="str">
            <v>2625KS47</v>
          </cell>
          <cell r="D6427" t="str">
            <v>S706</v>
          </cell>
          <cell r="E6427">
            <v>46213</v>
          </cell>
        </row>
        <row r="6428">
          <cell r="A6428" t="str">
            <v>2625L957</v>
          </cell>
          <cell r="D6428" t="str">
            <v>S706</v>
          </cell>
          <cell r="E6428">
            <v>46213</v>
          </cell>
        </row>
        <row r="6429">
          <cell r="A6429" t="str">
            <v>2625LB57</v>
          </cell>
          <cell r="D6429" t="str">
            <v>S706</v>
          </cell>
          <cell r="E6429">
            <v>46213</v>
          </cell>
        </row>
        <row r="6430">
          <cell r="A6430" t="str">
            <v>2625L657</v>
          </cell>
          <cell r="D6430" t="str">
            <v>S706</v>
          </cell>
          <cell r="E6430">
            <v>46213</v>
          </cell>
        </row>
        <row r="6431">
          <cell r="A6431" t="str">
            <v>2626PU37</v>
          </cell>
          <cell r="D6431" t="str">
            <v>S706</v>
          </cell>
          <cell r="E6431">
            <v>46213</v>
          </cell>
        </row>
        <row r="6432">
          <cell r="A6432" t="str">
            <v>2625LD57</v>
          </cell>
          <cell r="D6432" t="str">
            <v>S706</v>
          </cell>
          <cell r="E6432">
            <v>46213</v>
          </cell>
        </row>
        <row r="6433">
          <cell r="A6433" t="str">
            <v>2614Y147</v>
          </cell>
          <cell r="D6433" t="str">
            <v>S706</v>
          </cell>
          <cell r="E6433">
            <v>46213</v>
          </cell>
        </row>
        <row r="6434">
          <cell r="A6434" t="str">
            <v>2614YC47</v>
          </cell>
          <cell r="D6434" t="str">
            <v>S706</v>
          </cell>
          <cell r="E6434">
            <v>46213</v>
          </cell>
        </row>
        <row r="6435">
          <cell r="A6435" t="str">
            <v>2625KK57</v>
          </cell>
          <cell r="D6435" t="str">
            <v>S706</v>
          </cell>
          <cell r="E6435">
            <v>46213</v>
          </cell>
        </row>
        <row r="6436">
          <cell r="A6436" t="str">
            <v>2625KV57</v>
          </cell>
          <cell r="D6436" t="str">
            <v>S706</v>
          </cell>
          <cell r="E6436">
            <v>46213</v>
          </cell>
        </row>
        <row r="6437">
          <cell r="A6437" t="str">
            <v>2625P217</v>
          </cell>
          <cell r="D6437" t="str">
            <v>S706</v>
          </cell>
          <cell r="E6437">
            <v>46213</v>
          </cell>
        </row>
        <row r="6438">
          <cell r="A6438" t="str">
            <v>2625KP37</v>
          </cell>
          <cell r="D6438" t="str">
            <v>S706</v>
          </cell>
          <cell r="E6438">
            <v>46213</v>
          </cell>
        </row>
        <row r="6439">
          <cell r="A6439" t="str">
            <v>2626UN37</v>
          </cell>
          <cell r="D6439" t="str">
            <v>KBP86</v>
          </cell>
          <cell r="E6439">
            <v>46213</v>
          </cell>
        </row>
        <row r="6440">
          <cell r="A6440" t="str">
            <v>2626J837</v>
          </cell>
          <cell r="D6440" t="str">
            <v>KBP76</v>
          </cell>
          <cell r="E6440">
            <v>46213</v>
          </cell>
        </row>
        <row r="6441">
          <cell r="A6441" t="str">
            <v>2625I557</v>
          </cell>
          <cell r="D6441" t="str">
            <v>KBP76</v>
          </cell>
          <cell r="E6441">
            <v>46213</v>
          </cell>
        </row>
        <row r="6442">
          <cell r="A6442" t="str">
            <v>2626I717</v>
          </cell>
          <cell r="D6442" t="str">
            <v>KBP76</v>
          </cell>
          <cell r="E6442">
            <v>46213</v>
          </cell>
        </row>
        <row r="6443">
          <cell r="A6443" t="str">
            <v>2624GG67</v>
          </cell>
          <cell r="D6443" t="str">
            <v>KBP76</v>
          </cell>
          <cell r="E6443">
            <v>46213</v>
          </cell>
        </row>
        <row r="6444">
          <cell r="A6444" t="str">
            <v>2623K757</v>
          </cell>
          <cell r="D6444" t="str">
            <v>KBP76</v>
          </cell>
          <cell r="E6444">
            <v>46213</v>
          </cell>
        </row>
        <row r="6445">
          <cell r="A6445" t="str">
            <v>2623LN47</v>
          </cell>
          <cell r="D6445" t="str">
            <v>KBP76</v>
          </cell>
          <cell r="E6445">
            <v>46213</v>
          </cell>
        </row>
        <row r="6446">
          <cell r="A6446" t="str">
            <v>2622BO67</v>
          </cell>
          <cell r="D6446" t="str">
            <v>KBP86</v>
          </cell>
          <cell r="E6446">
            <v>46213</v>
          </cell>
        </row>
        <row r="6447">
          <cell r="A6447" t="str">
            <v>2624Z247</v>
          </cell>
          <cell r="D6447" t="str">
            <v>KBP76</v>
          </cell>
          <cell r="E6447">
            <v>46213</v>
          </cell>
        </row>
        <row r="6448">
          <cell r="A6448" t="str">
            <v>2625L947</v>
          </cell>
          <cell r="D6448" t="str">
            <v>KBP126</v>
          </cell>
          <cell r="E6448">
            <v>46212</v>
          </cell>
        </row>
        <row r="6449">
          <cell r="A6449" t="str">
            <v>2626IF47</v>
          </cell>
          <cell r="D6449" t="str">
            <v>KBP86</v>
          </cell>
          <cell r="E6449">
            <v>46212</v>
          </cell>
        </row>
        <row r="6450">
          <cell r="A6450" t="str">
            <v>2626HX57</v>
          </cell>
          <cell r="D6450" t="str">
            <v>KBP86</v>
          </cell>
          <cell r="E6450">
            <v>46212</v>
          </cell>
        </row>
        <row r="6451">
          <cell r="A6451" t="str">
            <v>2624Z147</v>
          </cell>
          <cell r="D6451" t="str">
            <v>KBP86E</v>
          </cell>
          <cell r="E6451">
            <v>46212</v>
          </cell>
        </row>
        <row r="6452">
          <cell r="A6452" t="str">
            <v>2625BI67</v>
          </cell>
          <cell r="D6452" t="str">
            <v>KBP86</v>
          </cell>
          <cell r="E6452">
            <v>46212</v>
          </cell>
        </row>
        <row r="6453">
          <cell r="A6453" t="str">
            <v>2626JB27</v>
          </cell>
          <cell r="D6453" t="str">
            <v>FTP150</v>
          </cell>
          <cell r="E6453">
            <v>46212</v>
          </cell>
        </row>
        <row r="6454">
          <cell r="A6454" t="str">
            <v>2626Q147</v>
          </cell>
          <cell r="D6454" t="str">
            <v>S706</v>
          </cell>
          <cell r="E6454">
            <v>46212</v>
          </cell>
        </row>
        <row r="6455">
          <cell r="A6455" t="str">
            <v>2624Z147</v>
          </cell>
          <cell r="D6455" t="str">
            <v>KBP86E</v>
          </cell>
          <cell r="E6455">
            <v>46212</v>
          </cell>
        </row>
        <row r="6456">
          <cell r="A6456" t="str">
            <v>2626Q737</v>
          </cell>
          <cell r="D6456" t="str">
            <v>S706</v>
          </cell>
          <cell r="E6456">
            <v>46212</v>
          </cell>
        </row>
        <row r="6457">
          <cell r="A6457" t="str">
            <v>2626LK67</v>
          </cell>
          <cell r="D6457" t="str">
            <v>S15MB</v>
          </cell>
          <cell r="E6457">
            <v>46212</v>
          </cell>
        </row>
        <row r="6458">
          <cell r="A6458" t="str">
            <v>2625KT47</v>
          </cell>
          <cell r="D6458" t="str">
            <v>S706</v>
          </cell>
          <cell r="E6458">
            <v>46212</v>
          </cell>
        </row>
        <row r="6459">
          <cell r="A6459" t="str">
            <v>2626LX17</v>
          </cell>
          <cell r="D6459" t="str">
            <v>S706</v>
          </cell>
          <cell r="E6459">
            <v>46212</v>
          </cell>
        </row>
        <row r="6460">
          <cell r="A6460" t="str">
            <v>2626PM27</v>
          </cell>
          <cell r="D6460" t="str">
            <v>S706</v>
          </cell>
          <cell r="E6460">
            <v>46212</v>
          </cell>
        </row>
        <row r="6461">
          <cell r="A6461" t="str">
            <v>2626JH37</v>
          </cell>
          <cell r="D6461" t="str">
            <v>FTP150</v>
          </cell>
          <cell r="E6461">
            <v>46212</v>
          </cell>
        </row>
        <row r="6462">
          <cell r="A6462" t="str">
            <v>2626Q137</v>
          </cell>
          <cell r="D6462" t="str">
            <v>S706</v>
          </cell>
          <cell r="E6462">
            <v>46212</v>
          </cell>
        </row>
        <row r="6463">
          <cell r="A6463" t="str">
            <v>2625KH47</v>
          </cell>
          <cell r="D6463" t="str">
            <v>S706</v>
          </cell>
          <cell r="E6463">
            <v>46212</v>
          </cell>
        </row>
        <row r="6464">
          <cell r="A6464" t="str">
            <v>2626PY37</v>
          </cell>
          <cell r="D6464" t="str">
            <v>S706</v>
          </cell>
          <cell r="E6464">
            <v>46212</v>
          </cell>
        </row>
        <row r="6465">
          <cell r="A6465" t="str">
            <v>2626J647</v>
          </cell>
          <cell r="D6465" t="str">
            <v>FTP150</v>
          </cell>
          <cell r="E6465">
            <v>46212</v>
          </cell>
        </row>
        <row r="6466">
          <cell r="A6466" t="str">
            <v>2626PI27</v>
          </cell>
          <cell r="D6466" t="str">
            <v>S706</v>
          </cell>
          <cell r="E6466">
            <v>46212</v>
          </cell>
        </row>
        <row r="6467">
          <cell r="A6467" t="str">
            <v>2623B767</v>
          </cell>
          <cell r="D6467" t="str">
            <v>KBP86</v>
          </cell>
          <cell r="E6467">
            <v>46212</v>
          </cell>
        </row>
        <row r="6468">
          <cell r="A6468" t="str">
            <v>2626LM67</v>
          </cell>
          <cell r="D6468" t="str">
            <v>S15MB</v>
          </cell>
          <cell r="E6468">
            <v>46212</v>
          </cell>
        </row>
        <row r="6469">
          <cell r="A6469" t="str">
            <v>2626J847</v>
          </cell>
          <cell r="D6469" t="str">
            <v>FTP150</v>
          </cell>
          <cell r="E6469">
            <v>46212</v>
          </cell>
        </row>
        <row r="6470">
          <cell r="A6470" t="str">
            <v>2626LK67</v>
          </cell>
          <cell r="D6470" t="str">
            <v>S15MB</v>
          </cell>
          <cell r="E6470">
            <v>46212</v>
          </cell>
        </row>
        <row r="6471">
          <cell r="A6471" t="str">
            <v>2624GB47</v>
          </cell>
          <cell r="D6471" t="str">
            <v>KBP86</v>
          </cell>
          <cell r="E6471">
            <v>46212</v>
          </cell>
        </row>
        <row r="6472">
          <cell r="A6472" t="str">
            <v>2620GD57</v>
          </cell>
          <cell r="D6472" t="str">
            <v>TTS50</v>
          </cell>
          <cell r="E6472">
            <v>46212</v>
          </cell>
        </row>
        <row r="6473">
          <cell r="A6473" t="str">
            <v>2624CG17</v>
          </cell>
          <cell r="D6473" t="str">
            <v>KBP86</v>
          </cell>
          <cell r="E6473">
            <v>46212</v>
          </cell>
        </row>
        <row r="6474">
          <cell r="A6474" t="str">
            <v>2620BG47</v>
          </cell>
          <cell r="D6474" t="str">
            <v>TTS50</v>
          </cell>
          <cell r="E6474">
            <v>46212</v>
          </cell>
        </row>
        <row r="6475">
          <cell r="A6475" t="str">
            <v>2624PZ47</v>
          </cell>
          <cell r="D6475" t="str">
            <v>TTS80</v>
          </cell>
          <cell r="E6475">
            <v>46212</v>
          </cell>
        </row>
        <row r="6476">
          <cell r="A6476" t="str">
            <v>2624E517</v>
          </cell>
          <cell r="D6476" t="str">
            <v>TTS50</v>
          </cell>
          <cell r="E6476">
            <v>46212</v>
          </cell>
        </row>
        <row r="6477">
          <cell r="A6477" t="str">
            <v>2625QA17</v>
          </cell>
          <cell r="D6477" t="str">
            <v>FTP200</v>
          </cell>
          <cell r="E6477">
            <v>46212</v>
          </cell>
        </row>
        <row r="6478">
          <cell r="A6478" t="str">
            <v>2620JG27</v>
          </cell>
          <cell r="D6478" t="str">
            <v>TTS50</v>
          </cell>
          <cell r="E6478">
            <v>46212</v>
          </cell>
        </row>
        <row r="6479">
          <cell r="A6479" t="str">
            <v>2622QP37</v>
          </cell>
          <cell r="D6479" t="str">
            <v>KBP76</v>
          </cell>
          <cell r="E6479">
            <v>46212</v>
          </cell>
        </row>
        <row r="6480">
          <cell r="A6480" t="str">
            <v>2623JK37</v>
          </cell>
          <cell r="D6480" t="str">
            <v>TTS50</v>
          </cell>
          <cell r="E6480">
            <v>46212</v>
          </cell>
        </row>
        <row r="6481">
          <cell r="A6481" t="str">
            <v>2622BR67</v>
          </cell>
          <cell r="D6481" t="str">
            <v>KBP86</v>
          </cell>
          <cell r="E6481">
            <v>46212</v>
          </cell>
        </row>
        <row r="6482">
          <cell r="A6482" t="str">
            <v>2623JQ37</v>
          </cell>
          <cell r="D6482" t="str">
            <v>TTS50</v>
          </cell>
          <cell r="E6482">
            <v>46212</v>
          </cell>
        </row>
        <row r="6483">
          <cell r="A6483" t="str">
            <v>2622BH67</v>
          </cell>
          <cell r="D6483" t="str">
            <v>KBP86</v>
          </cell>
          <cell r="E6483">
            <v>46212</v>
          </cell>
        </row>
        <row r="6484">
          <cell r="A6484" t="str">
            <v>2623IR17</v>
          </cell>
          <cell r="D6484" t="str">
            <v>TTS50</v>
          </cell>
          <cell r="E6484">
            <v>46212</v>
          </cell>
        </row>
        <row r="6485">
          <cell r="A6485" t="str">
            <v>2626LL67</v>
          </cell>
          <cell r="D6485" t="str">
            <v>S15MB</v>
          </cell>
          <cell r="E6485">
            <v>46212</v>
          </cell>
        </row>
        <row r="6486">
          <cell r="A6486" t="str">
            <v>2623DI27</v>
          </cell>
          <cell r="D6486" t="str">
            <v>TTS50</v>
          </cell>
          <cell r="E6486">
            <v>46212</v>
          </cell>
        </row>
        <row r="6487">
          <cell r="A6487" t="str">
            <v>2619DF37</v>
          </cell>
          <cell r="D6487" t="str">
            <v>TTS50</v>
          </cell>
          <cell r="E6487">
            <v>46212</v>
          </cell>
        </row>
        <row r="6488">
          <cell r="A6488" t="str">
            <v>2624IA37</v>
          </cell>
          <cell r="D6488" t="str">
            <v>S805</v>
          </cell>
          <cell r="E6488">
            <v>46212</v>
          </cell>
        </row>
        <row r="6489">
          <cell r="A6489" t="str">
            <v>2623JE47</v>
          </cell>
          <cell r="D6489" t="str">
            <v>TTS50</v>
          </cell>
          <cell r="E6489">
            <v>46212</v>
          </cell>
        </row>
        <row r="6490">
          <cell r="A6490" t="str">
            <v>2625J517</v>
          </cell>
          <cell r="D6490" t="str">
            <v>S805</v>
          </cell>
          <cell r="E6490">
            <v>46212</v>
          </cell>
        </row>
        <row r="6491">
          <cell r="A6491" t="str">
            <v>2619S427</v>
          </cell>
          <cell r="D6491" t="str">
            <v>TTS50</v>
          </cell>
          <cell r="E6491">
            <v>46212</v>
          </cell>
        </row>
        <row r="6492">
          <cell r="A6492" t="str">
            <v>2625JE17</v>
          </cell>
          <cell r="D6492" t="str">
            <v>S805</v>
          </cell>
          <cell r="E6492">
            <v>46212</v>
          </cell>
        </row>
        <row r="6493">
          <cell r="A6493" t="str">
            <v>2623DL27</v>
          </cell>
          <cell r="D6493" t="str">
            <v>TTS50</v>
          </cell>
          <cell r="E6493">
            <v>46212</v>
          </cell>
        </row>
        <row r="6494">
          <cell r="A6494" t="str">
            <v>2624IC57</v>
          </cell>
          <cell r="D6494" t="str">
            <v>S805</v>
          </cell>
          <cell r="E6494">
            <v>46212</v>
          </cell>
        </row>
        <row r="6495">
          <cell r="A6495" t="str">
            <v>2619JN57</v>
          </cell>
          <cell r="D6495" t="str">
            <v>TTS50</v>
          </cell>
          <cell r="E6495">
            <v>46212</v>
          </cell>
        </row>
        <row r="6496">
          <cell r="A6496" t="str">
            <v>2621W757</v>
          </cell>
          <cell r="D6496" t="str">
            <v>S805</v>
          </cell>
          <cell r="E6496">
            <v>46212</v>
          </cell>
        </row>
        <row r="6497">
          <cell r="A6497" t="str">
            <v>2620JZ37</v>
          </cell>
          <cell r="D6497" t="str">
            <v>TTS50</v>
          </cell>
          <cell r="E6497">
            <v>46212</v>
          </cell>
        </row>
        <row r="6498">
          <cell r="A6498" t="str">
            <v>2622KZ17</v>
          </cell>
          <cell r="D6498" t="str">
            <v>S805</v>
          </cell>
          <cell r="E6498">
            <v>46212</v>
          </cell>
        </row>
        <row r="6499">
          <cell r="A6499" t="str">
            <v>2626SW37</v>
          </cell>
          <cell r="D6499" t="str">
            <v>KBP55</v>
          </cell>
          <cell r="E6499">
            <v>46212</v>
          </cell>
        </row>
        <row r="6500">
          <cell r="A6500" t="str">
            <v>2625KV27</v>
          </cell>
          <cell r="D6500" t="str">
            <v>S805</v>
          </cell>
          <cell r="E6500">
            <v>46212</v>
          </cell>
        </row>
        <row r="6501">
          <cell r="A6501" t="str">
            <v>2626SZ37</v>
          </cell>
          <cell r="D6501" t="str">
            <v>KBP55</v>
          </cell>
          <cell r="E6501">
            <v>46212</v>
          </cell>
        </row>
        <row r="6502">
          <cell r="A6502" t="str">
            <v>2625IM37</v>
          </cell>
          <cell r="D6502" t="str">
            <v>S805</v>
          </cell>
          <cell r="E6502">
            <v>46212</v>
          </cell>
        </row>
        <row r="6503">
          <cell r="A6503" t="str">
            <v>2626U237</v>
          </cell>
          <cell r="D6503" t="str">
            <v>KBP55</v>
          </cell>
          <cell r="E6503">
            <v>46212</v>
          </cell>
        </row>
        <row r="6504">
          <cell r="A6504" t="str">
            <v>2623II47</v>
          </cell>
          <cell r="D6504" t="str">
            <v>S805</v>
          </cell>
          <cell r="E6504">
            <v>46212</v>
          </cell>
        </row>
        <row r="6505">
          <cell r="A6505" t="str">
            <v>2625LY57</v>
          </cell>
          <cell r="D6505" t="str">
            <v>KBP55</v>
          </cell>
          <cell r="E6505">
            <v>46212</v>
          </cell>
        </row>
        <row r="6506">
          <cell r="A6506" t="str">
            <v>2620UU57</v>
          </cell>
          <cell r="D6506" t="str">
            <v>S805</v>
          </cell>
          <cell r="E6506">
            <v>46212</v>
          </cell>
        </row>
        <row r="6507">
          <cell r="A6507" t="str">
            <v>2625Q917</v>
          </cell>
          <cell r="D6507" t="str">
            <v>FTP200</v>
          </cell>
          <cell r="E6507">
            <v>46212</v>
          </cell>
        </row>
        <row r="6508">
          <cell r="A6508" t="str">
            <v>2625W557</v>
          </cell>
          <cell r="D6508" t="str">
            <v>S15MB</v>
          </cell>
          <cell r="E6508">
            <v>46212</v>
          </cell>
        </row>
        <row r="6509">
          <cell r="A6509" t="str">
            <v>2622VX57</v>
          </cell>
          <cell r="D6509" t="str">
            <v>TTS50</v>
          </cell>
          <cell r="E6509">
            <v>46212</v>
          </cell>
        </row>
        <row r="6510">
          <cell r="A6510" t="str">
            <v>2626SO37</v>
          </cell>
          <cell r="D6510" t="str">
            <v>STA156KA</v>
          </cell>
          <cell r="E6510">
            <v>46212</v>
          </cell>
        </row>
        <row r="6511">
          <cell r="A6511" t="str">
            <v>2620IT17</v>
          </cell>
          <cell r="D6511" t="str">
            <v>TTS50</v>
          </cell>
          <cell r="E6511">
            <v>46212</v>
          </cell>
        </row>
        <row r="6512">
          <cell r="A6512" t="str">
            <v>2626LK47</v>
          </cell>
          <cell r="D6512" t="str">
            <v>FTW121KE</v>
          </cell>
          <cell r="E6512">
            <v>46212</v>
          </cell>
        </row>
        <row r="6513">
          <cell r="A6513" t="str">
            <v>2625IQ37</v>
          </cell>
          <cell r="D6513" t="str">
            <v>S805</v>
          </cell>
          <cell r="E6513">
            <v>46212</v>
          </cell>
        </row>
        <row r="6514">
          <cell r="A6514" t="str">
            <v>2625P767</v>
          </cell>
          <cell r="D6514" t="str">
            <v>FTW121KE</v>
          </cell>
          <cell r="E6514">
            <v>46212</v>
          </cell>
        </row>
        <row r="6515">
          <cell r="A6515" t="str">
            <v>2625L947</v>
          </cell>
          <cell r="D6515" t="str">
            <v>STA156KA</v>
          </cell>
          <cell r="E6515">
            <v>46212</v>
          </cell>
        </row>
        <row r="6516">
          <cell r="A6516" t="str">
            <v>2626JQ17</v>
          </cell>
          <cell r="D6516" t="str">
            <v>FTW121KE</v>
          </cell>
          <cell r="E6516">
            <v>46212</v>
          </cell>
        </row>
        <row r="6517">
          <cell r="A6517" t="str">
            <v>2625EO67</v>
          </cell>
          <cell r="D6517" t="str">
            <v>KBP74</v>
          </cell>
          <cell r="E6517">
            <v>46212</v>
          </cell>
        </row>
        <row r="6518">
          <cell r="A6518" t="str">
            <v>2626HE57</v>
          </cell>
          <cell r="D6518" t="str">
            <v>FTW121KE</v>
          </cell>
          <cell r="E6518">
            <v>46212</v>
          </cell>
        </row>
        <row r="6519">
          <cell r="A6519" t="str">
            <v>2626KU37</v>
          </cell>
          <cell r="D6519" t="str">
            <v>FTW102K</v>
          </cell>
          <cell r="E6519">
            <v>46212</v>
          </cell>
        </row>
        <row r="6520">
          <cell r="A6520" t="str">
            <v>2626L437</v>
          </cell>
          <cell r="D6520" t="str">
            <v>FTW121KE</v>
          </cell>
          <cell r="E6520">
            <v>46212</v>
          </cell>
        </row>
        <row r="6521">
          <cell r="A6521" t="str">
            <v>2625AT67</v>
          </cell>
          <cell r="D6521" t="str">
            <v>KBP126</v>
          </cell>
          <cell r="E6521">
            <v>46212</v>
          </cell>
        </row>
        <row r="6522">
          <cell r="A6522" t="str">
            <v>2626JI67</v>
          </cell>
          <cell r="D6522" t="str">
            <v>FTW121KE</v>
          </cell>
          <cell r="E6522">
            <v>46212</v>
          </cell>
        </row>
        <row r="6523">
          <cell r="A6523" t="str">
            <v>2626UE57</v>
          </cell>
          <cell r="D6523" t="str">
            <v>FTW102K</v>
          </cell>
          <cell r="E6523">
            <v>46212</v>
          </cell>
        </row>
        <row r="6524">
          <cell r="A6524" t="str">
            <v>2625PH67</v>
          </cell>
          <cell r="D6524" t="str">
            <v>FTW121KE</v>
          </cell>
          <cell r="E6524">
            <v>46212</v>
          </cell>
        </row>
        <row r="6525">
          <cell r="A6525" t="str">
            <v>2626KM47</v>
          </cell>
          <cell r="D6525" t="str">
            <v>FTW102K</v>
          </cell>
          <cell r="E6525">
            <v>46212</v>
          </cell>
        </row>
        <row r="6526">
          <cell r="A6526" t="str">
            <v>2626KI27</v>
          </cell>
          <cell r="D6526" t="str">
            <v>FTW121KE</v>
          </cell>
          <cell r="E6526">
            <v>46212</v>
          </cell>
        </row>
        <row r="6527">
          <cell r="A6527" t="str">
            <v>2620WZ57</v>
          </cell>
          <cell r="D6527" t="str">
            <v>KBP52</v>
          </cell>
          <cell r="E6527">
            <v>46212</v>
          </cell>
        </row>
        <row r="6528">
          <cell r="A6528" t="str">
            <v>2626KT27</v>
          </cell>
          <cell r="D6528" t="str">
            <v>FTW121KE</v>
          </cell>
          <cell r="E6528">
            <v>46212</v>
          </cell>
        </row>
        <row r="6529">
          <cell r="A6529" t="str">
            <v>2609K537</v>
          </cell>
          <cell r="D6529" t="str">
            <v>KBP52</v>
          </cell>
          <cell r="E6529">
            <v>46212</v>
          </cell>
        </row>
        <row r="6530">
          <cell r="A6530" t="str">
            <v>2626LF47</v>
          </cell>
          <cell r="D6530" t="str">
            <v>FTW121KE</v>
          </cell>
          <cell r="E6530">
            <v>46212</v>
          </cell>
        </row>
        <row r="6531">
          <cell r="A6531" t="str">
            <v>2626KX27</v>
          </cell>
          <cell r="D6531" t="str">
            <v>FTW121KE</v>
          </cell>
          <cell r="E6531">
            <v>46212</v>
          </cell>
        </row>
        <row r="6532">
          <cell r="A6532" t="str">
            <v>2626VR57</v>
          </cell>
          <cell r="D6532" t="str">
            <v>FTW121KE</v>
          </cell>
          <cell r="E6532">
            <v>46212</v>
          </cell>
        </row>
        <row r="6533">
          <cell r="A6533" t="str">
            <v>2626K517</v>
          </cell>
          <cell r="D6533" t="str">
            <v>FTW121KE</v>
          </cell>
          <cell r="E6533">
            <v>46212</v>
          </cell>
        </row>
        <row r="6534">
          <cell r="A6534" t="str">
            <v>2626KW37</v>
          </cell>
          <cell r="D6534" t="str">
            <v>FTW121KE</v>
          </cell>
          <cell r="E6534">
            <v>46212</v>
          </cell>
        </row>
        <row r="6535">
          <cell r="A6535" t="str">
            <v>2626HL57</v>
          </cell>
          <cell r="D6535" t="str">
            <v>FTW121KE</v>
          </cell>
          <cell r="E6535">
            <v>46212</v>
          </cell>
        </row>
        <row r="6536">
          <cell r="A6536" t="str">
            <v>2623BH67</v>
          </cell>
          <cell r="D6536" t="str">
            <v>KBP86</v>
          </cell>
          <cell r="E6536">
            <v>46212</v>
          </cell>
        </row>
        <row r="6537">
          <cell r="A6537" t="str">
            <v>2626KD27</v>
          </cell>
          <cell r="D6537" t="str">
            <v>FTW121KE</v>
          </cell>
          <cell r="E6537">
            <v>46212</v>
          </cell>
        </row>
        <row r="6538">
          <cell r="A6538" t="str">
            <v>2624EF27</v>
          </cell>
          <cell r="D6538" t="str">
            <v>KBP86</v>
          </cell>
          <cell r="E6538">
            <v>46212</v>
          </cell>
        </row>
        <row r="6539">
          <cell r="A6539" t="str">
            <v>2626KU27</v>
          </cell>
          <cell r="D6539" t="str">
            <v>FTW121KE</v>
          </cell>
          <cell r="E6539">
            <v>46212</v>
          </cell>
        </row>
        <row r="6540">
          <cell r="A6540" t="str">
            <v>2626I847</v>
          </cell>
          <cell r="D6540" t="str">
            <v>KBP76</v>
          </cell>
          <cell r="E6540">
            <v>46212</v>
          </cell>
        </row>
        <row r="6541">
          <cell r="A6541" t="str">
            <v>2626KB27</v>
          </cell>
          <cell r="D6541" t="str">
            <v>FTW121KE</v>
          </cell>
          <cell r="E6541">
            <v>46212</v>
          </cell>
        </row>
        <row r="6542">
          <cell r="A6542" t="str">
            <v>2626IL27</v>
          </cell>
          <cell r="D6542" t="str">
            <v>KBP76</v>
          </cell>
          <cell r="E6542">
            <v>46212</v>
          </cell>
        </row>
        <row r="6543">
          <cell r="A6543" t="str">
            <v>2626L937</v>
          </cell>
          <cell r="D6543" t="str">
            <v>FTW121KE</v>
          </cell>
          <cell r="E6543">
            <v>46212</v>
          </cell>
        </row>
        <row r="6544">
          <cell r="A6544" t="str">
            <v>2625PR27</v>
          </cell>
          <cell r="D6544" t="str">
            <v>S706</v>
          </cell>
          <cell r="E6544">
            <v>46212</v>
          </cell>
        </row>
        <row r="6545">
          <cell r="A6545" t="str">
            <v>2626KZ37</v>
          </cell>
          <cell r="D6545" t="str">
            <v>FTW121KE</v>
          </cell>
          <cell r="E6545">
            <v>46212</v>
          </cell>
        </row>
        <row r="6546">
          <cell r="A6546" t="str">
            <v>2623HA67</v>
          </cell>
          <cell r="D6546" t="str">
            <v>KBP52</v>
          </cell>
          <cell r="E6546">
            <v>46212</v>
          </cell>
        </row>
        <row r="6547">
          <cell r="A6547" t="str">
            <v>2623KX37</v>
          </cell>
          <cell r="D6547" t="str">
            <v>FTW700</v>
          </cell>
          <cell r="E6547">
            <v>46212</v>
          </cell>
        </row>
        <row r="6548">
          <cell r="A6548" t="str">
            <v>2625OR17</v>
          </cell>
          <cell r="D6548" t="str">
            <v>KBP52</v>
          </cell>
          <cell r="E6548">
            <v>46212</v>
          </cell>
        </row>
        <row r="6549">
          <cell r="A6549" t="str">
            <v>2622WR57</v>
          </cell>
          <cell r="D6549" t="str">
            <v>FTW700</v>
          </cell>
          <cell r="E6549">
            <v>46212</v>
          </cell>
        </row>
        <row r="6550">
          <cell r="A6550" t="str">
            <v>2624EX67</v>
          </cell>
          <cell r="D6550" t="str">
            <v>KBP52</v>
          </cell>
          <cell r="E6550">
            <v>46212</v>
          </cell>
        </row>
        <row r="6551">
          <cell r="A6551" t="str">
            <v>2622WX57</v>
          </cell>
          <cell r="D6551" t="str">
            <v>FTW700</v>
          </cell>
          <cell r="E6551">
            <v>46212</v>
          </cell>
        </row>
        <row r="6552">
          <cell r="A6552" t="str">
            <v>2626IF47</v>
          </cell>
          <cell r="D6552" t="str">
            <v>KBP86</v>
          </cell>
          <cell r="E6552">
            <v>46212</v>
          </cell>
        </row>
        <row r="6553">
          <cell r="A6553" t="str">
            <v>2624JN57</v>
          </cell>
          <cell r="D6553" t="str">
            <v>FTP200</v>
          </cell>
          <cell r="E6553">
            <v>46212</v>
          </cell>
        </row>
        <row r="6554">
          <cell r="A6554" t="str">
            <v>2626F657</v>
          </cell>
          <cell r="D6554" t="str">
            <v>KBP86</v>
          </cell>
          <cell r="E6554">
            <v>46212</v>
          </cell>
        </row>
        <row r="6555">
          <cell r="A6555" t="str">
            <v>2626L127</v>
          </cell>
          <cell r="D6555" t="str">
            <v>FTP200</v>
          </cell>
          <cell r="E6555">
            <v>46212</v>
          </cell>
        </row>
        <row r="6556">
          <cell r="A6556" t="str">
            <v>2621S217</v>
          </cell>
          <cell r="D6556" t="str">
            <v>KBP86</v>
          </cell>
          <cell r="E6556">
            <v>46212</v>
          </cell>
        </row>
        <row r="6557">
          <cell r="A6557" t="str">
            <v>2624GL47</v>
          </cell>
          <cell r="D6557" t="str">
            <v>KBP86</v>
          </cell>
          <cell r="E6557">
            <v>46212</v>
          </cell>
        </row>
        <row r="6558">
          <cell r="A6558" t="str">
            <v>2622QL17</v>
          </cell>
          <cell r="D6558" t="str">
            <v>KBP86</v>
          </cell>
          <cell r="E6558">
            <v>46212</v>
          </cell>
        </row>
        <row r="6559">
          <cell r="A6559" t="str">
            <v>2624ER37</v>
          </cell>
          <cell r="D6559" t="str">
            <v>KBP86</v>
          </cell>
          <cell r="E6559">
            <v>46212</v>
          </cell>
        </row>
        <row r="6560">
          <cell r="A6560" t="str">
            <v>2626SI37</v>
          </cell>
          <cell r="D6560" t="str">
            <v>KBP52</v>
          </cell>
          <cell r="E6560">
            <v>46212</v>
          </cell>
        </row>
        <row r="6561">
          <cell r="A6561" t="str">
            <v>2624U557</v>
          </cell>
          <cell r="D6561" t="str">
            <v>KBP86</v>
          </cell>
          <cell r="E6561">
            <v>46212</v>
          </cell>
        </row>
        <row r="6562">
          <cell r="A6562" t="str">
            <v>2623CB67</v>
          </cell>
          <cell r="D6562" t="str">
            <v>KBP86</v>
          </cell>
          <cell r="E6562">
            <v>46212</v>
          </cell>
        </row>
        <row r="6563">
          <cell r="A6563" t="str">
            <v>2624ES37</v>
          </cell>
          <cell r="D6563" t="str">
            <v>KBP86</v>
          </cell>
          <cell r="E6563">
            <v>46212</v>
          </cell>
        </row>
        <row r="6564">
          <cell r="A6564" t="str">
            <v>2623CL67</v>
          </cell>
          <cell r="D6564" t="str">
            <v>KBP86</v>
          </cell>
          <cell r="E6564">
            <v>46212</v>
          </cell>
        </row>
        <row r="6565">
          <cell r="A6565" t="str">
            <v>2624ET37</v>
          </cell>
          <cell r="D6565" t="str">
            <v>KBP86</v>
          </cell>
          <cell r="E6565">
            <v>46212</v>
          </cell>
        </row>
        <row r="6566">
          <cell r="A6566" t="str">
            <v>2625I737</v>
          </cell>
          <cell r="D6566" t="str">
            <v>KBP86</v>
          </cell>
          <cell r="E6566">
            <v>46212</v>
          </cell>
        </row>
        <row r="6567">
          <cell r="A6567" t="str">
            <v>2623BA67</v>
          </cell>
          <cell r="D6567" t="str">
            <v>KBP86</v>
          </cell>
          <cell r="E6567">
            <v>46212</v>
          </cell>
        </row>
        <row r="6568">
          <cell r="A6568" t="str">
            <v>2624S437</v>
          </cell>
          <cell r="D6568" t="str">
            <v>KBP55</v>
          </cell>
          <cell r="E6568">
            <v>46212</v>
          </cell>
        </row>
        <row r="6569">
          <cell r="A6569" t="str">
            <v>2624CF17</v>
          </cell>
          <cell r="D6569" t="str">
            <v>KBP86</v>
          </cell>
          <cell r="E6569">
            <v>46212</v>
          </cell>
        </row>
        <row r="6570">
          <cell r="A6570" t="str">
            <v>2626US37</v>
          </cell>
          <cell r="D6570" t="str">
            <v>KBP86</v>
          </cell>
          <cell r="E6570">
            <v>46212</v>
          </cell>
        </row>
        <row r="6571">
          <cell r="A6571" t="str">
            <v>2626SJ37</v>
          </cell>
          <cell r="D6571" t="str">
            <v>KBP52</v>
          </cell>
          <cell r="E6571">
            <v>46212</v>
          </cell>
        </row>
        <row r="6572">
          <cell r="A6572" t="str">
            <v>2626UM37</v>
          </cell>
          <cell r="D6572" t="str">
            <v>KBP86</v>
          </cell>
          <cell r="E6572">
            <v>46212</v>
          </cell>
        </row>
        <row r="6573">
          <cell r="A6573" t="str">
            <v>2625DW67</v>
          </cell>
          <cell r="D6573" t="str">
            <v>KBP52</v>
          </cell>
          <cell r="E6573">
            <v>46212</v>
          </cell>
        </row>
        <row r="6574">
          <cell r="A6574" t="str">
            <v>2626UK37</v>
          </cell>
          <cell r="D6574" t="str">
            <v>TTS80</v>
          </cell>
          <cell r="E6574">
            <v>46212</v>
          </cell>
        </row>
        <row r="6575">
          <cell r="A6575" t="str">
            <v>2626QR27</v>
          </cell>
          <cell r="D6575" t="str">
            <v>KBP76</v>
          </cell>
          <cell r="E6575">
            <v>46212</v>
          </cell>
        </row>
        <row r="6576">
          <cell r="A6576" t="str">
            <v>2626OR67</v>
          </cell>
          <cell r="D6576" t="str">
            <v>TTS80</v>
          </cell>
          <cell r="E6576">
            <v>46212</v>
          </cell>
        </row>
        <row r="6577">
          <cell r="A6577" t="str">
            <v>2626L267</v>
          </cell>
          <cell r="D6577" t="str">
            <v>KBP76</v>
          </cell>
          <cell r="E6577">
            <v>46212</v>
          </cell>
        </row>
        <row r="6578">
          <cell r="A6578" t="str">
            <v>2626PZ17</v>
          </cell>
          <cell r="D6578" t="str">
            <v>TTS80</v>
          </cell>
          <cell r="E6578">
            <v>46212</v>
          </cell>
        </row>
        <row r="6579">
          <cell r="A6579" t="str">
            <v>2625ED67</v>
          </cell>
          <cell r="D6579" t="str">
            <v>KBP76</v>
          </cell>
          <cell r="E6579">
            <v>46212</v>
          </cell>
        </row>
        <row r="6580">
          <cell r="A6580" t="str">
            <v>2625SU67</v>
          </cell>
          <cell r="D6580" t="str">
            <v>TTS80</v>
          </cell>
          <cell r="E6580">
            <v>46212</v>
          </cell>
        </row>
        <row r="6581">
          <cell r="A6581" t="str">
            <v>2626QJ27</v>
          </cell>
          <cell r="D6581" t="str">
            <v>KBP76</v>
          </cell>
          <cell r="E6581">
            <v>46212</v>
          </cell>
        </row>
        <row r="6582">
          <cell r="A6582" t="str">
            <v>2626UJ37</v>
          </cell>
          <cell r="D6582" t="str">
            <v>TTS80</v>
          </cell>
          <cell r="E6582">
            <v>46212</v>
          </cell>
        </row>
        <row r="6583">
          <cell r="A6583" t="str">
            <v>2626QO37</v>
          </cell>
          <cell r="D6583" t="str">
            <v>KBP76</v>
          </cell>
          <cell r="E6583">
            <v>46212</v>
          </cell>
        </row>
        <row r="6584">
          <cell r="A6584" t="str">
            <v>2626SG27</v>
          </cell>
          <cell r="D6584" t="str">
            <v>TTS80</v>
          </cell>
          <cell r="E6584">
            <v>46212</v>
          </cell>
        </row>
        <row r="6585">
          <cell r="A6585" t="str">
            <v>2626ID57</v>
          </cell>
          <cell r="D6585" t="str">
            <v>FTP200</v>
          </cell>
          <cell r="E6585">
            <v>46212</v>
          </cell>
        </row>
        <row r="6586">
          <cell r="A6586" t="str">
            <v>2626OQ67</v>
          </cell>
          <cell r="D6586" t="str">
            <v>TTS80</v>
          </cell>
          <cell r="E6586">
            <v>46212</v>
          </cell>
        </row>
        <row r="6587">
          <cell r="A6587" t="str">
            <v>2626IC57</v>
          </cell>
          <cell r="D6587" t="str">
            <v>FTP200</v>
          </cell>
          <cell r="E6587">
            <v>46212</v>
          </cell>
        </row>
        <row r="6588">
          <cell r="A6588" t="str">
            <v>2626I957</v>
          </cell>
          <cell r="D6588" t="str">
            <v>FTP200</v>
          </cell>
          <cell r="E6588">
            <v>46212</v>
          </cell>
        </row>
        <row r="6589">
          <cell r="A6589" t="str">
            <v>2626LV67</v>
          </cell>
          <cell r="D6589" t="str">
            <v>TTS40</v>
          </cell>
          <cell r="E6589">
            <v>46212</v>
          </cell>
        </row>
        <row r="6590">
          <cell r="A6590" t="str">
            <v>2626LZ67</v>
          </cell>
          <cell r="D6590" t="str">
            <v>TTS40</v>
          </cell>
          <cell r="E6590">
            <v>46212</v>
          </cell>
        </row>
        <row r="6591">
          <cell r="A6591" t="str">
            <v>2626LY67</v>
          </cell>
          <cell r="D6591" t="str">
            <v>TTS40</v>
          </cell>
          <cell r="E6591">
            <v>46212</v>
          </cell>
        </row>
        <row r="6592">
          <cell r="A6592" t="str">
            <v>2624WG57</v>
          </cell>
          <cell r="D6592" t="str">
            <v>KBP86</v>
          </cell>
          <cell r="E6592">
            <v>46212</v>
          </cell>
        </row>
        <row r="6593">
          <cell r="A6593" t="str">
            <v>2626O867</v>
          </cell>
          <cell r="D6593" t="str">
            <v>TTS80</v>
          </cell>
          <cell r="E6593">
            <v>46212</v>
          </cell>
        </row>
        <row r="6594">
          <cell r="A6594" t="str">
            <v>2626OX67</v>
          </cell>
          <cell r="D6594" t="str">
            <v>TTS80</v>
          </cell>
          <cell r="E6594">
            <v>46212</v>
          </cell>
        </row>
        <row r="6595">
          <cell r="A6595" t="str">
            <v>2625G467</v>
          </cell>
          <cell r="D6595" t="str">
            <v>TTS80</v>
          </cell>
          <cell r="E6595">
            <v>46212</v>
          </cell>
        </row>
        <row r="6596">
          <cell r="A6596" t="str">
            <v>2626OB67</v>
          </cell>
          <cell r="D6596" t="str">
            <v>TTS80</v>
          </cell>
          <cell r="E6596">
            <v>46212</v>
          </cell>
        </row>
        <row r="6597">
          <cell r="A6597" t="str">
            <v>2625GK67</v>
          </cell>
          <cell r="D6597" t="str">
            <v>TTS80</v>
          </cell>
          <cell r="E6597">
            <v>46212</v>
          </cell>
        </row>
        <row r="6598">
          <cell r="A6598" t="str">
            <v>2620CZ67</v>
          </cell>
          <cell r="D6598" t="str">
            <v>KBP74</v>
          </cell>
          <cell r="E6598">
            <v>46212</v>
          </cell>
        </row>
        <row r="6599">
          <cell r="A6599" t="str">
            <v>2626LS67</v>
          </cell>
          <cell r="D6599" t="str">
            <v>KBP55</v>
          </cell>
          <cell r="E6599">
            <v>46212</v>
          </cell>
        </row>
        <row r="6600">
          <cell r="A6600" t="str">
            <v>2626O547</v>
          </cell>
          <cell r="D6600" t="str">
            <v>KBP86</v>
          </cell>
          <cell r="E6600">
            <v>46212</v>
          </cell>
        </row>
        <row r="6601">
          <cell r="A6601" t="str">
            <v>2626O247</v>
          </cell>
          <cell r="D6601" t="str">
            <v>KBP86</v>
          </cell>
          <cell r="E6601">
            <v>46212</v>
          </cell>
        </row>
        <row r="6602">
          <cell r="A6602" t="str">
            <v>2626K717</v>
          </cell>
          <cell r="D6602" t="str">
            <v>KBP86</v>
          </cell>
          <cell r="E6602">
            <v>46212</v>
          </cell>
        </row>
        <row r="6603">
          <cell r="A6603" t="str">
            <v>2626HY57</v>
          </cell>
          <cell r="D6603" t="str">
            <v>KBP86</v>
          </cell>
          <cell r="E6603">
            <v>46212</v>
          </cell>
        </row>
        <row r="6604">
          <cell r="A6604" t="str">
            <v>2626L427</v>
          </cell>
          <cell r="D6604" t="str">
            <v>KBP86</v>
          </cell>
          <cell r="E6604">
            <v>46212</v>
          </cell>
        </row>
        <row r="6605">
          <cell r="A6605" t="str">
            <v>2626L327</v>
          </cell>
          <cell r="D6605" t="str">
            <v>KBP86</v>
          </cell>
          <cell r="E6605">
            <v>46212</v>
          </cell>
        </row>
        <row r="6606">
          <cell r="A6606" t="str">
            <v>2626L227</v>
          </cell>
          <cell r="D6606" t="str">
            <v>KBP86</v>
          </cell>
          <cell r="E6606">
            <v>46212</v>
          </cell>
        </row>
        <row r="6607">
          <cell r="A6607" t="str">
            <v>2625KU47</v>
          </cell>
          <cell r="D6607" t="str">
            <v>S706</v>
          </cell>
          <cell r="E6607">
            <v>46212</v>
          </cell>
        </row>
        <row r="6608">
          <cell r="A6608" t="str">
            <v>2626PT37</v>
          </cell>
          <cell r="D6608" t="str">
            <v>S706</v>
          </cell>
          <cell r="E6608">
            <v>46212</v>
          </cell>
        </row>
        <row r="6609">
          <cell r="A6609" t="str">
            <v>2626Q637</v>
          </cell>
          <cell r="D6609" t="str">
            <v>S706</v>
          </cell>
          <cell r="E6609">
            <v>46212</v>
          </cell>
        </row>
        <row r="6610">
          <cell r="A6610" t="str">
            <v>2626PB27</v>
          </cell>
          <cell r="D6610" t="str">
            <v>S706</v>
          </cell>
          <cell r="E6610">
            <v>46212</v>
          </cell>
        </row>
        <row r="6611">
          <cell r="A6611" t="str">
            <v>2626O717</v>
          </cell>
          <cell r="D6611" t="str">
            <v>S706</v>
          </cell>
          <cell r="E6611">
            <v>46212</v>
          </cell>
        </row>
        <row r="6612">
          <cell r="A6612" t="str">
            <v>2625L757</v>
          </cell>
          <cell r="D6612" t="str">
            <v>S706</v>
          </cell>
          <cell r="E6612">
            <v>46212</v>
          </cell>
        </row>
        <row r="6613">
          <cell r="A6613" t="str">
            <v>2625KW47</v>
          </cell>
          <cell r="D6613" t="str">
            <v>S706</v>
          </cell>
          <cell r="E6613">
            <v>46212</v>
          </cell>
        </row>
        <row r="6614">
          <cell r="A6614" t="str">
            <v>2613Y257</v>
          </cell>
          <cell r="D6614" t="str">
            <v>S706</v>
          </cell>
          <cell r="E6614">
            <v>46212</v>
          </cell>
        </row>
        <row r="6615">
          <cell r="A6615" t="str">
            <v>2625KD57</v>
          </cell>
          <cell r="D6615" t="str">
            <v>S706</v>
          </cell>
          <cell r="E6615">
            <v>46212</v>
          </cell>
        </row>
        <row r="6616">
          <cell r="A6616" t="str">
            <v>2613ZR57</v>
          </cell>
          <cell r="D6616" t="str">
            <v>S706</v>
          </cell>
          <cell r="E6616">
            <v>46212</v>
          </cell>
        </row>
        <row r="6617">
          <cell r="A6617" t="str">
            <v>2625PW27</v>
          </cell>
          <cell r="D6617" t="str">
            <v>S706</v>
          </cell>
          <cell r="E6617">
            <v>46212</v>
          </cell>
        </row>
        <row r="6618">
          <cell r="A6618" t="str">
            <v>2625KF57</v>
          </cell>
          <cell r="D6618" t="str">
            <v>S706</v>
          </cell>
          <cell r="E6618">
            <v>46212</v>
          </cell>
        </row>
        <row r="6619">
          <cell r="A6619" t="str">
            <v>2625Q227</v>
          </cell>
          <cell r="D6619" t="str">
            <v>S706</v>
          </cell>
          <cell r="E6619">
            <v>46212</v>
          </cell>
        </row>
        <row r="6620">
          <cell r="A6620" t="str">
            <v>2614YU47</v>
          </cell>
          <cell r="D6620" t="str">
            <v>S706</v>
          </cell>
          <cell r="E6620">
            <v>46212</v>
          </cell>
        </row>
        <row r="6621">
          <cell r="A6621" t="str">
            <v>2625P827</v>
          </cell>
          <cell r="D6621" t="str">
            <v>KBP86</v>
          </cell>
          <cell r="E6621">
            <v>46212</v>
          </cell>
        </row>
        <row r="6622">
          <cell r="A6622" t="str">
            <v>2621KO37</v>
          </cell>
          <cell r="D6622" t="str">
            <v>KBP86</v>
          </cell>
          <cell r="E6622">
            <v>46212</v>
          </cell>
        </row>
        <row r="6623">
          <cell r="A6623" t="str">
            <v>2621JK27</v>
          </cell>
          <cell r="D6623" t="str">
            <v>KBP86</v>
          </cell>
          <cell r="E6623">
            <v>46212</v>
          </cell>
        </row>
        <row r="6624">
          <cell r="A6624" t="str">
            <v>2620CZ67</v>
          </cell>
          <cell r="D6624" t="str">
            <v>KBP74</v>
          </cell>
          <cell r="E6624">
            <v>46212</v>
          </cell>
        </row>
        <row r="6625">
          <cell r="A6625" t="str">
            <v>2620BB47</v>
          </cell>
          <cell r="D6625" t="str">
            <v>TTS50</v>
          </cell>
          <cell r="E6625">
            <v>46211</v>
          </cell>
        </row>
        <row r="6626">
          <cell r="A6626" t="str">
            <v>2625L717</v>
          </cell>
          <cell r="D6626" t="str">
            <v>KBP126</v>
          </cell>
          <cell r="E6626">
            <v>46211</v>
          </cell>
        </row>
        <row r="6627">
          <cell r="A6627" t="str">
            <v>2619BF47</v>
          </cell>
          <cell r="D6627" t="str">
            <v>TTS50</v>
          </cell>
          <cell r="E6627">
            <v>46211</v>
          </cell>
        </row>
        <row r="6628">
          <cell r="A6628" t="str">
            <v>2611Z727</v>
          </cell>
          <cell r="D6628" t="str">
            <v>KBP86</v>
          </cell>
          <cell r="E6628">
            <v>46211</v>
          </cell>
        </row>
        <row r="6629">
          <cell r="A6629" t="str">
            <v>2619SB27</v>
          </cell>
          <cell r="D6629" t="str">
            <v>TTS50</v>
          </cell>
          <cell r="E6629">
            <v>46211</v>
          </cell>
        </row>
        <row r="6630">
          <cell r="A6630" t="str">
            <v>2622WF57</v>
          </cell>
          <cell r="D6630" t="str">
            <v>TTS50</v>
          </cell>
          <cell r="E6630">
            <v>46211</v>
          </cell>
        </row>
        <row r="6631">
          <cell r="A6631" t="str">
            <v>2623IS17</v>
          </cell>
          <cell r="D6631" t="str">
            <v>TTS50</v>
          </cell>
          <cell r="E6631">
            <v>46211</v>
          </cell>
        </row>
        <row r="6632">
          <cell r="A6632" t="str">
            <v>2623Z647</v>
          </cell>
          <cell r="D6632" t="str">
            <v>S15MB</v>
          </cell>
          <cell r="E6632">
            <v>46211</v>
          </cell>
        </row>
        <row r="6633">
          <cell r="A6633" t="str">
            <v>2623JO47</v>
          </cell>
          <cell r="D6633" t="str">
            <v>TTS50</v>
          </cell>
          <cell r="E6633">
            <v>46211</v>
          </cell>
        </row>
        <row r="6634">
          <cell r="A6634" t="str">
            <v>2626KN27</v>
          </cell>
          <cell r="D6634" t="str">
            <v>FTW121KE</v>
          </cell>
          <cell r="E6634">
            <v>46211</v>
          </cell>
        </row>
        <row r="6635">
          <cell r="A6635" t="str">
            <v>2623DO67</v>
          </cell>
          <cell r="D6635" t="str">
            <v>TTS50</v>
          </cell>
          <cell r="E6635">
            <v>46211</v>
          </cell>
        </row>
        <row r="6636">
          <cell r="A6636" t="str">
            <v>2623Z647</v>
          </cell>
          <cell r="D6636" t="str">
            <v>S15MB</v>
          </cell>
          <cell r="E6636">
            <v>46211</v>
          </cell>
        </row>
        <row r="6637">
          <cell r="A6637" t="str">
            <v>2619DY37</v>
          </cell>
          <cell r="D6637" t="str">
            <v>TTS50</v>
          </cell>
          <cell r="E6637">
            <v>46211</v>
          </cell>
        </row>
        <row r="6638">
          <cell r="A6638" t="str">
            <v>2624YH57</v>
          </cell>
          <cell r="D6638" t="str">
            <v>TTS80</v>
          </cell>
          <cell r="E6638">
            <v>46211</v>
          </cell>
        </row>
        <row r="6639">
          <cell r="A6639" t="str">
            <v>2619DN37</v>
          </cell>
          <cell r="D6639" t="str">
            <v>TTS50</v>
          </cell>
          <cell r="E6639">
            <v>46211</v>
          </cell>
        </row>
        <row r="6640">
          <cell r="A6640" t="str">
            <v>2626L737</v>
          </cell>
          <cell r="D6640" t="str">
            <v>FTW121KE</v>
          </cell>
          <cell r="E6640">
            <v>46211</v>
          </cell>
        </row>
        <row r="6641">
          <cell r="A6641" t="str">
            <v>2623JN47</v>
          </cell>
          <cell r="D6641" t="str">
            <v>TTS50</v>
          </cell>
          <cell r="E6641">
            <v>46211</v>
          </cell>
        </row>
        <row r="6642">
          <cell r="A6642" t="str">
            <v>2624ZA17</v>
          </cell>
          <cell r="D6642" t="str">
            <v>TTS80</v>
          </cell>
          <cell r="E6642">
            <v>46211</v>
          </cell>
        </row>
        <row r="6643">
          <cell r="A6643" t="str">
            <v>2619DL37</v>
          </cell>
          <cell r="D6643" t="str">
            <v>TTS50</v>
          </cell>
          <cell r="E6643">
            <v>46211</v>
          </cell>
        </row>
        <row r="6644">
          <cell r="A6644" t="str">
            <v>2626L447</v>
          </cell>
          <cell r="D6644" t="str">
            <v>FTW121KE</v>
          </cell>
          <cell r="E6644">
            <v>46211</v>
          </cell>
        </row>
        <row r="6645">
          <cell r="A6645" t="str">
            <v>2619DW37</v>
          </cell>
          <cell r="D6645" t="str">
            <v>TTS50</v>
          </cell>
          <cell r="E6645">
            <v>46211</v>
          </cell>
        </row>
        <row r="6646">
          <cell r="A6646" t="str">
            <v>2625D267</v>
          </cell>
          <cell r="D6646" t="str">
            <v>S706</v>
          </cell>
          <cell r="E6646">
            <v>46211</v>
          </cell>
        </row>
        <row r="6647">
          <cell r="A6647" t="str">
            <v>2624BH67</v>
          </cell>
          <cell r="D6647" t="str">
            <v>S805</v>
          </cell>
          <cell r="E6647">
            <v>46211</v>
          </cell>
        </row>
        <row r="6648">
          <cell r="A6648" t="str">
            <v>2626JR17</v>
          </cell>
          <cell r="D6648" t="str">
            <v>FTW121KE</v>
          </cell>
          <cell r="E6648">
            <v>46211</v>
          </cell>
        </row>
        <row r="6649">
          <cell r="A6649" t="str">
            <v>2625A467</v>
          </cell>
          <cell r="D6649" t="str">
            <v>S805</v>
          </cell>
          <cell r="E6649">
            <v>46211</v>
          </cell>
        </row>
        <row r="6650">
          <cell r="A6650" t="str">
            <v>2626PS37</v>
          </cell>
          <cell r="D6650" t="str">
            <v>S706</v>
          </cell>
          <cell r="E6650">
            <v>46211</v>
          </cell>
        </row>
        <row r="6651">
          <cell r="A6651" t="str">
            <v>2625KT27</v>
          </cell>
          <cell r="D6651" t="str">
            <v>S805</v>
          </cell>
          <cell r="E6651">
            <v>46211</v>
          </cell>
        </row>
        <row r="6652">
          <cell r="A6652" t="str">
            <v>2626LJ47</v>
          </cell>
          <cell r="D6652" t="str">
            <v>FTW121KE</v>
          </cell>
          <cell r="E6652">
            <v>46211</v>
          </cell>
        </row>
        <row r="6653">
          <cell r="A6653" t="str">
            <v>2625J917</v>
          </cell>
          <cell r="D6653" t="str">
            <v>S805</v>
          </cell>
          <cell r="E6653">
            <v>46211</v>
          </cell>
        </row>
        <row r="6654">
          <cell r="A6654" t="str">
            <v>2626QA37</v>
          </cell>
          <cell r="D6654" t="str">
            <v>S706</v>
          </cell>
          <cell r="E6654">
            <v>46211</v>
          </cell>
        </row>
        <row r="6655">
          <cell r="A6655" t="str">
            <v>2625A567</v>
          </cell>
          <cell r="D6655" t="str">
            <v>S805</v>
          </cell>
          <cell r="E6655">
            <v>46211</v>
          </cell>
        </row>
        <row r="6656">
          <cell r="A6656" t="str">
            <v>2623K717</v>
          </cell>
          <cell r="D6656" t="str">
            <v>FTW700</v>
          </cell>
          <cell r="E6656">
            <v>46211</v>
          </cell>
        </row>
        <row r="6657">
          <cell r="A6657" t="str">
            <v>2625KX27</v>
          </cell>
          <cell r="D6657" t="str">
            <v>S805</v>
          </cell>
          <cell r="E6657">
            <v>46211</v>
          </cell>
        </row>
        <row r="6658">
          <cell r="A6658" t="str">
            <v>2626PR37</v>
          </cell>
          <cell r="D6658" t="str">
            <v>S706</v>
          </cell>
          <cell r="E6658">
            <v>46211</v>
          </cell>
        </row>
        <row r="6659">
          <cell r="A6659" t="str">
            <v>2625A867</v>
          </cell>
          <cell r="D6659" t="str">
            <v>S805</v>
          </cell>
          <cell r="E6659">
            <v>46211</v>
          </cell>
        </row>
        <row r="6660">
          <cell r="A6660" t="str">
            <v>2622LP17</v>
          </cell>
          <cell r="D6660" t="str">
            <v>FTW700</v>
          </cell>
          <cell r="E6660">
            <v>46211</v>
          </cell>
        </row>
        <row r="6661">
          <cell r="A6661" t="str">
            <v>2625LQ57</v>
          </cell>
          <cell r="D6661" t="str">
            <v>STA156KA</v>
          </cell>
          <cell r="E6661">
            <v>46211</v>
          </cell>
        </row>
        <row r="6662">
          <cell r="A6662" t="str">
            <v>2626QE37</v>
          </cell>
          <cell r="D6662" t="str">
            <v>S706</v>
          </cell>
          <cell r="E6662">
            <v>46211</v>
          </cell>
        </row>
        <row r="6663">
          <cell r="A6663" t="str">
            <v>2625EK67</v>
          </cell>
          <cell r="D6663" t="str">
            <v>STA156KA</v>
          </cell>
          <cell r="E6663">
            <v>46211</v>
          </cell>
        </row>
        <row r="6664">
          <cell r="A6664" t="str">
            <v>2623KA17</v>
          </cell>
          <cell r="D6664" t="str">
            <v>FTW700</v>
          </cell>
          <cell r="E6664">
            <v>46211</v>
          </cell>
        </row>
        <row r="6665">
          <cell r="A6665" t="str">
            <v>2626QU27</v>
          </cell>
          <cell r="D6665" t="str">
            <v>STA156KA</v>
          </cell>
          <cell r="E6665">
            <v>46211</v>
          </cell>
        </row>
        <row r="6666">
          <cell r="A6666" t="str">
            <v>2626O917</v>
          </cell>
          <cell r="D6666" t="str">
            <v>S706</v>
          </cell>
          <cell r="E6666">
            <v>46211</v>
          </cell>
        </row>
        <row r="6667">
          <cell r="A6667" t="str">
            <v>2626K927</v>
          </cell>
          <cell r="D6667" t="str">
            <v>FTW102K</v>
          </cell>
          <cell r="E6667">
            <v>46211</v>
          </cell>
        </row>
        <row r="6668">
          <cell r="A6668" t="str">
            <v>2612HO47</v>
          </cell>
          <cell r="D6668" t="str">
            <v>KBP76</v>
          </cell>
          <cell r="E6668">
            <v>46211</v>
          </cell>
        </row>
        <row r="6669">
          <cell r="A6669" t="str">
            <v>2626L847</v>
          </cell>
          <cell r="D6669" t="str">
            <v>FTW121KE</v>
          </cell>
          <cell r="E6669">
            <v>46211</v>
          </cell>
        </row>
        <row r="6670">
          <cell r="A6670" t="str">
            <v>2626Q647</v>
          </cell>
          <cell r="D6670" t="str">
            <v>S706</v>
          </cell>
          <cell r="E6670">
            <v>46211</v>
          </cell>
        </row>
        <row r="6671">
          <cell r="A6671" t="str">
            <v>2626LB37</v>
          </cell>
          <cell r="D6671" t="str">
            <v>FTW121KE</v>
          </cell>
          <cell r="E6671">
            <v>46211</v>
          </cell>
        </row>
        <row r="6672">
          <cell r="A6672" t="str">
            <v>2625HY37</v>
          </cell>
          <cell r="D6672" t="str">
            <v>KBP76</v>
          </cell>
          <cell r="E6672">
            <v>46211</v>
          </cell>
        </row>
        <row r="6673">
          <cell r="A6673" t="str">
            <v>2625PC67</v>
          </cell>
          <cell r="D6673" t="str">
            <v>FTW121KE</v>
          </cell>
          <cell r="E6673">
            <v>46211</v>
          </cell>
        </row>
        <row r="6674">
          <cell r="A6674" t="str">
            <v>2626PO27</v>
          </cell>
          <cell r="D6674" t="str">
            <v>S706</v>
          </cell>
          <cell r="E6674">
            <v>46211</v>
          </cell>
        </row>
        <row r="6675">
          <cell r="A6675" t="str">
            <v>2626LD37</v>
          </cell>
          <cell r="D6675" t="str">
            <v>FTW121KE</v>
          </cell>
          <cell r="E6675">
            <v>46211</v>
          </cell>
        </row>
        <row r="6676">
          <cell r="A6676" t="str">
            <v>2623BR67</v>
          </cell>
          <cell r="D6676" t="str">
            <v>KBP86</v>
          </cell>
          <cell r="E6676">
            <v>46211</v>
          </cell>
        </row>
        <row r="6677">
          <cell r="A6677" t="str">
            <v>2626JY17</v>
          </cell>
          <cell r="D6677" t="str">
            <v>FTW121KE</v>
          </cell>
          <cell r="E6677">
            <v>46211</v>
          </cell>
        </row>
        <row r="6678">
          <cell r="A6678" t="str">
            <v>2626QI47</v>
          </cell>
          <cell r="D6678" t="str">
            <v>S706</v>
          </cell>
          <cell r="E6678">
            <v>46211</v>
          </cell>
        </row>
        <row r="6679">
          <cell r="A6679" t="str">
            <v>2626L337</v>
          </cell>
          <cell r="D6679" t="str">
            <v>FTW121KE</v>
          </cell>
          <cell r="E6679">
            <v>46211</v>
          </cell>
        </row>
        <row r="6680">
          <cell r="A6680" t="str">
            <v>2624EE27</v>
          </cell>
          <cell r="D6680" t="str">
            <v>KBP86</v>
          </cell>
          <cell r="E6680">
            <v>46211</v>
          </cell>
        </row>
        <row r="6681">
          <cell r="A6681" t="str">
            <v>2626L837</v>
          </cell>
          <cell r="D6681" t="str">
            <v>FTW121KE</v>
          </cell>
          <cell r="E6681">
            <v>46211</v>
          </cell>
        </row>
        <row r="6682">
          <cell r="A6682" t="str">
            <v>2625QW27</v>
          </cell>
          <cell r="D6682" t="str">
            <v>S706</v>
          </cell>
          <cell r="E6682">
            <v>46211</v>
          </cell>
        </row>
        <row r="6683">
          <cell r="A6683" t="str">
            <v>2626L947</v>
          </cell>
          <cell r="D6683" t="str">
            <v>FTW121KE</v>
          </cell>
          <cell r="E6683">
            <v>46211</v>
          </cell>
        </row>
        <row r="6684">
          <cell r="A6684" t="str">
            <v>2624J227</v>
          </cell>
          <cell r="D6684" t="str">
            <v>TTS50</v>
          </cell>
          <cell r="E6684">
            <v>46211</v>
          </cell>
        </row>
        <row r="6685">
          <cell r="A6685" t="str">
            <v>2626L137</v>
          </cell>
          <cell r="D6685" t="str">
            <v>FTW121KE</v>
          </cell>
          <cell r="E6685">
            <v>46211</v>
          </cell>
        </row>
        <row r="6686">
          <cell r="A6686" t="str">
            <v>2625KP47</v>
          </cell>
          <cell r="D6686" t="str">
            <v>S706</v>
          </cell>
          <cell r="E6686">
            <v>46211</v>
          </cell>
        </row>
        <row r="6687">
          <cell r="A6687" t="str">
            <v>2626KF27</v>
          </cell>
          <cell r="D6687" t="str">
            <v>FTW121KE</v>
          </cell>
          <cell r="E6687">
            <v>46211</v>
          </cell>
        </row>
        <row r="6688">
          <cell r="A6688" t="str">
            <v>2623F527</v>
          </cell>
          <cell r="D6688" t="str">
            <v>TTS50</v>
          </cell>
          <cell r="E6688">
            <v>46211</v>
          </cell>
        </row>
        <row r="6689">
          <cell r="A6689" t="str">
            <v>2624ED27</v>
          </cell>
          <cell r="D6689" t="str">
            <v>KBP86</v>
          </cell>
          <cell r="E6689">
            <v>46211</v>
          </cell>
        </row>
        <row r="6690">
          <cell r="A6690" t="str">
            <v>2624L427</v>
          </cell>
          <cell r="D6690" t="str">
            <v>KBP52</v>
          </cell>
          <cell r="E6690">
            <v>46211</v>
          </cell>
        </row>
        <row r="6691">
          <cell r="A6691" t="str">
            <v>2623BS67</v>
          </cell>
          <cell r="D6691" t="str">
            <v>KBP86</v>
          </cell>
          <cell r="E6691">
            <v>46211</v>
          </cell>
        </row>
        <row r="6692">
          <cell r="A6692" t="str">
            <v>2625O267</v>
          </cell>
          <cell r="D6692" t="str">
            <v>KBP76</v>
          </cell>
          <cell r="E6692">
            <v>46211</v>
          </cell>
        </row>
        <row r="6693">
          <cell r="A6693" t="str">
            <v>2623B867</v>
          </cell>
          <cell r="D6693" t="str">
            <v>KBP86</v>
          </cell>
          <cell r="E6693">
            <v>46211</v>
          </cell>
        </row>
        <row r="6694">
          <cell r="A6694" t="str">
            <v>2626LJ67</v>
          </cell>
          <cell r="D6694" t="str">
            <v>S15MB</v>
          </cell>
          <cell r="E6694">
            <v>46211</v>
          </cell>
        </row>
        <row r="6695">
          <cell r="A6695" t="str">
            <v>2623BP67</v>
          </cell>
          <cell r="D6695" t="str">
            <v>KBP86</v>
          </cell>
          <cell r="E6695">
            <v>46211</v>
          </cell>
        </row>
        <row r="6696">
          <cell r="A6696" t="str">
            <v>2625O767</v>
          </cell>
          <cell r="D6696" t="str">
            <v>KBP76</v>
          </cell>
          <cell r="E6696">
            <v>46211</v>
          </cell>
        </row>
        <row r="6697">
          <cell r="A6697" t="str">
            <v>2625LW67</v>
          </cell>
          <cell r="D6697" t="str">
            <v>KBP76</v>
          </cell>
          <cell r="E6697">
            <v>46211</v>
          </cell>
        </row>
        <row r="6698">
          <cell r="A6698" t="str">
            <v>2624FG60</v>
          </cell>
          <cell r="D6698" t="str">
            <v>STA200KA</v>
          </cell>
          <cell r="E6698">
            <v>46211</v>
          </cell>
        </row>
        <row r="6699">
          <cell r="A6699" t="str">
            <v>2625HZ47</v>
          </cell>
          <cell r="D6699" t="str">
            <v>KBP126</v>
          </cell>
          <cell r="E6699">
            <v>46211</v>
          </cell>
        </row>
        <row r="6700">
          <cell r="A6700" t="str">
            <v>2626J747</v>
          </cell>
          <cell r="D6700" t="str">
            <v>FTP150</v>
          </cell>
          <cell r="E6700">
            <v>46211</v>
          </cell>
        </row>
        <row r="6701">
          <cell r="A6701" t="str">
            <v>2625CM67</v>
          </cell>
          <cell r="D6701" t="str">
            <v>S706</v>
          </cell>
          <cell r="E6701">
            <v>46211</v>
          </cell>
        </row>
        <row r="6702">
          <cell r="A6702" t="str">
            <v>2626J347</v>
          </cell>
          <cell r="D6702" t="str">
            <v>FTP150</v>
          </cell>
          <cell r="E6702">
            <v>46211</v>
          </cell>
        </row>
        <row r="6703">
          <cell r="A6703" t="str">
            <v>2626OG27</v>
          </cell>
          <cell r="D6703" t="str">
            <v>S706</v>
          </cell>
          <cell r="E6703">
            <v>46211</v>
          </cell>
        </row>
        <row r="6704">
          <cell r="A6704" t="str">
            <v>2626J247</v>
          </cell>
          <cell r="D6704" t="str">
            <v>FTP150</v>
          </cell>
          <cell r="E6704">
            <v>46211</v>
          </cell>
        </row>
        <row r="6705">
          <cell r="A6705" t="str">
            <v>2625KD37</v>
          </cell>
          <cell r="D6705" t="str">
            <v>KBP76</v>
          </cell>
          <cell r="E6705">
            <v>46211</v>
          </cell>
        </row>
        <row r="6706">
          <cell r="A6706" t="str">
            <v>2626J727</v>
          </cell>
          <cell r="D6706" t="str">
            <v>FTP150</v>
          </cell>
          <cell r="E6706">
            <v>46211</v>
          </cell>
        </row>
        <row r="6707">
          <cell r="A6707" t="str">
            <v>2625OL17</v>
          </cell>
          <cell r="D6707" t="str">
            <v>KBP52</v>
          </cell>
          <cell r="E6707">
            <v>46211</v>
          </cell>
        </row>
        <row r="6708">
          <cell r="A6708" t="str">
            <v>2618H257</v>
          </cell>
          <cell r="D6708" t="str">
            <v>TTS50</v>
          </cell>
          <cell r="E6708">
            <v>46211</v>
          </cell>
        </row>
        <row r="6709">
          <cell r="A6709" t="str">
            <v>2625OP17</v>
          </cell>
          <cell r="D6709" t="str">
            <v>KBP52</v>
          </cell>
          <cell r="E6709">
            <v>46211</v>
          </cell>
        </row>
        <row r="6710">
          <cell r="A6710" t="str">
            <v>2619BC47</v>
          </cell>
          <cell r="D6710" t="str">
            <v>TTS50</v>
          </cell>
          <cell r="E6710">
            <v>46211</v>
          </cell>
        </row>
        <row r="6711">
          <cell r="A6711" t="str">
            <v>2626OD27</v>
          </cell>
          <cell r="D6711" t="str">
            <v>KBP34</v>
          </cell>
          <cell r="E6711">
            <v>46211</v>
          </cell>
        </row>
        <row r="6712">
          <cell r="A6712" t="str">
            <v>2619EB57</v>
          </cell>
          <cell r="D6712" t="str">
            <v>TTS50</v>
          </cell>
          <cell r="E6712">
            <v>46211</v>
          </cell>
        </row>
        <row r="6713">
          <cell r="A6713" t="str">
            <v>2626I857</v>
          </cell>
          <cell r="D6713" t="str">
            <v>FTP200</v>
          </cell>
          <cell r="E6713">
            <v>46211</v>
          </cell>
        </row>
        <row r="6714">
          <cell r="A6714" t="str">
            <v>2619JI57</v>
          </cell>
          <cell r="D6714" t="str">
            <v>TTS50</v>
          </cell>
          <cell r="E6714">
            <v>46211</v>
          </cell>
        </row>
        <row r="6715">
          <cell r="A6715" t="str">
            <v>2626OC27</v>
          </cell>
          <cell r="D6715" t="str">
            <v>KBP34</v>
          </cell>
          <cell r="E6715">
            <v>46211</v>
          </cell>
        </row>
        <row r="6716">
          <cell r="A6716" t="str">
            <v>2625QL17</v>
          </cell>
          <cell r="D6716" t="str">
            <v>KBP55</v>
          </cell>
          <cell r="E6716">
            <v>46211</v>
          </cell>
        </row>
        <row r="6717">
          <cell r="A6717" t="str">
            <v>2625CD67</v>
          </cell>
          <cell r="D6717" t="str">
            <v>KBP86</v>
          </cell>
          <cell r="E6717">
            <v>46211</v>
          </cell>
        </row>
        <row r="6718">
          <cell r="A6718" t="str">
            <v>2625QI17</v>
          </cell>
          <cell r="D6718" t="str">
            <v>KBP55</v>
          </cell>
          <cell r="E6718">
            <v>46211</v>
          </cell>
        </row>
        <row r="6719">
          <cell r="A6719" t="str">
            <v>2626PV17</v>
          </cell>
          <cell r="D6719" t="str">
            <v>TTS80</v>
          </cell>
          <cell r="E6719">
            <v>46211</v>
          </cell>
        </row>
        <row r="6720">
          <cell r="A6720" t="str">
            <v>2624PP27</v>
          </cell>
          <cell r="D6720" t="str">
            <v>KBP55</v>
          </cell>
          <cell r="E6720">
            <v>46211</v>
          </cell>
        </row>
        <row r="6721">
          <cell r="A6721" t="str">
            <v>2626SH27</v>
          </cell>
          <cell r="D6721" t="str">
            <v>TTS80</v>
          </cell>
          <cell r="E6721">
            <v>46211</v>
          </cell>
        </row>
        <row r="6722">
          <cell r="A6722" t="str">
            <v>2625EZ67</v>
          </cell>
          <cell r="D6722" t="str">
            <v>KBP55</v>
          </cell>
          <cell r="E6722">
            <v>46211</v>
          </cell>
        </row>
        <row r="6723">
          <cell r="A6723" t="str">
            <v>2625GJ67</v>
          </cell>
          <cell r="D6723" t="str">
            <v>TTS80</v>
          </cell>
          <cell r="E6723">
            <v>46211</v>
          </cell>
        </row>
        <row r="6724">
          <cell r="A6724" t="str">
            <v>2625F367</v>
          </cell>
          <cell r="D6724" t="str">
            <v>KBP55</v>
          </cell>
          <cell r="E6724">
            <v>46211</v>
          </cell>
        </row>
        <row r="6725">
          <cell r="A6725" t="str">
            <v>2626PS17</v>
          </cell>
          <cell r="D6725" t="str">
            <v>TTS80</v>
          </cell>
          <cell r="E6725">
            <v>46211</v>
          </cell>
        </row>
        <row r="6726">
          <cell r="A6726" t="str">
            <v>2624HM67</v>
          </cell>
          <cell r="D6726" t="str">
            <v>KBP55</v>
          </cell>
          <cell r="E6726">
            <v>46211</v>
          </cell>
        </row>
        <row r="6727">
          <cell r="A6727" t="str">
            <v>2626S927</v>
          </cell>
          <cell r="D6727" t="str">
            <v>TTS80</v>
          </cell>
          <cell r="E6727">
            <v>46211</v>
          </cell>
        </row>
        <row r="6728">
          <cell r="A6728" t="str">
            <v>2625IB47</v>
          </cell>
          <cell r="D6728" t="str">
            <v>S805</v>
          </cell>
          <cell r="E6728">
            <v>46211</v>
          </cell>
        </row>
        <row r="6729">
          <cell r="A6729" t="str">
            <v>2626UD37</v>
          </cell>
          <cell r="D6729" t="str">
            <v>TTS80</v>
          </cell>
          <cell r="E6729">
            <v>46211</v>
          </cell>
        </row>
        <row r="6730">
          <cell r="A6730" t="str">
            <v>2625A967</v>
          </cell>
          <cell r="D6730" t="str">
            <v>S805</v>
          </cell>
          <cell r="E6730">
            <v>46211</v>
          </cell>
        </row>
        <row r="6731">
          <cell r="A6731" t="str">
            <v>2626SA27</v>
          </cell>
          <cell r="D6731" t="str">
            <v>TTS80</v>
          </cell>
          <cell r="E6731">
            <v>46211</v>
          </cell>
        </row>
        <row r="6732">
          <cell r="A6732" t="str">
            <v>2624ID57</v>
          </cell>
          <cell r="D6732" t="str">
            <v>S805</v>
          </cell>
          <cell r="E6732">
            <v>46211</v>
          </cell>
        </row>
        <row r="6733">
          <cell r="A6733" t="str">
            <v>2625SO57</v>
          </cell>
          <cell r="D6733" t="str">
            <v>KBP86</v>
          </cell>
          <cell r="E6733">
            <v>46211</v>
          </cell>
        </row>
        <row r="6734">
          <cell r="A6734" t="str">
            <v>2625JC17</v>
          </cell>
          <cell r="D6734" t="str">
            <v>S805</v>
          </cell>
          <cell r="E6734">
            <v>46211</v>
          </cell>
        </row>
        <row r="6735">
          <cell r="A6735" t="str">
            <v>2625SP57</v>
          </cell>
          <cell r="D6735" t="str">
            <v>KBP86</v>
          </cell>
          <cell r="E6735">
            <v>46211</v>
          </cell>
        </row>
        <row r="6736">
          <cell r="A6736" t="str">
            <v>2625J417</v>
          </cell>
          <cell r="D6736" t="str">
            <v>S805</v>
          </cell>
          <cell r="E6736">
            <v>46211</v>
          </cell>
        </row>
        <row r="6737">
          <cell r="A6737" t="str">
            <v>2624DX67</v>
          </cell>
          <cell r="D6737" t="str">
            <v>KBP86</v>
          </cell>
          <cell r="E6737">
            <v>46211</v>
          </cell>
        </row>
        <row r="6738">
          <cell r="A6738" t="str">
            <v>2625IA47</v>
          </cell>
          <cell r="D6738" t="str">
            <v>S805</v>
          </cell>
          <cell r="E6738">
            <v>46211</v>
          </cell>
        </row>
        <row r="6739">
          <cell r="A6739" t="str">
            <v>2624CM67</v>
          </cell>
          <cell r="D6739" t="str">
            <v>KBP86</v>
          </cell>
          <cell r="E6739">
            <v>46211</v>
          </cell>
        </row>
        <row r="6740">
          <cell r="A6740" t="str">
            <v>2626EQ47</v>
          </cell>
          <cell r="D6740" t="str">
            <v>FTW400</v>
          </cell>
          <cell r="E6740">
            <v>46211</v>
          </cell>
        </row>
        <row r="6741">
          <cell r="A6741" t="str">
            <v>2624E667</v>
          </cell>
          <cell r="D6741" t="str">
            <v>KBP86</v>
          </cell>
          <cell r="E6741">
            <v>46211</v>
          </cell>
        </row>
        <row r="6742">
          <cell r="A6742" t="str">
            <v>2625L717</v>
          </cell>
          <cell r="D6742" t="str">
            <v>KBP126</v>
          </cell>
          <cell r="E6742">
            <v>46211</v>
          </cell>
        </row>
        <row r="6743">
          <cell r="A6743" t="str">
            <v>2624KA27</v>
          </cell>
          <cell r="D6743" t="str">
            <v>KBP86</v>
          </cell>
          <cell r="E6743">
            <v>46211</v>
          </cell>
        </row>
        <row r="6744">
          <cell r="A6744" t="str">
            <v>2625LA17</v>
          </cell>
          <cell r="D6744" t="str">
            <v>KBP126</v>
          </cell>
          <cell r="E6744">
            <v>46211</v>
          </cell>
        </row>
        <row r="6745">
          <cell r="A6745" t="str">
            <v>2626PK67</v>
          </cell>
          <cell r="D6745" t="str">
            <v>TTS80</v>
          </cell>
          <cell r="E6745">
            <v>46211</v>
          </cell>
        </row>
        <row r="6746">
          <cell r="A6746" t="str">
            <v>2626KA27</v>
          </cell>
          <cell r="D6746" t="str">
            <v>FTW102K</v>
          </cell>
          <cell r="E6746">
            <v>46211</v>
          </cell>
        </row>
        <row r="6747">
          <cell r="A6747" t="str">
            <v>2626PI67</v>
          </cell>
          <cell r="D6747" t="str">
            <v>TTS80</v>
          </cell>
          <cell r="E6747">
            <v>46211</v>
          </cell>
        </row>
        <row r="6748">
          <cell r="A6748" t="str">
            <v>2626KV37</v>
          </cell>
          <cell r="D6748" t="str">
            <v>FTW102K</v>
          </cell>
          <cell r="E6748">
            <v>46211</v>
          </cell>
        </row>
        <row r="6749">
          <cell r="A6749" t="str">
            <v>2625K237</v>
          </cell>
          <cell r="D6749" t="str">
            <v>KBP86</v>
          </cell>
          <cell r="E6749">
            <v>46211</v>
          </cell>
        </row>
        <row r="6750">
          <cell r="A6750" t="str">
            <v>2626JN17</v>
          </cell>
          <cell r="D6750" t="str">
            <v>FTW102K</v>
          </cell>
          <cell r="E6750">
            <v>46211</v>
          </cell>
        </row>
        <row r="6751">
          <cell r="A6751" t="str">
            <v>2625QS27</v>
          </cell>
          <cell r="D6751" t="str">
            <v>S706</v>
          </cell>
          <cell r="E6751">
            <v>46211</v>
          </cell>
        </row>
        <row r="6752">
          <cell r="A6752" t="str">
            <v>2609C247</v>
          </cell>
          <cell r="D6752" t="str">
            <v>KBP52</v>
          </cell>
          <cell r="E6752">
            <v>46211</v>
          </cell>
        </row>
        <row r="6753">
          <cell r="A6753" t="str">
            <v>2625KY47</v>
          </cell>
          <cell r="D6753" t="str">
            <v>S706</v>
          </cell>
          <cell r="E6753">
            <v>46211</v>
          </cell>
        </row>
        <row r="6754">
          <cell r="A6754" t="str">
            <v>2609IN17</v>
          </cell>
          <cell r="D6754" t="str">
            <v>KBP52</v>
          </cell>
          <cell r="E6754">
            <v>46211</v>
          </cell>
        </row>
        <row r="6755">
          <cell r="A6755" t="str">
            <v>2625LC57</v>
          </cell>
          <cell r="D6755" t="str">
            <v>S706</v>
          </cell>
          <cell r="E6755">
            <v>46211</v>
          </cell>
        </row>
        <row r="6756">
          <cell r="A6756" t="str">
            <v>2626K617</v>
          </cell>
          <cell r="D6756" t="str">
            <v>FTW121KE</v>
          </cell>
          <cell r="E6756">
            <v>46211</v>
          </cell>
        </row>
        <row r="6757">
          <cell r="A6757" t="str">
            <v>2625KT57</v>
          </cell>
          <cell r="D6757" t="str">
            <v>S706</v>
          </cell>
          <cell r="E6757">
            <v>46211</v>
          </cell>
        </row>
        <row r="6758">
          <cell r="A6758" t="str">
            <v>2626K117</v>
          </cell>
          <cell r="D6758" t="str">
            <v>FTW121KE</v>
          </cell>
          <cell r="E6758">
            <v>46211</v>
          </cell>
        </row>
        <row r="6759">
          <cell r="A6759" t="str">
            <v>2625KO37</v>
          </cell>
          <cell r="D6759" t="str">
            <v>S706</v>
          </cell>
          <cell r="E6759">
            <v>46211</v>
          </cell>
        </row>
        <row r="6760">
          <cell r="A6760" t="str">
            <v>2626LT47</v>
          </cell>
          <cell r="D6760" t="str">
            <v>FTW121KE</v>
          </cell>
          <cell r="E6760">
            <v>46211</v>
          </cell>
        </row>
        <row r="6761">
          <cell r="A6761" t="str">
            <v>2626LZ17</v>
          </cell>
          <cell r="D6761" t="str">
            <v>S706</v>
          </cell>
          <cell r="E6761">
            <v>46211</v>
          </cell>
        </row>
        <row r="6762">
          <cell r="A6762" t="str">
            <v>2626KY37</v>
          </cell>
          <cell r="D6762" t="str">
            <v>FTW121KE</v>
          </cell>
          <cell r="E6762">
            <v>46211</v>
          </cell>
        </row>
        <row r="6763">
          <cell r="A6763" t="str">
            <v>2613ZV37</v>
          </cell>
          <cell r="D6763" t="str">
            <v>S706</v>
          </cell>
          <cell r="E6763">
            <v>46211</v>
          </cell>
        </row>
        <row r="6764">
          <cell r="A6764" t="str">
            <v>2625CP67</v>
          </cell>
          <cell r="D6764" t="str">
            <v>KBP52</v>
          </cell>
          <cell r="E6764">
            <v>46211</v>
          </cell>
        </row>
        <row r="6765">
          <cell r="A6765" t="str">
            <v>2625OW17</v>
          </cell>
          <cell r="D6765" t="str">
            <v>S706</v>
          </cell>
          <cell r="E6765">
            <v>46211</v>
          </cell>
        </row>
        <row r="6766">
          <cell r="A6766" t="str">
            <v>2621PP47</v>
          </cell>
          <cell r="D6766" t="str">
            <v>KBP86</v>
          </cell>
          <cell r="E6766">
            <v>46211</v>
          </cell>
        </row>
        <row r="6767">
          <cell r="A6767" t="str">
            <v>2625KN47</v>
          </cell>
          <cell r="D6767" t="str">
            <v>S706</v>
          </cell>
          <cell r="E6767">
            <v>46211</v>
          </cell>
        </row>
        <row r="6768">
          <cell r="A6768" t="str">
            <v>2617Q127</v>
          </cell>
          <cell r="D6768" t="str">
            <v>KBP86</v>
          </cell>
          <cell r="E6768">
            <v>46211</v>
          </cell>
        </row>
        <row r="6769">
          <cell r="A6769" t="str">
            <v>2625KQ37</v>
          </cell>
          <cell r="D6769" t="str">
            <v>S706</v>
          </cell>
          <cell r="E6769">
            <v>46211</v>
          </cell>
        </row>
        <row r="6770">
          <cell r="A6770" t="str">
            <v>2626SE47</v>
          </cell>
          <cell r="D6770" t="str">
            <v>KBP52</v>
          </cell>
          <cell r="E6770">
            <v>46211</v>
          </cell>
        </row>
        <row r="6771">
          <cell r="A6771" t="str">
            <v>2615ZH17</v>
          </cell>
          <cell r="D6771" t="str">
            <v>S706</v>
          </cell>
          <cell r="E6771">
            <v>46211</v>
          </cell>
        </row>
        <row r="6772">
          <cell r="A6772" t="str">
            <v>2626SF47</v>
          </cell>
          <cell r="D6772" t="str">
            <v>KBP52</v>
          </cell>
          <cell r="E6772">
            <v>46211</v>
          </cell>
        </row>
        <row r="6773">
          <cell r="A6773" t="str">
            <v>2625OT17</v>
          </cell>
          <cell r="D6773" t="str">
            <v>S706</v>
          </cell>
          <cell r="E6773">
            <v>46211</v>
          </cell>
        </row>
        <row r="6774">
          <cell r="A6774" t="str">
            <v>2626SH47</v>
          </cell>
          <cell r="D6774" t="str">
            <v>KBP52</v>
          </cell>
          <cell r="E6774">
            <v>46211</v>
          </cell>
        </row>
        <row r="6775">
          <cell r="A6775" t="str">
            <v>2624CE17</v>
          </cell>
          <cell r="D6775" t="str">
            <v>KBP86</v>
          </cell>
          <cell r="E6775">
            <v>46211</v>
          </cell>
        </row>
        <row r="6776">
          <cell r="A6776" t="str">
            <v>2626SI47</v>
          </cell>
          <cell r="D6776" t="str">
            <v>KBP52</v>
          </cell>
          <cell r="E6776">
            <v>46211</v>
          </cell>
        </row>
        <row r="6777">
          <cell r="A6777" t="str">
            <v>2624O737</v>
          </cell>
          <cell r="D6777" t="str">
            <v>KBP52</v>
          </cell>
          <cell r="E6777">
            <v>46211</v>
          </cell>
        </row>
        <row r="6778">
          <cell r="A6778" t="str">
            <v>2625L437</v>
          </cell>
          <cell r="D6778" t="str">
            <v>KBP76</v>
          </cell>
          <cell r="E6778">
            <v>46211</v>
          </cell>
        </row>
        <row r="6779">
          <cell r="A6779" t="str">
            <v>2626UH37</v>
          </cell>
          <cell r="D6779" t="str">
            <v>TTS80</v>
          </cell>
          <cell r="E6779">
            <v>46211</v>
          </cell>
        </row>
        <row r="6780">
          <cell r="A6780" t="str">
            <v>2623LP47</v>
          </cell>
          <cell r="D6780" t="str">
            <v>KBP76</v>
          </cell>
          <cell r="E6780">
            <v>46211</v>
          </cell>
        </row>
        <row r="6781">
          <cell r="A6781" t="str">
            <v>2626SL27</v>
          </cell>
          <cell r="D6781" t="str">
            <v>TTS80</v>
          </cell>
          <cell r="E6781">
            <v>46211</v>
          </cell>
        </row>
        <row r="6782">
          <cell r="A6782" t="str">
            <v>2624PD47</v>
          </cell>
          <cell r="D6782" t="str">
            <v>KBP76</v>
          </cell>
          <cell r="E6782">
            <v>46211</v>
          </cell>
        </row>
        <row r="6783">
          <cell r="A6783" t="str">
            <v>2626S827</v>
          </cell>
          <cell r="D6783" t="str">
            <v>TTS80</v>
          </cell>
          <cell r="E6783">
            <v>46211</v>
          </cell>
        </row>
        <row r="6784">
          <cell r="A6784" t="str">
            <v>2625EF67</v>
          </cell>
          <cell r="D6784" t="str">
            <v>KBP76</v>
          </cell>
          <cell r="E6784">
            <v>46211</v>
          </cell>
        </row>
        <row r="6785">
          <cell r="A6785" t="str">
            <v>2626PR17</v>
          </cell>
          <cell r="D6785" t="str">
            <v>TTS80</v>
          </cell>
          <cell r="E6785">
            <v>46211</v>
          </cell>
        </row>
        <row r="6786">
          <cell r="A6786" t="str">
            <v>2626SK37</v>
          </cell>
          <cell r="D6786" t="str">
            <v>KBP76</v>
          </cell>
          <cell r="E6786">
            <v>46211</v>
          </cell>
        </row>
        <row r="6787">
          <cell r="A6787" t="str">
            <v>2626SE27</v>
          </cell>
          <cell r="D6787" t="str">
            <v>TTS80</v>
          </cell>
          <cell r="E6787">
            <v>46211</v>
          </cell>
        </row>
        <row r="6788">
          <cell r="A6788" t="str">
            <v>2624P947</v>
          </cell>
          <cell r="D6788" t="str">
            <v>KBP76</v>
          </cell>
          <cell r="E6788">
            <v>46211</v>
          </cell>
        </row>
        <row r="6789">
          <cell r="A6789" t="str">
            <v>2623LN67</v>
          </cell>
          <cell r="D6789" t="str">
            <v>TTS80</v>
          </cell>
          <cell r="E6789">
            <v>46211</v>
          </cell>
        </row>
        <row r="6790">
          <cell r="A6790" t="str">
            <v>2625L717</v>
          </cell>
          <cell r="D6790" t="str">
            <v>KBP126</v>
          </cell>
          <cell r="E6790">
            <v>46211</v>
          </cell>
        </row>
        <row r="6791">
          <cell r="A6791" t="str">
            <v>2625U927</v>
          </cell>
          <cell r="D6791" t="str">
            <v>TTS80</v>
          </cell>
          <cell r="E6791">
            <v>46211</v>
          </cell>
        </row>
        <row r="6792">
          <cell r="A6792" t="str">
            <v>2625FY67</v>
          </cell>
          <cell r="D6792" t="str">
            <v>TTS80</v>
          </cell>
          <cell r="E6792">
            <v>46211</v>
          </cell>
        </row>
        <row r="6793">
          <cell r="A6793" t="str">
            <v>2625SI27</v>
          </cell>
          <cell r="D6793" t="str">
            <v>TTS80</v>
          </cell>
          <cell r="E6793">
            <v>46211</v>
          </cell>
        </row>
        <row r="6794">
          <cell r="A6794" t="str">
            <v>2625SH27</v>
          </cell>
          <cell r="D6794" t="str">
            <v>TTS80</v>
          </cell>
          <cell r="E6794">
            <v>46211</v>
          </cell>
        </row>
        <row r="6795">
          <cell r="A6795" t="str">
            <v>2625PD27</v>
          </cell>
          <cell r="D6795" t="str">
            <v>KBP86</v>
          </cell>
          <cell r="E6795">
            <v>46211</v>
          </cell>
        </row>
        <row r="6796">
          <cell r="A6796" t="str">
            <v>2624D367</v>
          </cell>
          <cell r="D6796" t="str">
            <v>KBP86</v>
          </cell>
          <cell r="E6796">
            <v>46211</v>
          </cell>
        </row>
        <row r="6797">
          <cell r="A6797" t="str">
            <v>2625OX27</v>
          </cell>
          <cell r="D6797" t="str">
            <v>KBP86</v>
          </cell>
          <cell r="E6797">
            <v>46211</v>
          </cell>
        </row>
        <row r="6798">
          <cell r="A6798" t="str">
            <v>2626KY27</v>
          </cell>
          <cell r="D6798" t="str">
            <v>FTW121KE</v>
          </cell>
          <cell r="E6798">
            <v>46211</v>
          </cell>
        </row>
        <row r="6799">
          <cell r="A6799" t="str">
            <v>2624ZZ57</v>
          </cell>
          <cell r="D6799" t="str">
            <v>TTS80</v>
          </cell>
          <cell r="E6799">
            <v>46211</v>
          </cell>
        </row>
        <row r="6800">
          <cell r="A6800" t="str">
            <v>2624B367</v>
          </cell>
          <cell r="D6800" t="str">
            <v>KBP86</v>
          </cell>
          <cell r="E6800">
            <v>46211</v>
          </cell>
        </row>
        <row r="6801">
          <cell r="A6801" t="str">
            <v>2626S127</v>
          </cell>
          <cell r="D6801" t="str">
            <v>FTP150</v>
          </cell>
          <cell r="E6801">
            <v>46210</v>
          </cell>
        </row>
        <row r="6802">
          <cell r="A6802" t="str">
            <v>2624Z837</v>
          </cell>
          <cell r="D6802" t="str">
            <v>S706</v>
          </cell>
          <cell r="E6802">
            <v>46210</v>
          </cell>
        </row>
        <row r="6803">
          <cell r="A6803" t="str">
            <v>2625AD67</v>
          </cell>
          <cell r="D6803" t="str">
            <v>FTP150</v>
          </cell>
          <cell r="E6803">
            <v>46210</v>
          </cell>
        </row>
        <row r="6804">
          <cell r="A6804" t="str">
            <v>2623JE37</v>
          </cell>
          <cell r="D6804" t="str">
            <v>TTS50</v>
          </cell>
          <cell r="E6804">
            <v>46210</v>
          </cell>
        </row>
        <row r="6805">
          <cell r="A6805" t="str">
            <v>2623Y257</v>
          </cell>
          <cell r="D6805" t="str">
            <v>S706</v>
          </cell>
          <cell r="E6805">
            <v>46210</v>
          </cell>
        </row>
        <row r="6806">
          <cell r="A6806" t="str">
            <v>2619IL17</v>
          </cell>
          <cell r="D6806" t="str">
            <v>TTS50</v>
          </cell>
          <cell r="E6806">
            <v>46210</v>
          </cell>
        </row>
        <row r="6807">
          <cell r="A6807" t="str">
            <v>2626JC27</v>
          </cell>
          <cell r="D6807" t="str">
            <v>FTP150</v>
          </cell>
          <cell r="E6807">
            <v>46210</v>
          </cell>
        </row>
        <row r="6808">
          <cell r="A6808" t="str">
            <v>2620JI17</v>
          </cell>
          <cell r="D6808" t="str">
            <v>TTS50</v>
          </cell>
          <cell r="E6808">
            <v>46210</v>
          </cell>
        </row>
        <row r="6809">
          <cell r="A6809" t="str">
            <v>2626S127</v>
          </cell>
          <cell r="D6809" t="str">
            <v>FTP150</v>
          </cell>
          <cell r="E6809">
            <v>46210</v>
          </cell>
        </row>
        <row r="6810">
          <cell r="A6810" t="str">
            <v>2619JS57</v>
          </cell>
          <cell r="D6810" t="str">
            <v>TTS50</v>
          </cell>
          <cell r="E6810">
            <v>46210</v>
          </cell>
        </row>
        <row r="6811">
          <cell r="A6811" t="str">
            <v>2626IH17</v>
          </cell>
          <cell r="D6811" t="str">
            <v>FTP150</v>
          </cell>
          <cell r="E6811">
            <v>46210</v>
          </cell>
        </row>
        <row r="6812">
          <cell r="A6812" t="str">
            <v>2623J617</v>
          </cell>
          <cell r="D6812" t="str">
            <v>TTS50</v>
          </cell>
          <cell r="E6812">
            <v>46210</v>
          </cell>
        </row>
        <row r="6813">
          <cell r="A6813" t="str">
            <v>2623Y357</v>
          </cell>
          <cell r="D6813" t="str">
            <v>S706</v>
          </cell>
          <cell r="E6813">
            <v>46210</v>
          </cell>
        </row>
        <row r="6814">
          <cell r="A6814" t="str">
            <v>2623J817</v>
          </cell>
          <cell r="D6814" t="str">
            <v>TTS50</v>
          </cell>
          <cell r="E6814">
            <v>46210</v>
          </cell>
        </row>
        <row r="6815">
          <cell r="A6815" t="str">
            <v>2626JK37</v>
          </cell>
          <cell r="D6815" t="str">
            <v>FTP150</v>
          </cell>
          <cell r="E6815">
            <v>46210</v>
          </cell>
        </row>
        <row r="6816">
          <cell r="A6816" t="str">
            <v>2623E567</v>
          </cell>
          <cell r="D6816" t="str">
            <v>TTS50</v>
          </cell>
          <cell r="E6816">
            <v>46210</v>
          </cell>
        </row>
        <row r="6817">
          <cell r="A6817" t="str">
            <v>2623Y357</v>
          </cell>
          <cell r="D6817" t="str">
            <v>S706</v>
          </cell>
          <cell r="E6817">
            <v>46210</v>
          </cell>
        </row>
        <row r="6818">
          <cell r="A6818" t="str">
            <v>2620BA47</v>
          </cell>
          <cell r="D6818" t="str">
            <v>TTS50</v>
          </cell>
          <cell r="E6818">
            <v>46210</v>
          </cell>
        </row>
        <row r="6819">
          <cell r="A6819" t="str">
            <v>2619SL27</v>
          </cell>
          <cell r="D6819" t="str">
            <v>TTS50</v>
          </cell>
          <cell r="E6819">
            <v>46210</v>
          </cell>
        </row>
        <row r="6820">
          <cell r="A6820" t="str">
            <v>2623DT27</v>
          </cell>
          <cell r="D6820" t="str">
            <v>TTS50</v>
          </cell>
          <cell r="E6820">
            <v>46210</v>
          </cell>
        </row>
        <row r="6821">
          <cell r="A6821" t="str">
            <v>2623Y257</v>
          </cell>
          <cell r="D6821" t="str">
            <v>S706</v>
          </cell>
          <cell r="E6821">
            <v>46210</v>
          </cell>
        </row>
        <row r="6822">
          <cell r="A6822" t="str">
            <v>2625F967</v>
          </cell>
          <cell r="D6822" t="str">
            <v>KBP55</v>
          </cell>
          <cell r="E6822">
            <v>46210</v>
          </cell>
        </row>
        <row r="6823">
          <cell r="A6823" t="str">
            <v>2619SO27</v>
          </cell>
          <cell r="D6823" t="str">
            <v>TTS50</v>
          </cell>
          <cell r="E6823">
            <v>46210</v>
          </cell>
        </row>
        <row r="6824">
          <cell r="A6824" t="str">
            <v>2625SN27</v>
          </cell>
          <cell r="D6824" t="str">
            <v>KBP55</v>
          </cell>
          <cell r="E6824">
            <v>46210</v>
          </cell>
        </row>
        <row r="6825">
          <cell r="A6825" t="str">
            <v>2619S927</v>
          </cell>
          <cell r="D6825" t="str">
            <v>TTS50</v>
          </cell>
          <cell r="E6825">
            <v>46210</v>
          </cell>
        </row>
        <row r="6826">
          <cell r="A6826" t="str">
            <v>2626PE17</v>
          </cell>
          <cell r="D6826" t="str">
            <v>KBP55</v>
          </cell>
          <cell r="E6826">
            <v>46210</v>
          </cell>
        </row>
        <row r="6827">
          <cell r="A6827" t="str">
            <v>2620IN17</v>
          </cell>
          <cell r="D6827" t="str">
            <v>TTS50</v>
          </cell>
          <cell r="E6827">
            <v>46210</v>
          </cell>
        </row>
        <row r="6828">
          <cell r="A6828" t="str">
            <v>2624PS47</v>
          </cell>
          <cell r="D6828" t="str">
            <v>KBP55</v>
          </cell>
          <cell r="E6828">
            <v>46210</v>
          </cell>
        </row>
        <row r="6829">
          <cell r="A6829" t="str">
            <v>2620J217</v>
          </cell>
          <cell r="D6829" t="str">
            <v>TTS50</v>
          </cell>
          <cell r="E6829">
            <v>46210</v>
          </cell>
        </row>
        <row r="6830">
          <cell r="A6830" t="str">
            <v>2625QM17</v>
          </cell>
          <cell r="D6830" t="str">
            <v>KBP55</v>
          </cell>
          <cell r="E6830">
            <v>46210</v>
          </cell>
        </row>
        <row r="6831">
          <cell r="A6831" t="str">
            <v>2623E467</v>
          </cell>
          <cell r="D6831" t="str">
            <v>TTS50</v>
          </cell>
          <cell r="E6831">
            <v>46210</v>
          </cell>
        </row>
        <row r="6832">
          <cell r="A6832" t="str">
            <v>2625F867</v>
          </cell>
          <cell r="D6832" t="str">
            <v>KBP55</v>
          </cell>
          <cell r="E6832">
            <v>46210</v>
          </cell>
        </row>
        <row r="6833">
          <cell r="A6833" t="str">
            <v>2549ZE57</v>
          </cell>
          <cell r="D6833" t="str">
            <v>KBP126</v>
          </cell>
          <cell r="E6833">
            <v>46210</v>
          </cell>
        </row>
        <row r="6834">
          <cell r="A6834" t="str">
            <v>2626IW27</v>
          </cell>
          <cell r="D6834" t="str">
            <v>KBP76</v>
          </cell>
          <cell r="E6834">
            <v>46210</v>
          </cell>
        </row>
        <row r="6835">
          <cell r="A6835" t="str">
            <v>2624ZB17</v>
          </cell>
          <cell r="D6835" t="str">
            <v>TTS80</v>
          </cell>
          <cell r="E6835">
            <v>46210</v>
          </cell>
        </row>
        <row r="6836">
          <cell r="A6836" t="str">
            <v>2626HM17</v>
          </cell>
          <cell r="D6836" t="str">
            <v>STA156KA</v>
          </cell>
          <cell r="E6836">
            <v>46210</v>
          </cell>
        </row>
        <row r="6837">
          <cell r="A6837" t="str">
            <v>2624ZB27</v>
          </cell>
          <cell r="D6837" t="str">
            <v>TTS80</v>
          </cell>
          <cell r="E6837">
            <v>46210</v>
          </cell>
        </row>
        <row r="6838">
          <cell r="A6838" t="str">
            <v>2625PS57</v>
          </cell>
          <cell r="D6838" t="str">
            <v>STA156KA</v>
          </cell>
          <cell r="E6838">
            <v>46210</v>
          </cell>
        </row>
        <row r="6839">
          <cell r="A6839" t="str">
            <v>2624ZC27</v>
          </cell>
          <cell r="D6839" t="str">
            <v>TTS80</v>
          </cell>
          <cell r="E6839">
            <v>46210</v>
          </cell>
        </row>
        <row r="6840">
          <cell r="A6840" t="str">
            <v>2625Q157</v>
          </cell>
          <cell r="D6840" t="str">
            <v>S805</v>
          </cell>
          <cell r="E6840">
            <v>46210</v>
          </cell>
        </row>
        <row r="6841">
          <cell r="A6841" t="str">
            <v>2624ZY57</v>
          </cell>
          <cell r="D6841" t="str">
            <v>TTS80</v>
          </cell>
          <cell r="E6841">
            <v>46210</v>
          </cell>
        </row>
        <row r="6842">
          <cell r="A6842" t="str">
            <v>2624BG67</v>
          </cell>
          <cell r="D6842" t="str">
            <v>S805</v>
          </cell>
          <cell r="E6842">
            <v>46210</v>
          </cell>
        </row>
        <row r="6843">
          <cell r="A6843" t="str">
            <v>2624Z837</v>
          </cell>
          <cell r="D6843" t="str">
            <v>S706</v>
          </cell>
          <cell r="E6843">
            <v>46210</v>
          </cell>
        </row>
        <row r="6844">
          <cell r="A6844" t="str">
            <v>2624KD47</v>
          </cell>
          <cell r="D6844" t="str">
            <v>S805</v>
          </cell>
          <cell r="E6844">
            <v>46210</v>
          </cell>
        </row>
        <row r="6845">
          <cell r="A6845" t="str">
            <v>2625KS27</v>
          </cell>
          <cell r="D6845" t="str">
            <v>S805</v>
          </cell>
          <cell r="E6845">
            <v>46210</v>
          </cell>
        </row>
        <row r="6846">
          <cell r="A6846" t="str">
            <v>2625I947</v>
          </cell>
          <cell r="D6846" t="str">
            <v>S805</v>
          </cell>
          <cell r="E6846">
            <v>46210</v>
          </cell>
        </row>
        <row r="6847">
          <cell r="A6847" t="str">
            <v>2624KE47</v>
          </cell>
          <cell r="D6847" t="str">
            <v>S805</v>
          </cell>
          <cell r="E6847">
            <v>46210</v>
          </cell>
        </row>
        <row r="6848">
          <cell r="A6848" t="str">
            <v>2625IN37</v>
          </cell>
          <cell r="D6848" t="str">
            <v>S805</v>
          </cell>
          <cell r="E6848">
            <v>46210</v>
          </cell>
        </row>
        <row r="6849">
          <cell r="A6849" t="str">
            <v>2625J617</v>
          </cell>
          <cell r="D6849" t="str">
            <v>S805</v>
          </cell>
          <cell r="E6849">
            <v>46210</v>
          </cell>
        </row>
        <row r="6850">
          <cell r="A6850" t="str">
            <v>2625PZ57</v>
          </cell>
          <cell r="D6850" t="str">
            <v>S805</v>
          </cell>
          <cell r="E6850">
            <v>46210</v>
          </cell>
        </row>
        <row r="6851">
          <cell r="A6851" t="str">
            <v>2625KU27</v>
          </cell>
          <cell r="D6851" t="str">
            <v>S805</v>
          </cell>
          <cell r="E6851">
            <v>46210</v>
          </cell>
        </row>
        <row r="6852">
          <cell r="A6852" t="str">
            <v>2625IO37</v>
          </cell>
          <cell r="D6852" t="str">
            <v>S805</v>
          </cell>
          <cell r="E6852">
            <v>46210</v>
          </cell>
        </row>
        <row r="6853">
          <cell r="A6853" t="str">
            <v>2625A767</v>
          </cell>
          <cell r="D6853" t="str">
            <v>S805</v>
          </cell>
          <cell r="E6853">
            <v>46210</v>
          </cell>
        </row>
        <row r="6854">
          <cell r="A6854" t="str">
            <v>2625I847</v>
          </cell>
          <cell r="D6854" t="str">
            <v>S805</v>
          </cell>
          <cell r="E6854">
            <v>46210</v>
          </cell>
        </row>
        <row r="6855">
          <cell r="A6855" t="str">
            <v>2625LL57</v>
          </cell>
          <cell r="D6855" t="str">
            <v>STA156KA</v>
          </cell>
          <cell r="E6855">
            <v>46210</v>
          </cell>
        </row>
        <row r="6856">
          <cell r="A6856" t="str">
            <v>2625LD47</v>
          </cell>
          <cell r="D6856" t="str">
            <v>STA156KA</v>
          </cell>
          <cell r="E6856">
            <v>46210</v>
          </cell>
        </row>
        <row r="6857">
          <cell r="A6857" t="str">
            <v>2625L937</v>
          </cell>
          <cell r="D6857" t="str">
            <v>STA156KA</v>
          </cell>
          <cell r="E6857">
            <v>46210</v>
          </cell>
        </row>
        <row r="6858">
          <cell r="A6858" t="str">
            <v>2624XV57</v>
          </cell>
          <cell r="D6858" t="str">
            <v>KBP126</v>
          </cell>
          <cell r="E6858">
            <v>46210</v>
          </cell>
        </row>
        <row r="6859">
          <cell r="A6859" t="str">
            <v>2625JB37</v>
          </cell>
          <cell r="D6859" t="str">
            <v>KBP126</v>
          </cell>
          <cell r="E6859">
            <v>46210</v>
          </cell>
        </row>
        <row r="6860">
          <cell r="A6860" t="str">
            <v>2624CF67</v>
          </cell>
          <cell r="D6860" t="str">
            <v>KBP126</v>
          </cell>
          <cell r="E6860">
            <v>46210</v>
          </cell>
        </row>
        <row r="6861">
          <cell r="A6861" t="str">
            <v>2625LW27</v>
          </cell>
          <cell r="D6861" t="str">
            <v>KBP126</v>
          </cell>
          <cell r="E6861">
            <v>46210</v>
          </cell>
        </row>
        <row r="6862">
          <cell r="A6862" t="str">
            <v>2623LX27</v>
          </cell>
          <cell r="D6862" t="str">
            <v>FTW400</v>
          </cell>
          <cell r="E6862">
            <v>46210</v>
          </cell>
        </row>
        <row r="6863">
          <cell r="A6863" t="str">
            <v>2626KP37</v>
          </cell>
          <cell r="D6863" t="str">
            <v>KBP126</v>
          </cell>
          <cell r="E6863">
            <v>46210</v>
          </cell>
        </row>
        <row r="6864">
          <cell r="A6864" t="str">
            <v>2609IO17</v>
          </cell>
          <cell r="D6864" t="str">
            <v>KBP52</v>
          </cell>
          <cell r="E6864">
            <v>46210</v>
          </cell>
        </row>
        <row r="6865">
          <cell r="A6865" t="str">
            <v>2621P317</v>
          </cell>
          <cell r="D6865" t="str">
            <v>KBP52</v>
          </cell>
          <cell r="E6865">
            <v>46210</v>
          </cell>
        </row>
        <row r="6866">
          <cell r="A6866" t="str">
            <v>2625PF67</v>
          </cell>
          <cell r="D6866" t="str">
            <v>FTW121KE</v>
          </cell>
          <cell r="E6866">
            <v>46210</v>
          </cell>
        </row>
        <row r="6867">
          <cell r="A6867" t="str">
            <v>2626KS47</v>
          </cell>
          <cell r="D6867" t="str">
            <v>FTW121KE</v>
          </cell>
          <cell r="E6867">
            <v>46210</v>
          </cell>
        </row>
        <row r="6868">
          <cell r="A6868" t="str">
            <v>2625B867</v>
          </cell>
          <cell r="D6868" t="str">
            <v>FTW121KE</v>
          </cell>
          <cell r="E6868">
            <v>46210</v>
          </cell>
        </row>
        <row r="6869">
          <cell r="A6869" t="str">
            <v>2626KL27</v>
          </cell>
          <cell r="D6869" t="str">
            <v>FTW121KE</v>
          </cell>
          <cell r="E6869">
            <v>46210</v>
          </cell>
        </row>
        <row r="6870">
          <cell r="A6870" t="str">
            <v>2626JX17</v>
          </cell>
          <cell r="D6870" t="str">
            <v>FTW121KE</v>
          </cell>
          <cell r="E6870">
            <v>46210</v>
          </cell>
        </row>
        <row r="6871">
          <cell r="A6871" t="str">
            <v>2626KO27</v>
          </cell>
          <cell r="D6871" t="str">
            <v>FTW121KE</v>
          </cell>
          <cell r="E6871">
            <v>46210</v>
          </cell>
        </row>
        <row r="6872">
          <cell r="A6872" t="str">
            <v>2626KO47</v>
          </cell>
          <cell r="D6872" t="str">
            <v>FTW121KE</v>
          </cell>
          <cell r="E6872">
            <v>46210</v>
          </cell>
        </row>
        <row r="6873">
          <cell r="A6873" t="str">
            <v>2625B567</v>
          </cell>
          <cell r="D6873" t="str">
            <v>FTW121KE</v>
          </cell>
          <cell r="E6873">
            <v>46210</v>
          </cell>
        </row>
        <row r="6874">
          <cell r="A6874" t="str">
            <v>2626LL37</v>
          </cell>
          <cell r="D6874" t="str">
            <v>FTW121KE</v>
          </cell>
          <cell r="E6874">
            <v>46210</v>
          </cell>
        </row>
        <row r="6875">
          <cell r="A6875" t="str">
            <v>2625BG67</v>
          </cell>
          <cell r="D6875" t="str">
            <v>FTW121KE</v>
          </cell>
          <cell r="E6875">
            <v>46210</v>
          </cell>
        </row>
        <row r="6876">
          <cell r="A6876" t="str">
            <v>2626KX37</v>
          </cell>
          <cell r="D6876" t="str">
            <v>FTW121KE</v>
          </cell>
          <cell r="E6876">
            <v>46210</v>
          </cell>
        </row>
        <row r="6877">
          <cell r="A6877" t="str">
            <v>2626L637</v>
          </cell>
          <cell r="D6877" t="str">
            <v>FTW121KE</v>
          </cell>
          <cell r="E6877">
            <v>46210</v>
          </cell>
        </row>
        <row r="6878">
          <cell r="A6878" t="str">
            <v>2626L247</v>
          </cell>
          <cell r="D6878" t="str">
            <v>FTW121KE</v>
          </cell>
          <cell r="E6878">
            <v>46210</v>
          </cell>
        </row>
        <row r="6879">
          <cell r="A6879" t="str">
            <v>2626KH27</v>
          </cell>
          <cell r="D6879" t="str">
            <v>FTW121KE</v>
          </cell>
          <cell r="E6879">
            <v>46210</v>
          </cell>
        </row>
        <row r="6880">
          <cell r="A6880" t="str">
            <v>2626JP17</v>
          </cell>
          <cell r="D6880" t="str">
            <v>FTW121KE</v>
          </cell>
          <cell r="E6880">
            <v>46210</v>
          </cell>
        </row>
        <row r="6881">
          <cell r="A6881" t="str">
            <v>2626KC27</v>
          </cell>
          <cell r="D6881" t="str">
            <v>FTW121KE</v>
          </cell>
          <cell r="E6881">
            <v>46210</v>
          </cell>
        </row>
        <row r="6882">
          <cell r="A6882" t="str">
            <v>2625OT67</v>
          </cell>
          <cell r="D6882" t="str">
            <v>FTW121KE</v>
          </cell>
          <cell r="E6882">
            <v>46210</v>
          </cell>
        </row>
        <row r="6883">
          <cell r="A6883" t="str">
            <v>2626KZ27</v>
          </cell>
          <cell r="D6883" t="str">
            <v>FTW121KE</v>
          </cell>
          <cell r="E6883">
            <v>46210</v>
          </cell>
        </row>
        <row r="6884">
          <cell r="A6884" t="str">
            <v>2626JU17</v>
          </cell>
          <cell r="D6884" t="str">
            <v>FTW121KE</v>
          </cell>
          <cell r="E6884">
            <v>46210</v>
          </cell>
        </row>
        <row r="6885">
          <cell r="A6885" t="str">
            <v>2626JH17</v>
          </cell>
          <cell r="D6885" t="str">
            <v>FTW700</v>
          </cell>
          <cell r="E6885">
            <v>46210</v>
          </cell>
        </row>
        <row r="6886">
          <cell r="A6886" t="str">
            <v>2625JZ57</v>
          </cell>
          <cell r="D6886" t="str">
            <v>FTW700</v>
          </cell>
          <cell r="E6886">
            <v>46210</v>
          </cell>
        </row>
        <row r="6887">
          <cell r="A6887" t="str">
            <v>2623ER67</v>
          </cell>
          <cell r="D6887" t="str">
            <v>FTW700</v>
          </cell>
          <cell r="E6887">
            <v>46210</v>
          </cell>
        </row>
        <row r="6888">
          <cell r="A6888" t="str">
            <v>2622WG57</v>
          </cell>
          <cell r="D6888" t="str">
            <v>TTS50</v>
          </cell>
          <cell r="E6888">
            <v>46210</v>
          </cell>
        </row>
        <row r="6889">
          <cell r="A6889" t="str">
            <v>2622WB57</v>
          </cell>
          <cell r="D6889" t="str">
            <v>TTS50</v>
          </cell>
          <cell r="E6889">
            <v>46210</v>
          </cell>
        </row>
        <row r="6890">
          <cell r="A6890" t="str">
            <v>2623JW47</v>
          </cell>
          <cell r="D6890" t="str">
            <v>TTS50</v>
          </cell>
          <cell r="E6890">
            <v>46210</v>
          </cell>
        </row>
        <row r="6891">
          <cell r="A6891" t="str">
            <v>2623EF67</v>
          </cell>
          <cell r="D6891" t="str">
            <v>TTS50</v>
          </cell>
          <cell r="E6891">
            <v>46210</v>
          </cell>
        </row>
        <row r="6892">
          <cell r="A6892" t="str">
            <v>2623F827</v>
          </cell>
          <cell r="D6892" t="str">
            <v>TTS50</v>
          </cell>
          <cell r="E6892">
            <v>46210</v>
          </cell>
        </row>
        <row r="6893">
          <cell r="A6893" t="str">
            <v>2621WF57</v>
          </cell>
          <cell r="D6893" t="str">
            <v>TTS50</v>
          </cell>
          <cell r="E6893">
            <v>46210</v>
          </cell>
        </row>
        <row r="6894">
          <cell r="A6894" t="str">
            <v>2624C967</v>
          </cell>
          <cell r="D6894" t="str">
            <v>TTS50</v>
          </cell>
          <cell r="E6894">
            <v>46210</v>
          </cell>
        </row>
        <row r="6895">
          <cell r="A6895" t="str">
            <v>2623EB67</v>
          </cell>
          <cell r="D6895" t="str">
            <v>TTS50</v>
          </cell>
          <cell r="E6895">
            <v>46210</v>
          </cell>
        </row>
        <row r="6896">
          <cell r="A6896" t="str">
            <v>2625KE27</v>
          </cell>
          <cell r="D6896" t="str">
            <v>STA156KA</v>
          </cell>
          <cell r="E6896">
            <v>46210</v>
          </cell>
        </row>
        <row r="6897">
          <cell r="A6897" t="str">
            <v>2625O167</v>
          </cell>
          <cell r="D6897" t="str">
            <v>KBP76</v>
          </cell>
          <cell r="E6897">
            <v>46210</v>
          </cell>
        </row>
        <row r="6898">
          <cell r="A6898" t="str">
            <v>2623KY47</v>
          </cell>
          <cell r="D6898" t="str">
            <v>KBP86</v>
          </cell>
          <cell r="E6898">
            <v>46210</v>
          </cell>
        </row>
        <row r="6899">
          <cell r="A6899" t="str">
            <v>2622U647</v>
          </cell>
          <cell r="D6899" t="str">
            <v>KBP86</v>
          </cell>
          <cell r="E6899">
            <v>46210</v>
          </cell>
        </row>
        <row r="6900">
          <cell r="A6900" t="str">
            <v>2624O837</v>
          </cell>
          <cell r="D6900" t="str">
            <v>KBP52</v>
          </cell>
          <cell r="E6900">
            <v>46210</v>
          </cell>
        </row>
        <row r="6901">
          <cell r="A6901" t="str">
            <v>2625KD37</v>
          </cell>
          <cell r="D6901" t="str">
            <v>KBP76</v>
          </cell>
          <cell r="E6901">
            <v>46210</v>
          </cell>
        </row>
        <row r="6902">
          <cell r="A6902" t="str">
            <v>2624EZ67</v>
          </cell>
          <cell r="D6902" t="str">
            <v>KBP52</v>
          </cell>
          <cell r="E6902">
            <v>46210</v>
          </cell>
        </row>
        <row r="6903">
          <cell r="A6903" t="str">
            <v>2625CR67</v>
          </cell>
          <cell r="D6903" t="str">
            <v>KBP52</v>
          </cell>
          <cell r="E6903">
            <v>46210</v>
          </cell>
        </row>
        <row r="6904">
          <cell r="A6904" t="str">
            <v>2626IG47</v>
          </cell>
          <cell r="D6904" t="str">
            <v>KBP86</v>
          </cell>
          <cell r="E6904">
            <v>46210</v>
          </cell>
        </row>
        <row r="6905">
          <cell r="A6905" t="str">
            <v>2625KI27</v>
          </cell>
          <cell r="D6905" t="str">
            <v>KBP86</v>
          </cell>
          <cell r="E6905">
            <v>46210</v>
          </cell>
        </row>
        <row r="6906">
          <cell r="A6906" t="str">
            <v>2622Q937</v>
          </cell>
          <cell r="D6906" t="str">
            <v>KBP76</v>
          </cell>
          <cell r="E6906">
            <v>46210</v>
          </cell>
        </row>
        <row r="6907">
          <cell r="A6907" t="str">
            <v>2621FG67</v>
          </cell>
          <cell r="D6907" t="str">
            <v>KBP86</v>
          </cell>
          <cell r="E6907">
            <v>46210</v>
          </cell>
        </row>
        <row r="6908">
          <cell r="A6908" t="str">
            <v>2626OZ17</v>
          </cell>
          <cell r="D6908" t="str">
            <v>KBP52</v>
          </cell>
          <cell r="E6908">
            <v>46210</v>
          </cell>
        </row>
        <row r="6909">
          <cell r="A6909" t="str">
            <v>2626P117</v>
          </cell>
          <cell r="D6909" t="str">
            <v>KBP52</v>
          </cell>
          <cell r="E6909">
            <v>46210</v>
          </cell>
        </row>
        <row r="6910">
          <cell r="A6910" t="str">
            <v>2626SH37</v>
          </cell>
          <cell r="D6910" t="str">
            <v>KBP52</v>
          </cell>
          <cell r="E6910">
            <v>46210</v>
          </cell>
        </row>
        <row r="6911">
          <cell r="A6911" t="str">
            <v>2626SG37</v>
          </cell>
          <cell r="D6911" t="str">
            <v>KBP52</v>
          </cell>
          <cell r="E6911">
            <v>46210</v>
          </cell>
        </row>
        <row r="6912">
          <cell r="A6912" t="str">
            <v>2626QN37</v>
          </cell>
          <cell r="D6912" t="str">
            <v>KBP76</v>
          </cell>
          <cell r="E6912">
            <v>46210</v>
          </cell>
        </row>
        <row r="6913">
          <cell r="A6913" t="str">
            <v>2626QP47</v>
          </cell>
          <cell r="D6913" t="str">
            <v>KBP76</v>
          </cell>
          <cell r="E6913">
            <v>46210</v>
          </cell>
        </row>
        <row r="6914">
          <cell r="A6914" t="str">
            <v>2626P317</v>
          </cell>
          <cell r="D6914" t="str">
            <v>KBP76</v>
          </cell>
          <cell r="E6914">
            <v>46210</v>
          </cell>
        </row>
        <row r="6915">
          <cell r="A6915" t="str">
            <v>2626SL37</v>
          </cell>
          <cell r="D6915" t="str">
            <v>KBP76</v>
          </cell>
          <cell r="E6915">
            <v>46210</v>
          </cell>
        </row>
        <row r="6916">
          <cell r="A6916" t="str">
            <v>2625EB67</v>
          </cell>
          <cell r="D6916" t="str">
            <v>KBP76</v>
          </cell>
          <cell r="E6916">
            <v>46210</v>
          </cell>
        </row>
        <row r="6917">
          <cell r="A6917" t="str">
            <v>2624PE47</v>
          </cell>
          <cell r="D6917" t="str">
            <v>KBP76</v>
          </cell>
          <cell r="E6917">
            <v>46210</v>
          </cell>
        </row>
        <row r="6918">
          <cell r="A6918" t="str">
            <v>2625O647</v>
          </cell>
          <cell r="D6918" t="str">
            <v>KBP76</v>
          </cell>
          <cell r="E6918">
            <v>46210</v>
          </cell>
        </row>
        <row r="6919">
          <cell r="A6919" t="str">
            <v>2626OB27</v>
          </cell>
          <cell r="D6919" t="str">
            <v>KBP34</v>
          </cell>
          <cell r="E6919">
            <v>46210</v>
          </cell>
        </row>
        <row r="6920">
          <cell r="A6920" t="str">
            <v>2626S527</v>
          </cell>
          <cell r="D6920" t="str">
            <v>TTS40</v>
          </cell>
          <cell r="E6920">
            <v>46210</v>
          </cell>
        </row>
        <row r="6921">
          <cell r="A6921" t="str">
            <v>2626S627</v>
          </cell>
          <cell r="D6921" t="str">
            <v>TTS40</v>
          </cell>
          <cell r="E6921">
            <v>46210</v>
          </cell>
        </row>
        <row r="6922">
          <cell r="A6922" t="str">
            <v>2625FU67</v>
          </cell>
          <cell r="D6922" t="str">
            <v>TTS80</v>
          </cell>
          <cell r="E6922">
            <v>46210</v>
          </cell>
        </row>
        <row r="6923">
          <cell r="A6923" t="str">
            <v>2625FS67</v>
          </cell>
          <cell r="D6923" t="str">
            <v>TTS80</v>
          </cell>
          <cell r="E6923">
            <v>46210</v>
          </cell>
        </row>
        <row r="6924">
          <cell r="A6924" t="str">
            <v>2625SJ67</v>
          </cell>
          <cell r="D6924" t="str">
            <v>TTS80</v>
          </cell>
          <cell r="E6924">
            <v>46210</v>
          </cell>
        </row>
        <row r="6925">
          <cell r="A6925" t="str">
            <v>2626UL37</v>
          </cell>
          <cell r="D6925" t="str">
            <v>TTS80</v>
          </cell>
          <cell r="E6925">
            <v>46210</v>
          </cell>
        </row>
        <row r="6926">
          <cell r="A6926" t="str">
            <v>2625G367</v>
          </cell>
          <cell r="D6926" t="str">
            <v>TTS80</v>
          </cell>
          <cell r="E6926">
            <v>46210</v>
          </cell>
        </row>
        <row r="6927">
          <cell r="A6927" t="str">
            <v>2626SK27</v>
          </cell>
          <cell r="D6927" t="str">
            <v>TTS80</v>
          </cell>
          <cell r="E6927">
            <v>46210</v>
          </cell>
        </row>
        <row r="6928">
          <cell r="A6928" t="str">
            <v>2626Q117</v>
          </cell>
          <cell r="D6928" t="str">
            <v>TTS80</v>
          </cell>
          <cell r="E6928">
            <v>46210</v>
          </cell>
        </row>
        <row r="6929">
          <cell r="A6929" t="str">
            <v>2625FP67</v>
          </cell>
          <cell r="D6929" t="str">
            <v>TTS80</v>
          </cell>
          <cell r="E6929">
            <v>46210</v>
          </cell>
        </row>
        <row r="6930">
          <cell r="A6930" t="str">
            <v>2626PU17</v>
          </cell>
          <cell r="D6930" t="str">
            <v>TTS80</v>
          </cell>
          <cell r="E6930">
            <v>46210</v>
          </cell>
        </row>
        <row r="6931">
          <cell r="A6931" t="str">
            <v>2626PX17</v>
          </cell>
          <cell r="D6931" t="str">
            <v>TTS80</v>
          </cell>
          <cell r="E6931">
            <v>46210</v>
          </cell>
        </row>
        <row r="6932">
          <cell r="A6932" t="str">
            <v>2626SO27</v>
          </cell>
          <cell r="D6932" t="str">
            <v>TTS80</v>
          </cell>
          <cell r="E6932">
            <v>46210</v>
          </cell>
        </row>
        <row r="6933">
          <cell r="A6933" t="str">
            <v>2625FL67</v>
          </cell>
          <cell r="D6933" t="str">
            <v>TTS80</v>
          </cell>
          <cell r="E6933">
            <v>46210</v>
          </cell>
        </row>
        <row r="6934">
          <cell r="A6934" t="str">
            <v>2625SP67</v>
          </cell>
          <cell r="D6934" t="str">
            <v>TTS80</v>
          </cell>
          <cell r="E6934">
            <v>46210</v>
          </cell>
        </row>
        <row r="6935">
          <cell r="A6935" t="str">
            <v>2626PN17</v>
          </cell>
          <cell r="D6935" t="str">
            <v>TTS80</v>
          </cell>
          <cell r="E6935">
            <v>46210</v>
          </cell>
        </row>
        <row r="6936">
          <cell r="A6936" t="str">
            <v>2625FJ67</v>
          </cell>
          <cell r="D6936" t="str">
            <v>TTS80</v>
          </cell>
          <cell r="E6936">
            <v>46210</v>
          </cell>
        </row>
        <row r="6937">
          <cell r="A6937" t="str">
            <v>2626PA17</v>
          </cell>
          <cell r="D6937" t="str">
            <v>TTS175</v>
          </cell>
          <cell r="E6937">
            <v>46210</v>
          </cell>
        </row>
        <row r="6938">
          <cell r="A6938" t="str">
            <v>2626S127</v>
          </cell>
          <cell r="D6938" t="str">
            <v>FTP150</v>
          </cell>
          <cell r="E6938">
            <v>46210</v>
          </cell>
        </row>
        <row r="6939">
          <cell r="A6939" t="str">
            <v>2626KK17</v>
          </cell>
          <cell r="D6939" t="str">
            <v>KBP86</v>
          </cell>
          <cell r="E6939">
            <v>46210</v>
          </cell>
        </row>
        <row r="6940">
          <cell r="A6940" t="str">
            <v>2625PA27</v>
          </cell>
          <cell r="D6940" t="str">
            <v>KBP86</v>
          </cell>
          <cell r="E6940">
            <v>46210</v>
          </cell>
        </row>
        <row r="6941">
          <cell r="A6941" t="str">
            <v>2625BK67</v>
          </cell>
          <cell r="D6941" t="str">
            <v>KBP86</v>
          </cell>
          <cell r="E6941">
            <v>46210</v>
          </cell>
        </row>
        <row r="6942">
          <cell r="A6942" t="str">
            <v>2623FV67</v>
          </cell>
          <cell r="D6942" t="str">
            <v>KBP86</v>
          </cell>
          <cell r="E6942">
            <v>46210</v>
          </cell>
        </row>
        <row r="6943">
          <cell r="A6943" t="str">
            <v>2624FN17</v>
          </cell>
          <cell r="D6943" t="str">
            <v>KBP86</v>
          </cell>
          <cell r="E6943">
            <v>46210</v>
          </cell>
        </row>
        <row r="6944">
          <cell r="A6944" t="str">
            <v>2625JQ47</v>
          </cell>
          <cell r="D6944" t="str">
            <v>KBP86</v>
          </cell>
          <cell r="E6944">
            <v>46210</v>
          </cell>
        </row>
        <row r="6945">
          <cell r="A6945" t="str">
            <v>2626KN17</v>
          </cell>
          <cell r="D6945" t="str">
            <v>KBP86</v>
          </cell>
          <cell r="E6945">
            <v>46210</v>
          </cell>
        </row>
        <row r="6946">
          <cell r="A6946" t="str">
            <v>2624DM67</v>
          </cell>
          <cell r="D6946" t="str">
            <v>KBP86</v>
          </cell>
          <cell r="E6946">
            <v>46210</v>
          </cell>
        </row>
        <row r="6947">
          <cell r="A6947" t="str">
            <v>2625KC37</v>
          </cell>
          <cell r="D6947" t="str">
            <v>KBP86</v>
          </cell>
          <cell r="E6947">
            <v>46210</v>
          </cell>
        </row>
        <row r="6948">
          <cell r="A6948" t="str">
            <v>2625P227</v>
          </cell>
          <cell r="D6948" t="str">
            <v>KBP86</v>
          </cell>
          <cell r="E6948">
            <v>46210</v>
          </cell>
        </row>
        <row r="6949">
          <cell r="A6949" t="str">
            <v>2623HS27</v>
          </cell>
          <cell r="D6949" t="str">
            <v>TTS50</v>
          </cell>
          <cell r="E6949">
            <v>46210</v>
          </cell>
        </row>
        <row r="6950">
          <cell r="A6950" t="str">
            <v>2621P847</v>
          </cell>
          <cell r="D6950" t="str">
            <v>TTS50</v>
          </cell>
          <cell r="E6950">
            <v>46210</v>
          </cell>
        </row>
        <row r="6951">
          <cell r="A6951" t="str">
            <v>2620E347</v>
          </cell>
          <cell r="D6951" t="str">
            <v>TTS50</v>
          </cell>
          <cell r="E6951">
            <v>46210</v>
          </cell>
        </row>
        <row r="6952">
          <cell r="A6952" t="str">
            <v>2625PH17</v>
          </cell>
          <cell r="D6952" t="str">
            <v>S706</v>
          </cell>
          <cell r="E6952">
            <v>46210</v>
          </cell>
        </row>
        <row r="6953">
          <cell r="A6953" t="str">
            <v>2626PK27</v>
          </cell>
          <cell r="D6953" t="str">
            <v>S706</v>
          </cell>
          <cell r="E6953">
            <v>46210</v>
          </cell>
        </row>
        <row r="6954">
          <cell r="A6954" t="str">
            <v>2625QR27</v>
          </cell>
          <cell r="D6954" t="str">
            <v>S706</v>
          </cell>
          <cell r="E6954">
            <v>46210</v>
          </cell>
        </row>
        <row r="6955">
          <cell r="A6955" t="str">
            <v>2626OA17</v>
          </cell>
          <cell r="D6955" t="str">
            <v>S706</v>
          </cell>
          <cell r="E6955">
            <v>46210</v>
          </cell>
        </row>
        <row r="6956">
          <cell r="A6956" t="str">
            <v>2625KQ47</v>
          </cell>
          <cell r="D6956" t="str">
            <v>S706</v>
          </cell>
          <cell r="E6956">
            <v>46210</v>
          </cell>
        </row>
        <row r="6957">
          <cell r="A6957" t="str">
            <v>2626Q237</v>
          </cell>
          <cell r="D6957" t="str">
            <v>S706</v>
          </cell>
          <cell r="E6957">
            <v>46210</v>
          </cell>
        </row>
        <row r="6958">
          <cell r="A6958" t="str">
            <v>2626QB37</v>
          </cell>
          <cell r="D6958" t="str">
            <v>S706</v>
          </cell>
          <cell r="E6958">
            <v>46210</v>
          </cell>
        </row>
        <row r="6959">
          <cell r="A6959" t="str">
            <v>2625LA57</v>
          </cell>
          <cell r="D6959" t="str">
            <v>S706</v>
          </cell>
          <cell r="E6959">
            <v>46210</v>
          </cell>
        </row>
        <row r="6960">
          <cell r="A6960" t="str">
            <v>2626Q447</v>
          </cell>
          <cell r="D6960" t="str">
            <v>S706</v>
          </cell>
          <cell r="E6960">
            <v>46210</v>
          </cell>
        </row>
        <row r="6961">
          <cell r="A6961" t="str">
            <v>2626OE17</v>
          </cell>
          <cell r="D6961" t="str">
            <v>S706</v>
          </cell>
          <cell r="E6961">
            <v>46210</v>
          </cell>
        </row>
        <row r="6962">
          <cell r="A6962" t="str">
            <v>2625D667</v>
          </cell>
          <cell r="D6962" t="str">
            <v>S706</v>
          </cell>
          <cell r="E6962">
            <v>46210</v>
          </cell>
        </row>
        <row r="6963">
          <cell r="A6963" t="str">
            <v>2624FE50</v>
          </cell>
          <cell r="D6963" t="str">
            <v>STA200KA</v>
          </cell>
          <cell r="E6963">
            <v>46210</v>
          </cell>
        </row>
        <row r="6964">
          <cell r="A6964" t="str">
            <v>2625KJ37</v>
          </cell>
          <cell r="D6964" t="str">
            <v>S706</v>
          </cell>
          <cell r="E6964">
            <v>46210</v>
          </cell>
        </row>
        <row r="6965">
          <cell r="A6965" t="str">
            <v>2625KO57</v>
          </cell>
          <cell r="D6965" t="str">
            <v>S706</v>
          </cell>
          <cell r="E6965">
            <v>46210</v>
          </cell>
        </row>
        <row r="6966">
          <cell r="A6966" t="str">
            <v>2613ZG47</v>
          </cell>
          <cell r="D6966" t="str">
            <v>S706</v>
          </cell>
          <cell r="E6966">
            <v>46210</v>
          </cell>
        </row>
        <row r="6967">
          <cell r="A6967" t="str">
            <v>2625KM57</v>
          </cell>
          <cell r="D6967" t="str">
            <v>S706</v>
          </cell>
          <cell r="E6967">
            <v>46210</v>
          </cell>
        </row>
        <row r="6968">
          <cell r="A6968" t="str">
            <v>2613ZQ47</v>
          </cell>
          <cell r="D6968" t="str">
            <v>S706</v>
          </cell>
          <cell r="E6968">
            <v>46210</v>
          </cell>
        </row>
        <row r="6969">
          <cell r="A6969" t="str">
            <v>2615ZO17</v>
          </cell>
          <cell r="D6969" t="str">
            <v>S706</v>
          </cell>
          <cell r="E6969">
            <v>46210</v>
          </cell>
        </row>
        <row r="6970">
          <cell r="A6970" t="str">
            <v>2625KK47</v>
          </cell>
          <cell r="D6970" t="str">
            <v>S706</v>
          </cell>
          <cell r="E6970">
            <v>46210</v>
          </cell>
        </row>
        <row r="6971">
          <cell r="A6971" t="str">
            <v>2614YR47</v>
          </cell>
          <cell r="D6971" t="str">
            <v>S706</v>
          </cell>
          <cell r="E6971">
            <v>46210</v>
          </cell>
        </row>
        <row r="6972">
          <cell r="A6972" t="str">
            <v>2624EF37</v>
          </cell>
          <cell r="D6972" t="str">
            <v>KBP86</v>
          </cell>
          <cell r="E6972">
            <v>46210</v>
          </cell>
        </row>
        <row r="6973">
          <cell r="A6973" t="str">
            <v>2623BV67</v>
          </cell>
          <cell r="D6973" t="str">
            <v>KBP86</v>
          </cell>
          <cell r="E6973">
            <v>46210</v>
          </cell>
        </row>
        <row r="6974">
          <cell r="A6974" t="str">
            <v>2624EI37</v>
          </cell>
          <cell r="D6974" t="str">
            <v>KBP86</v>
          </cell>
          <cell r="E6974">
            <v>46210</v>
          </cell>
        </row>
        <row r="6975">
          <cell r="A6975" t="str">
            <v>2624GF47</v>
          </cell>
          <cell r="D6975" t="str">
            <v>KBP86</v>
          </cell>
          <cell r="E6975">
            <v>46210</v>
          </cell>
        </row>
        <row r="6976">
          <cell r="A6976" t="str">
            <v>2622UQ57</v>
          </cell>
          <cell r="D6976" t="str">
            <v>KBP126</v>
          </cell>
          <cell r="E6976">
            <v>46210</v>
          </cell>
        </row>
        <row r="6977">
          <cell r="A6977" t="str">
            <v>2550ZB17</v>
          </cell>
          <cell r="D6977" t="str">
            <v>KBP86</v>
          </cell>
          <cell r="E6977">
            <v>46210</v>
          </cell>
        </row>
        <row r="6978">
          <cell r="A6978" t="str">
            <v>2623BW67</v>
          </cell>
          <cell r="D6978" t="str">
            <v>KBP86</v>
          </cell>
          <cell r="E6978">
            <v>46210</v>
          </cell>
        </row>
        <row r="6979">
          <cell r="A6979" t="str">
            <v>2608Z127</v>
          </cell>
          <cell r="D6979" t="str">
            <v>S706</v>
          </cell>
          <cell r="E6979">
            <v>46209</v>
          </cell>
        </row>
        <row r="6980">
          <cell r="A6980" t="str">
            <v>2608LP17</v>
          </cell>
          <cell r="D6980" t="str">
            <v>TTS80</v>
          </cell>
          <cell r="E6980">
            <v>46209</v>
          </cell>
        </row>
        <row r="6981">
          <cell r="A6981" t="str">
            <v>2624XK57</v>
          </cell>
          <cell r="D6981" t="str">
            <v>S805</v>
          </cell>
          <cell r="E6981">
            <v>46209</v>
          </cell>
        </row>
        <row r="6982">
          <cell r="A6982" t="str">
            <v>2626KR27</v>
          </cell>
          <cell r="D6982" t="str">
            <v>FTW121KE</v>
          </cell>
          <cell r="E6982">
            <v>46209</v>
          </cell>
        </row>
        <row r="6983">
          <cell r="A6983" t="str">
            <v>2624J257</v>
          </cell>
          <cell r="D6983" t="str">
            <v>FTW102K</v>
          </cell>
          <cell r="E6983">
            <v>46209</v>
          </cell>
        </row>
        <row r="6984">
          <cell r="A6984" t="str">
            <v>2608Q227</v>
          </cell>
          <cell r="D6984" t="str">
            <v>TTS80</v>
          </cell>
          <cell r="E6984">
            <v>46209</v>
          </cell>
        </row>
        <row r="6985">
          <cell r="A6985" t="str">
            <v>2623Z947</v>
          </cell>
          <cell r="D6985" t="str">
            <v>KBP76</v>
          </cell>
          <cell r="E6985">
            <v>46209</v>
          </cell>
        </row>
        <row r="6986">
          <cell r="A6986" t="str">
            <v>2624J257</v>
          </cell>
          <cell r="D6986" t="str">
            <v>FTW102K</v>
          </cell>
          <cell r="E6986">
            <v>46209</v>
          </cell>
        </row>
        <row r="6987">
          <cell r="A6987" t="str">
            <v>2607Y317</v>
          </cell>
          <cell r="D6987" t="str">
            <v>S706</v>
          </cell>
          <cell r="E6987">
            <v>46209</v>
          </cell>
        </row>
        <row r="6988">
          <cell r="A6988" t="str">
            <v>2619JA17</v>
          </cell>
          <cell r="D6988" t="str">
            <v>TTS50</v>
          </cell>
          <cell r="E6988">
            <v>46209</v>
          </cell>
        </row>
        <row r="6989">
          <cell r="A6989" t="str">
            <v>2623Z847</v>
          </cell>
          <cell r="D6989" t="str">
            <v>FTW121KE</v>
          </cell>
          <cell r="E6989">
            <v>46209</v>
          </cell>
        </row>
        <row r="6990">
          <cell r="A6990" t="str">
            <v>2615ZI27</v>
          </cell>
          <cell r="D6990" t="str">
            <v>S706</v>
          </cell>
          <cell r="E6990">
            <v>46209</v>
          </cell>
        </row>
        <row r="6991">
          <cell r="A6991" t="str">
            <v>2624E967</v>
          </cell>
          <cell r="D6991" t="str">
            <v>KBP86</v>
          </cell>
          <cell r="E6991">
            <v>46209</v>
          </cell>
        </row>
        <row r="6992">
          <cell r="A6992" t="str">
            <v>2620B347</v>
          </cell>
          <cell r="D6992" t="str">
            <v>TTS50</v>
          </cell>
          <cell r="E6992">
            <v>46209</v>
          </cell>
        </row>
        <row r="6993">
          <cell r="A6993" t="str">
            <v>2625OO17</v>
          </cell>
          <cell r="D6993" t="str">
            <v>KBP52</v>
          </cell>
          <cell r="E6993">
            <v>46209</v>
          </cell>
        </row>
        <row r="6994">
          <cell r="A6994" t="str">
            <v>2623JD37</v>
          </cell>
          <cell r="D6994" t="str">
            <v>TTS50</v>
          </cell>
          <cell r="E6994">
            <v>46209</v>
          </cell>
        </row>
        <row r="6995">
          <cell r="A6995" t="str">
            <v>2625QP57</v>
          </cell>
          <cell r="D6995" t="str">
            <v>FTW121KE</v>
          </cell>
          <cell r="E6995">
            <v>46209</v>
          </cell>
        </row>
        <row r="6996">
          <cell r="A6996" t="str">
            <v>2624FE60</v>
          </cell>
          <cell r="D6996" t="str">
            <v>TTS125</v>
          </cell>
          <cell r="E6996">
            <v>46209</v>
          </cell>
        </row>
        <row r="6997">
          <cell r="A6997" t="str">
            <v>2622D957</v>
          </cell>
          <cell r="D6997" t="str">
            <v>FTW700</v>
          </cell>
          <cell r="E6997">
            <v>46209</v>
          </cell>
        </row>
        <row r="6998">
          <cell r="A6998" t="str">
            <v>2622D267</v>
          </cell>
          <cell r="D6998" t="str">
            <v>TTS50</v>
          </cell>
          <cell r="E6998">
            <v>46209</v>
          </cell>
        </row>
        <row r="6999">
          <cell r="A6999" t="str">
            <v>2619SS27</v>
          </cell>
          <cell r="D6999" t="str">
            <v>TTS50</v>
          </cell>
          <cell r="E6999">
            <v>46209</v>
          </cell>
        </row>
        <row r="7000">
          <cell r="A7000" t="str">
            <v>2623FT67</v>
          </cell>
          <cell r="D7000" t="str">
            <v>KBP86</v>
          </cell>
          <cell r="E7000">
            <v>46209</v>
          </cell>
        </row>
        <row r="7001">
          <cell r="A7001" t="str">
            <v>2623KW67</v>
          </cell>
          <cell r="D7001" t="str">
            <v>TTS80</v>
          </cell>
          <cell r="E7001">
            <v>46209</v>
          </cell>
        </row>
        <row r="7002">
          <cell r="A7002" t="str">
            <v>2622VO57</v>
          </cell>
          <cell r="D7002" t="str">
            <v>TTS50</v>
          </cell>
          <cell r="E7002">
            <v>46209</v>
          </cell>
        </row>
        <row r="7003">
          <cell r="A7003" t="str">
            <v>2625FK67</v>
          </cell>
          <cell r="D7003" t="str">
            <v>TTS80</v>
          </cell>
          <cell r="E7003">
            <v>46209</v>
          </cell>
        </row>
        <row r="7004">
          <cell r="A7004" t="str">
            <v>2614YF47</v>
          </cell>
          <cell r="D7004" t="str">
            <v>S706</v>
          </cell>
          <cell r="E7004">
            <v>46209</v>
          </cell>
        </row>
        <row r="7005">
          <cell r="A7005" t="str">
            <v>2624B167</v>
          </cell>
          <cell r="D7005" t="str">
            <v>KBP86</v>
          </cell>
          <cell r="E7005">
            <v>46209</v>
          </cell>
        </row>
        <row r="7006">
          <cell r="A7006" t="str">
            <v>2625JS37</v>
          </cell>
          <cell r="D7006" t="str">
            <v>KBP86</v>
          </cell>
          <cell r="E7006">
            <v>46209</v>
          </cell>
        </row>
        <row r="7007">
          <cell r="A7007" t="str">
            <v>2621UF17</v>
          </cell>
          <cell r="D7007" t="str">
            <v>KBP86</v>
          </cell>
          <cell r="E7007">
            <v>46209</v>
          </cell>
        </row>
        <row r="7008">
          <cell r="A7008" t="str">
            <v>2625JD47</v>
          </cell>
          <cell r="D7008" t="str">
            <v>FTW121KE</v>
          </cell>
          <cell r="E7008">
            <v>46209</v>
          </cell>
        </row>
        <row r="7009">
          <cell r="A7009" t="str">
            <v>2625OV67</v>
          </cell>
          <cell r="D7009" t="str">
            <v>FTW121KE</v>
          </cell>
          <cell r="E7009">
            <v>46209</v>
          </cell>
        </row>
        <row r="7010">
          <cell r="A7010" t="str">
            <v>2623O747</v>
          </cell>
          <cell r="D7010" t="str">
            <v>KBP55</v>
          </cell>
          <cell r="E7010">
            <v>46209</v>
          </cell>
        </row>
        <row r="7011">
          <cell r="A7011" t="str">
            <v>2626J927</v>
          </cell>
          <cell r="D7011" t="str">
            <v>FTP150</v>
          </cell>
          <cell r="E7011">
            <v>46209</v>
          </cell>
        </row>
        <row r="7012">
          <cell r="A7012" t="str">
            <v>2625LV17</v>
          </cell>
          <cell r="D7012" t="str">
            <v>KBP86</v>
          </cell>
          <cell r="E7012">
            <v>46209</v>
          </cell>
        </row>
        <row r="7013">
          <cell r="A7013" t="str">
            <v>2624DT47</v>
          </cell>
          <cell r="D7013" t="str">
            <v>STA156KA</v>
          </cell>
          <cell r="E7013">
            <v>46209</v>
          </cell>
        </row>
        <row r="7014">
          <cell r="A7014" t="str">
            <v>2625FC67</v>
          </cell>
          <cell r="D7014" t="str">
            <v>FTP200</v>
          </cell>
          <cell r="E7014">
            <v>46209</v>
          </cell>
        </row>
        <row r="7015">
          <cell r="A7015" t="str">
            <v>2625BA67</v>
          </cell>
          <cell r="D7015" t="str">
            <v>FTW121KR</v>
          </cell>
          <cell r="E7015">
            <v>46209</v>
          </cell>
        </row>
        <row r="7016">
          <cell r="A7016" t="str">
            <v>2625JF47</v>
          </cell>
          <cell r="D7016" t="str">
            <v>FTW121KE</v>
          </cell>
          <cell r="E7016">
            <v>46209</v>
          </cell>
        </row>
        <row r="7017">
          <cell r="A7017" t="str">
            <v>2626K417</v>
          </cell>
          <cell r="D7017" t="str">
            <v>FTW121KR</v>
          </cell>
          <cell r="E7017">
            <v>46209</v>
          </cell>
        </row>
        <row r="7018">
          <cell r="A7018" t="str">
            <v>2620J427</v>
          </cell>
          <cell r="D7018" t="str">
            <v>TTS50</v>
          </cell>
          <cell r="E7018">
            <v>46209</v>
          </cell>
        </row>
        <row r="7019">
          <cell r="A7019" t="str">
            <v>2624FH30</v>
          </cell>
          <cell r="D7019" t="str">
            <v>TTS125</v>
          </cell>
          <cell r="E7019">
            <v>46209</v>
          </cell>
        </row>
        <row r="7020">
          <cell r="A7020" t="str">
            <v>2623JR47</v>
          </cell>
          <cell r="D7020" t="str">
            <v>TTS50</v>
          </cell>
          <cell r="E7020">
            <v>46209</v>
          </cell>
        </row>
        <row r="7021">
          <cell r="A7021" t="str">
            <v>2624U457</v>
          </cell>
          <cell r="D7021" t="str">
            <v>STA156KA</v>
          </cell>
          <cell r="E7021">
            <v>46209</v>
          </cell>
        </row>
        <row r="7022">
          <cell r="A7022" t="str">
            <v>2623IY17</v>
          </cell>
          <cell r="D7022" t="str">
            <v>TTS50</v>
          </cell>
          <cell r="E7022">
            <v>46209</v>
          </cell>
        </row>
        <row r="7023">
          <cell r="A7023" t="str">
            <v>2626O417</v>
          </cell>
          <cell r="D7023" t="str">
            <v>TTS50</v>
          </cell>
          <cell r="E7023">
            <v>46209</v>
          </cell>
        </row>
        <row r="7024">
          <cell r="A7024" t="str">
            <v>2624CC37</v>
          </cell>
          <cell r="D7024" t="str">
            <v>STA156KA</v>
          </cell>
          <cell r="E7024">
            <v>46209</v>
          </cell>
        </row>
        <row r="7025">
          <cell r="A7025" t="str">
            <v>2619DG37</v>
          </cell>
          <cell r="D7025" t="str">
            <v>TTS50</v>
          </cell>
          <cell r="E7025">
            <v>46209</v>
          </cell>
        </row>
        <row r="7026">
          <cell r="A7026" t="str">
            <v>2624DU17</v>
          </cell>
          <cell r="D7026" t="str">
            <v>TTS50</v>
          </cell>
          <cell r="E7026">
            <v>46209</v>
          </cell>
        </row>
        <row r="7027">
          <cell r="A7027" t="str">
            <v>2623JJ67</v>
          </cell>
          <cell r="D7027" t="str">
            <v>KBP76</v>
          </cell>
          <cell r="E7027">
            <v>46209</v>
          </cell>
        </row>
        <row r="7028">
          <cell r="A7028" t="str">
            <v>2626K317</v>
          </cell>
          <cell r="D7028" t="str">
            <v>FTW121KE</v>
          </cell>
          <cell r="E7028">
            <v>46209</v>
          </cell>
        </row>
        <row r="7029">
          <cell r="A7029" t="str">
            <v>2625D867</v>
          </cell>
          <cell r="D7029" t="str">
            <v>S706</v>
          </cell>
          <cell r="E7029">
            <v>46209</v>
          </cell>
        </row>
        <row r="7030">
          <cell r="A7030" t="str">
            <v>2625B767</v>
          </cell>
          <cell r="D7030" t="str">
            <v>FTW121KE</v>
          </cell>
          <cell r="E7030">
            <v>46209</v>
          </cell>
        </row>
        <row r="7031">
          <cell r="A7031" t="str">
            <v>2624KB37</v>
          </cell>
          <cell r="D7031" t="str">
            <v>FTW121KE</v>
          </cell>
          <cell r="E7031">
            <v>46209</v>
          </cell>
        </row>
        <row r="7032">
          <cell r="A7032" t="str">
            <v>2625O367</v>
          </cell>
          <cell r="D7032" t="str">
            <v>KBP76</v>
          </cell>
          <cell r="E7032">
            <v>46209</v>
          </cell>
        </row>
        <row r="7033">
          <cell r="A7033" t="str">
            <v>2619SJ27</v>
          </cell>
          <cell r="D7033" t="str">
            <v>TTS50</v>
          </cell>
          <cell r="E7033">
            <v>46209</v>
          </cell>
        </row>
        <row r="7034">
          <cell r="A7034" t="str">
            <v>2624HI67</v>
          </cell>
          <cell r="D7034" t="str">
            <v>FTP200</v>
          </cell>
          <cell r="E7034">
            <v>46209</v>
          </cell>
        </row>
        <row r="7035">
          <cell r="A7035" t="str">
            <v>2623JN67</v>
          </cell>
          <cell r="D7035" t="str">
            <v>KBP76</v>
          </cell>
          <cell r="E7035">
            <v>46209</v>
          </cell>
        </row>
        <row r="7036">
          <cell r="A7036" t="str">
            <v>2624IV67</v>
          </cell>
          <cell r="D7036" t="str">
            <v>TTS80</v>
          </cell>
          <cell r="E7036">
            <v>46209</v>
          </cell>
        </row>
        <row r="7037">
          <cell r="A7037" t="str">
            <v>2625IF37</v>
          </cell>
          <cell r="D7037" t="str">
            <v>KBP86</v>
          </cell>
          <cell r="E7037">
            <v>46209</v>
          </cell>
        </row>
        <row r="7038">
          <cell r="A7038" t="str">
            <v>2625KX47</v>
          </cell>
          <cell r="D7038" t="str">
            <v>S706</v>
          </cell>
          <cell r="E7038">
            <v>46209</v>
          </cell>
        </row>
        <row r="7039">
          <cell r="A7039" t="str">
            <v>2624O447</v>
          </cell>
          <cell r="D7039" t="str">
            <v>KBP86</v>
          </cell>
          <cell r="E7039">
            <v>46209</v>
          </cell>
        </row>
        <row r="7040">
          <cell r="A7040" t="str">
            <v>2622WN57</v>
          </cell>
          <cell r="D7040" t="str">
            <v>FTW700</v>
          </cell>
          <cell r="E7040">
            <v>46209</v>
          </cell>
        </row>
        <row r="7041">
          <cell r="A7041" t="str">
            <v>2625LC17</v>
          </cell>
          <cell r="D7041" t="str">
            <v>FTW102K</v>
          </cell>
          <cell r="E7041">
            <v>46209</v>
          </cell>
        </row>
        <row r="7042">
          <cell r="A7042" t="str">
            <v>2625VM57</v>
          </cell>
          <cell r="D7042" t="str">
            <v>S15MB</v>
          </cell>
          <cell r="E7042">
            <v>46209</v>
          </cell>
        </row>
        <row r="7043">
          <cell r="A7043" t="str">
            <v>2623IT17</v>
          </cell>
          <cell r="D7043" t="str">
            <v>TTS50</v>
          </cell>
          <cell r="E7043">
            <v>46209</v>
          </cell>
        </row>
        <row r="7044">
          <cell r="A7044" t="str">
            <v>2620JA27</v>
          </cell>
          <cell r="D7044" t="str">
            <v>TTS50</v>
          </cell>
          <cell r="E7044">
            <v>46209</v>
          </cell>
        </row>
        <row r="7045">
          <cell r="A7045" t="str">
            <v>2623Z657</v>
          </cell>
          <cell r="D7045" t="str">
            <v>TTS80</v>
          </cell>
          <cell r="E7045">
            <v>46209</v>
          </cell>
        </row>
        <row r="7046">
          <cell r="A7046" t="str">
            <v>2623Z757</v>
          </cell>
          <cell r="D7046" t="str">
            <v>TTS80</v>
          </cell>
          <cell r="E7046">
            <v>46209</v>
          </cell>
        </row>
        <row r="7047">
          <cell r="A7047" t="str">
            <v>2623Z857</v>
          </cell>
          <cell r="D7047" t="str">
            <v>TTS80</v>
          </cell>
          <cell r="E7047">
            <v>46209</v>
          </cell>
        </row>
        <row r="7048">
          <cell r="A7048" t="str">
            <v>2623Z957</v>
          </cell>
          <cell r="D7048" t="str">
            <v>TTS80</v>
          </cell>
          <cell r="E7048">
            <v>46209</v>
          </cell>
        </row>
        <row r="7049">
          <cell r="A7049" t="str">
            <v>2623Y147</v>
          </cell>
          <cell r="D7049" t="str">
            <v>S15MB</v>
          </cell>
          <cell r="E7049">
            <v>46209</v>
          </cell>
        </row>
        <row r="7050">
          <cell r="A7050" t="str">
            <v>2619SD27</v>
          </cell>
          <cell r="D7050" t="str">
            <v>TTS50</v>
          </cell>
          <cell r="E7050">
            <v>46209</v>
          </cell>
        </row>
        <row r="7051">
          <cell r="A7051" t="str">
            <v>2624GJ67</v>
          </cell>
          <cell r="D7051" t="str">
            <v>KBP76</v>
          </cell>
          <cell r="E7051">
            <v>46209</v>
          </cell>
        </row>
        <row r="7052">
          <cell r="A7052" t="str">
            <v>2625FF67</v>
          </cell>
          <cell r="D7052" t="str">
            <v>FTP200</v>
          </cell>
          <cell r="E7052">
            <v>46209</v>
          </cell>
        </row>
        <row r="7053">
          <cell r="A7053" t="str">
            <v>2620JI37</v>
          </cell>
          <cell r="D7053" t="str">
            <v>TTS50</v>
          </cell>
          <cell r="E7053">
            <v>46209</v>
          </cell>
        </row>
        <row r="7054">
          <cell r="A7054" t="str">
            <v>2626HL17</v>
          </cell>
          <cell r="D7054" t="str">
            <v>STA156KA</v>
          </cell>
          <cell r="E7054">
            <v>46209</v>
          </cell>
        </row>
        <row r="7055">
          <cell r="A7055" t="str">
            <v>2624WF57</v>
          </cell>
          <cell r="D7055" t="str">
            <v>KBP86</v>
          </cell>
          <cell r="E7055">
            <v>46209</v>
          </cell>
        </row>
        <row r="7056">
          <cell r="A7056" t="str">
            <v>2625EQ17</v>
          </cell>
          <cell r="D7056" t="str">
            <v>S15MB</v>
          </cell>
          <cell r="E7056">
            <v>46209</v>
          </cell>
        </row>
        <row r="7057">
          <cell r="A7057" t="str">
            <v>2625SV67</v>
          </cell>
          <cell r="D7057" t="str">
            <v>TTS80</v>
          </cell>
          <cell r="E7057">
            <v>46209</v>
          </cell>
        </row>
        <row r="7058">
          <cell r="A7058" t="str">
            <v>2625B467</v>
          </cell>
          <cell r="D7058" t="str">
            <v>FTW121KE</v>
          </cell>
          <cell r="E7058">
            <v>46209</v>
          </cell>
        </row>
        <row r="7059">
          <cell r="A7059" t="str">
            <v>2625P967</v>
          </cell>
          <cell r="D7059" t="str">
            <v>FTW121KE</v>
          </cell>
          <cell r="E7059">
            <v>46209</v>
          </cell>
        </row>
        <row r="7060">
          <cell r="A7060" t="str">
            <v>2624CS67</v>
          </cell>
          <cell r="D7060" t="str">
            <v>KBP86</v>
          </cell>
          <cell r="E7060">
            <v>46209</v>
          </cell>
        </row>
        <row r="7061">
          <cell r="A7061" t="str">
            <v>2625PX57</v>
          </cell>
          <cell r="D7061" t="str">
            <v>S805</v>
          </cell>
          <cell r="E7061">
            <v>46209</v>
          </cell>
        </row>
        <row r="7062">
          <cell r="A7062" t="str">
            <v>2624DT47</v>
          </cell>
          <cell r="D7062" t="str">
            <v>STA156KA</v>
          </cell>
          <cell r="E7062">
            <v>46209</v>
          </cell>
        </row>
        <row r="7063">
          <cell r="A7063" t="str">
            <v>2623DS67</v>
          </cell>
          <cell r="D7063" t="str">
            <v>TTS50</v>
          </cell>
          <cell r="E7063">
            <v>46209</v>
          </cell>
        </row>
        <row r="7064">
          <cell r="A7064" t="str">
            <v>2625IL37</v>
          </cell>
          <cell r="D7064" t="str">
            <v>S805</v>
          </cell>
          <cell r="E7064">
            <v>46209</v>
          </cell>
        </row>
        <row r="7065">
          <cell r="A7065" t="str">
            <v>2624OH37</v>
          </cell>
          <cell r="D7065" t="str">
            <v>KBP52</v>
          </cell>
          <cell r="E7065">
            <v>46209</v>
          </cell>
        </row>
        <row r="7066">
          <cell r="A7066" t="str">
            <v>2625J717</v>
          </cell>
          <cell r="D7066" t="str">
            <v>S805</v>
          </cell>
          <cell r="E7066">
            <v>46209</v>
          </cell>
        </row>
        <row r="7067">
          <cell r="A7067" t="str">
            <v>2620CY67</v>
          </cell>
          <cell r="D7067" t="str">
            <v>KBP74</v>
          </cell>
          <cell r="E7067">
            <v>46209</v>
          </cell>
        </row>
        <row r="7068">
          <cell r="A7068" t="str">
            <v>2625O217</v>
          </cell>
          <cell r="D7068" t="str">
            <v>KBP86</v>
          </cell>
          <cell r="E7068">
            <v>46209</v>
          </cell>
        </row>
        <row r="7069">
          <cell r="A7069" t="str">
            <v>2626II17</v>
          </cell>
          <cell r="D7069" t="str">
            <v>FTP150</v>
          </cell>
          <cell r="E7069">
            <v>46209</v>
          </cell>
        </row>
        <row r="7070">
          <cell r="A7070" t="str">
            <v>2625LC47</v>
          </cell>
          <cell r="D7070" t="str">
            <v>STA156KA</v>
          </cell>
          <cell r="E7070">
            <v>46209</v>
          </cell>
        </row>
        <row r="7071">
          <cell r="A7071" t="str">
            <v>2625BH67</v>
          </cell>
          <cell r="D7071" t="str">
            <v>FTW121KE</v>
          </cell>
          <cell r="E7071">
            <v>46209</v>
          </cell>
        </row>
        <row r="7072">
          <cell r="A7072" t="str">
            <v>2622VG47</v>
          </cell>
          <cell r="D7072" t="str">
            <v>KBP76</v>
          </cell>
          <cell r="E7072">
            <v>46209</v>
          </cell>
        </row>
        <row r="7073">
          <cell r="A7073" t="str">
            <v>2620IP17</v>
          </cell>
          <cell r="D7073" t="str">
            <v>TTS50</v>
          </cell>
          <cell r="E7073">
            <v>46209</v>
          </cell>
        </row>
        <row r="7074">
          <cell r="A7074" t="str">
            <v>2625FV27</v>
          </cell>
          <cell r="D7074" t="str">
            <v>KBP126</v>
          </cell>
          <cell r="E7074">
            <v>46209</v>
          </cell>
        </row>
        <row r="7075">
          <cell r="A7075" t="str">
            <v>2624PC17</v>
          </cell>
          <cell r="D7075" t="str">
            <v>TTS80</v>
          </cell>
          <cell r="E7075">
            <v>46209</v>
          </cell>
        </row>
        <row r="7076">
          <cell r="A7076" t="str">
            <v>2626OX17</v>
          </cell>
          <cell r="D7076" t="str">
            <v>KBP52</v>
          </cell>
          <cell r="E7076">
            <v>46209</v>
          </cell>
        </row>
        <row r="7077">
          <cell r="A7077" t="str">
            <v>2624IS67</v>
          </cell>
          <cell r="D7077" t="str">
            <v>TTS80</v>
          </cell>
          <cell r="E7077">
            <v>46209</v>
          </cell>
        </row>
        <row r="7078">
          <cell r="A7078" t="str">
            <v>2625AE67</v>
          </cell>
          <cell r="D7078" t="str">
            <v>FTP150</v>
          </cell>
          <cell r="E7078">
            <v>46209</v>
          </cell>
        </row>
        <row r="7079">
          <cell r="A7079" t="str">
            <v>2624IA57</v>
          </cell>
          <cell r="D7079" t="str">
            <v>S805</v>
          </cell>
          <cell r="E7079">
            <v>46209</v>
          </cell>
        </row>
        <row r="7080">
          <cell r="A7080" t="str">
            <v>2623IV17</v>
          </cell>
          <cell r="D7080" t="str">
            <v>TTS50</v>
          </cell>
          <cell r="E7080">
            <v>46209</v>
          </cell>
        </row>
        <row r="7081">
          <cell r="A7081" t="str">
            <v>2620ZL17</v>
          </cell>
          <cell r="D7081" t="str">
            <v>KBP76</v>
          </cell>
          <cell r="E7081">
            <v>46209</v>
          </cell>
        </row>
        <row r="7082">
          <cell r="A7082" t="str">
            <v>2624FL17</v>
          </cell>
          <cell r="D7082" t="str">
            <v>KBP86</v>
          </cell>
          <cell r="E7082">
            <v>46209</v>
          </cell>
        </row>
        <row r="7083">
          <cell r="A7083" t="str">
            <v>2613ZO37</v>
          </cell>
          <cell r="D7083" t="str">
            <v>S706</v>
          </cell>
          <cell r="E7083">
            <v>46209</v>
          </cell>
        </row>
        <row r="7084">
          <cell r="A7084" t="str">
            <v>2626K217</v>
          </cell>
          <cell r="D7084" t="str">
            <v>FTW121KE</v>
          </cell>
          <cell r="E7084">
            <v>46209</v>
          </cell>
        </row>
        <row r="7085">
          <cell r="A7085" t="str">
            <v>2620BF47</v>
          </cell>
          <cell r="D7085" t="str">
            <v>TTS50</v>
          </cell>
          <cell r="E7085">
            <v>46209</v>
          </cell>
        </row>
        <row r="7086">
          <cell r="A7086" t="str">
            <v>2623IL67</v>
          </cell>
          <cell r="D7086" t="str">
            <v>TTS50</v>
          </cell>
          <cell r="E7086">
            <v>46209</v>
          </cell>
        </row>
        <row r="7087">
          <cell r="A7087" t="str">
            <v>2623FB90</v>
          </cell>
          <cell r="D7087" t="str">
            <v>TTS125</v>
          </cell>
          <cell r="E7087">
            <v>46209</v>
          </cell>
        </row>
        <row r="7088">
          <cell r="A7088" t="str">
            <v>2625D167</v>
          </cell>
          <cell r="D7088" t="str">
            <v>TTS50</v>
          </cell>
          <cell r="E7088">
            <v>46209</v>
          </cell>
        </row>
        <row r="7089">
          <cell r="A7089" t="str">
            <v>2620JI27</v>
          </cell>
          <cell r="D7089" t="str">
            <v>TTS50</v>
          </cell>
          <cell r="E7089">
            <v>46209</v>
          </cell>
        </row>
        <row r="7090">
          <cell r="A7090" t="str">
            <v>2624KO37</v>
          </cell>
          <cell r="D7090" t="str">
            <v>KBP86</v>
          </cell>
          <cell r="E7090">
            <v>46209</v>
          </cell>
        </row>
        <row r="7091">
          <cell r="A7091" t="str">
            <v>2623DP67</v>
          </cell>
          <cell r="D7091" t="str">
            <v>TTS50</v>
          </cell>
          <cell r="E7091">
            <v>46209</v>
          </cell>
        </row>
        <row r="7092">
          <cell r="A7092" t="str">
            <v>2607IO27</v>
          </cell>
          <cell r="D7092" t="str">
            <v>KBP52</v>
          </cell>
          <cell r="E7092">
            <v>46209</v>
          </cell>
        </row>
        <row r="7093">
          <cell r="A7093" t="str">
            <v>2621J167</v>
          </cell>
          <cell r="D7093" t="str">
            <v>KBP86</v>
          </cell>
          <cell r="E7093">
            <v>46209</v>
          </cell>
        </row>
        <row r="7094">
          <cell r="A7094" t="str">
            <v>2625PL67</v>
          </cell>
          <cell r="D7094" t="str">
            <v>FTW121KE</v>
          </cell>
          <cell r="E7094">
            <v>46209</v>
          </cell>
        </row>
        <row r="7095">
          <cell r="A7095" t="str">
            <v>2624X557</v>
          </cell>
          <cell r="D7095" t="str">
            <v>KBP76</v>
          </cell>
          <cell r="E7095">
            <v>46209</v>
          </cell>
        </row>
        <row r="7096">
          <cell r="A7096" t="str">
            <v>2625HX47</v>
          </cell>
          <cell r="D7096" t="str">
            <v>KBP76</v>
          </cell>
          <cell r="E7096">
            <v>46209</v>
          </cell>
        </row>
        <row r="7097">
          <cell r="A7097" t="str">
            <v>2624X457</v>
          </cell>
          <cell r="D7097" t="str">
            <v>KBP76</v>
          </cell>
          <cell r="E7097">
            <v>46209</v>
          </cell>
        </row>
        <row r="7098">
          <cell r="A7098" t="str">
            <v>2623J717</v>
          </cell>
          <cell r="D7098" t="str">
            <v>TTS50</v>
          </cell>
          <cell r="E7098">
            <v>46209</v>
          </cell>
        </row>
        <row r="7099">
          <cell r="A7099" t="str">
            <v>2623LM47</v>
          </cell>
          <cell r="D7099" t="str">
            <v>KBP76</v>
          </cell>
          <cell r="E7099">
            <v>46209</v>
          </cell>
        </row>
        <row r="7100">
          <cell r="A7100" t="str">
            <v>2625VN57</v>
          </cell>
          <cell r="D7100" t="str">
            <v>S15MB</v>
          </cell>
          <cell r="E7100">
            <v>46209</v>
          </cell>
        </row>
        <row r="7101">
          <cell r="A7101" t="str">
            <v>2625P867</v>
          </cell>
          <cell r="D7101" t="str">
            <v>FTW121KE</v>
          </cell>
          <cell r="E7101">
            <v>46209</v>
          </cell>
        </row>
        <row r="7102">
          <cell r="A7102" t="str">
            <v>2620GG57</v>
          </cell>
          <cell r="D7102" t="str">
            <v>TTS50</v>
          </cell>
          <cell r="E7102">
            <v>46209</v>
          </cell>
        </row>
        <row r="7103">
          <cell r="A7103" t="str">
            <v>2624JJ27</v>
          </cell>
          <cell r="D7103" t="str">
            <v>FTW121KE</v>
          </cell>
          <cell r="E7103">
            <v>46209</v>
          </cell>
        </row>
        <row r="7104">
          <cell r="A7104" t="str">
            <v>2626OY17</v>
          </cell>
          <cell r="D7104" t="str">
            <v>KBP52</v>
          </cell>
          <cell r="E7104">
            <v>46209</v>
          </cell>
        </row>
        <row r="7105">
          <cell r="A7105" t="str">
            <v>2625P367</v>
          </cell>
          <cell r="D7105" t="str">
            <v>FTW121KE</v>
          </cell>
          <cell r="E7105">
            <v>46209</v>
          </cell>
        </row>
        <row r="7106">
          <cell r="A7106" t="str">
            <v>2621QK27</v>
          </cell>
          <cell r="D7106" t="str">
            <v>KBP86</v>
          </cell>
          <cell r="E7106">
            <v>46209</v>
          </cell>
        </row>
        <row r="7107">
          <cell r="A7107" t="str">
            <v>2626JO17</v>
          </cell>
          <cell r="D7107" t="str">
            <v>FTW121KE</v>
          </cell>
          <cell r="E7107">
            <v>46209</v>
          </cell>
        </row>
        <row r="7108">
          <cell r="A7108" t="str">
            <v>2625PU57</v>
          </cell>
          <cell r="D7108" t="str">
            <v>STA156KA</v>
          </cell>
          <cell r="E7108">
            <v>46209</v>
          </cell>
        </row>
        <row r="7109">
          <cell r="A7109" t="str">
            <v>2607L717</v>
          </cell>
          <cell r="D7109" t="str">
            <v>KBP52</v>
          </cell>
          <cell r="E7109">
            <v>46209</v>
          </cell>
        </row>
        <row r="7110">
          <cell r="A7110" t="str">
            <v>2615ZL17</v>
          </cell>
          <cell r="D7110" t="str">
            <v>S706</v>
          </cell>
          <cell r="E7110">
            <v>46209</v>
          </cell>
        </row>
        <row r="7111">
          <cell r="A7111" t="str">
            <v>2624E837</v>
          </cell>
          <cell r="D7111" t="str">
            <v>STA156KA</v>
          </cell>
          <cell r="E7111">
            <v>46209</v>
          </cell>
        </row>
        <row r="7112">
          <cell r="A7112" t="str">
            <v>2626PB17</v>
          </cell>
          <cell r="D7112" t="str">
            <v>KBP55</v>
          </cell>
          <cell r="E7112">
            <v>46209</v>
          </cell>
        </row>
        <row r="7113">
          <cell r="A7113" t="str">
            <v>2626J827</v>
          </cell>
          <cell r="D7113" t="str">
            <v>FTP150</v>
          </cell>
          <cell r="E7113">
            <v>46209</v>
          </cell>
        </row>
        <row r="7114">
          <cell r="A7114" t="str">
            <v>2624IM67</v>
          </cell>
          <cell r="D7114" t="str">
            <v>TTS80</v>
          </cell>
          <cell r="E7114">
            <v>46209</v>
          </cell>
        </row>
        <row r="7115">
          <cell r="A7115" t="str">
            <v>2625QO17</v>
          </cell>
          <cell r="D7115" t="str">
            <v>TTS80</v>
          </cell>
          <cell r="E7115">
            <v>46209</v>
          </cell>
        </row>
        <row r="7116">
          <cell r="A7116" t="str">
            <v>2626S327</v>
          </cell>
          <cell r="D7116" t="str">
            <v>TTS50</v>
          </cell>
          <cell r="E7116">
            <v>46209</v>
          </cell>
        </row>
        <row r="7117">
          <cell r="A7117" t="str">
            <v>2622VQ57</v>
          </cell>
          <cell r="D7117" t="str">
            <v>TTS50</v>
          </cell>
          <cell r="E7117">
            <v>46209</v>
          </cell>
        </row>
        <row r="7118">
          <cell r="A7118" t="str">
            <v>2619OX57</v>
          </cell>
          <cell r="D7118" t="str">
            <v>TTS50</v>
          </cell>
          <cell r="E7118">
            <v>46209</v>
          </cell>
        </row>
        <row r="7119">
          <cell r="A7119" t="str">
            <v>2620JU37</v>
          </cell>
          <cell r="D7119" t="str">
            <v>TTS50</v>
          </cell>
          <cell r="E7119">
            <v>46209</v>
          </cell>
        </row>
        <row r="7120">
          <cell r="A7120" t="str">
            <v>2623FU67</v>
          </cell>
          <cell r="D7120" t="str">
            <v>KBP86</v>
          </cell>
          <cell r="E7120">
            <v>46209</v>
          </cell>
        </row>
        <row r="7121">
          <cell r="A7121" t="str">
            <v>2626SG47</v>
          </cell>
          <cell r="D7121" t="str">
            <v>KBP52</v>
          </cell>
          <cell r="E7121">
            <v>46209</v>
          </cell>
        </row>
        <row r="7122">
          <cell r="A7122" t="str">
            <v>2619DD47</v>
          </cell>
          <cell r="D7122" t="str">
            <v>TTS50</v>
          </cell>
          <cell r="E7122">
            <v>46209</v>
          </cell>
        </row>
        <row r="7123">
          <cell r="A7123" t="str">
            <v>2613ZS37</v>
          </cell>
          <cell r="D7123" t="str">
            <v>S706</v>
          </cell>
          <cell r="E7123">
            <v>46209</v>
          </cell>
        </row>
        <row r="7124">
          <cell r="A7124" t="str">
            <v>2625KW37</v>
          </cell>
          <cell r="D7124" t="str">
            <v>S706</v>
          </cell>
          <cell r="E7124">
            <v>46209</v>
          </cell>
        </row>
        <row r="7125">
          <cell r="A7125" t="str">
            <v>2623E867</v>
          </cell>
          <cell r="D7125" t="str">
            <v>TTS50</v>
          </cell>
          <cell r="E7125">
            <v>46209</v>
          </cell>
        </row>
        <row r="7126">
          <cell r="A7126" t="str">
            <v>2620LU27</v>
          </cell>
          <cell r="D7126" t="str">
            <v>TTS50</v>
          </cell>
          <cell r="E7126">
            <v>46209</v>
          </cell>
        </row>
        <row r="7127">
          <cell r="A7127" t="str">
            <v>2625ID47</v>
          </cell>
          <cell r="D7127" t="str">
            <v>S805</v>
          </cell>
          <cell r="E7127">
            <v>46209</v>
          </cell>
        </row>
        <row r="7128">
          <cell r="A7128" t="str">
            <v>2625D547</v>
          </cell>
          <cell r="D7128" t="str">
            <v>S15MB</v>
          </cell>
          <cell r="E7128">
            <v>46209</v>
          </cell>
        </row>
        <row r="7129">
          <cell r="A7129" t="str">
            <v>2625GR67</v>
          </cell>
          <cell r="D7129" t="str">
            <v>TTS80</v>
          </cell>
          <cell r="E7129">
            <v>46209</v>
          </cell>
        </row>
        <row r="7130">
          <cell r="A7130" t="str">
            <v>2623DK27</v>
          </cell>
          <cell r="D7130" t="str">
            <v>TTS50</v>
          </cell>
          <cell r="E7130">
            <v>46209</v>
          </cell>
        </row>
        <row r="7131">
          <cell r="A7131" t="str">
            <v>2625LT37</v>
          </cell>
          <cell r="D7131" t="str">
            <v>TTS80</v>
          </cell>
          <cell r="E7131">
            <v>46209</v>
          </cell>
        </row>
        <row r="7132">
          <cell r="A7132" t="str">
            <v>2626JZ17</v>
          </cell>
          <cell r="D7132" t="str">
            <v>FTW121KE</v>
          </cell>
          <cell r="E7132">
            <v>46209</v>
          </cell>
        </row>
        <row r="7133">
          <cell r="A7133" t="str">
            <v>2625GE67</v>
          </cell>
          <cell r="D7133" t="str">
            <v>TTS80</v>
          </cell>
          <cell r="E7133">
            <v>46209</v>
          </cell>
        </row>
        <row r="7134">
          <cell r="A7134" t="str">
            <v>2625BJ67</v>
          </cell>
          <cell r="D7134" t="str">
            <v>KBP86</v>
          </cell>
          <cell r="E7134">
            <v>46209</v>
          </cell>
        </row>
        <row r="7135">
          <cell r="A7135" t="str">
            <v>2614YS47</v>
          </cell>
          <cell r="D7135" t="str">
            <v>S706</v>
          </cell>
          <cell r="E7135">
            <v>46209</v>
          </cell>
        </row>
        <row r="7136">
          <cell r="A7136" t="str">
            <v>2624IS47</v>
          </cell>
          <cell r="D7136" t="str">
            <v>KBP86</v>
          </cell>
          <cell r="E7136">
            <v>46209</v>
          </cell>
        </row>
        <row r="7137">
          <cell r="A7137" t="str">
            <v>2622P137</v>
          </cell>
          <cell r="D7137" t="str">
            <v>KBP52</v>
          </cell>
          <cell r="E7137">
            <v>46209</v>
          </cell>
        </row>
        <row r="7138">
          <cell r="A7138" t="str">
            <v>2625DY67</v>
          </cell>
          <cell r="D7138" t="str">
            <v>KBP52</v>
          </cell>
          <cell r="E7138">
            <v>46209</v>
          </cell>
        </row>
        <row r="7139">
          <cell r="A7139" t="str">
            <v>2624EW67</v>
          </cell>
          <cell r="D7139" t="str">
            <v>KBP52</v>
          </cell>
          <cell r="E7139">
            <v>46209</v>
          </cell>
        </row>
        <row r="7140">
          <cell r="A7140" t="str">
            <v>2624FD80</v>
          </cell>
          <cell r="D7140" t="str">
            <v>TTS125</v>
          </cell>
          <cell r="E7140">
            <v>46209</v>
          </cell>
        </row>
        <row r="7141">
          <cell r="A7141" t="str">
            <v>2625BC67</v>
          </cell>
          <cell r="D7141" t="str">
            <v>FTW121KE</v>
          </cell>
          <cell r="E7141">
            <v>46209</v>
          </cell>
        </row>
        <row r="7142">
          <cell r="A7142" t="str">
            <v>2615ED57</v>
          </cell>
          <cell r="D7142" t="str">
            <v>KBP52</v>
          </cell>
          <cell r="E7142">
            <v>46209</v>
          </cell>
        </row>
        <row r="7143">
          <cell r="A7143" t="str">
            <v>2625GD67</v>
          </cell>
          <cell r="D7143" t="str">
            <v>TTS80</v>
          </cell>
          <cell r="E7143">
            <v>46209</v>
          </cell>
        </row>
        <row r="7144">
          <cell r="A7144" t="str">
            <v>2619DG47</v>
          </cell>
          <cell r="D7144" t="str">
            <v>TTS50</v>
          </cell>
          <cell r="E7144">
            <v>46209</v>
          </cell>
        </row>
        <row r="7145">
          <cell r="A7145" t="str">
            <v>2624JZ47</v>
          </cell>
          <cell r="D7145" t="str">
            <v>KBP86</v>
          </cell>
          <cell r="E7145">
            <v>46209</v>
          </cell>
        </row>
        <row r="7146">
          <cell r="A7146" t="str">
            <v>2621Q917</v>
          </cell>
          <cell r="D7146" t="str">
            <v>KBP86</v>
          </cell>
          <cell r="E7146">
            <v>46209</v>
          </cell>
        </row>
        <row r="7147">
          <cell r="A7147" t="str">
            <v>2625LE47</v>
          </cell>
          <cell r="D7147" t="str">
            <v>STA156KA</v>
          </cell>
          <cell r="E7147">
            <v>46209</v>
          </cell>
        </row>
        <row r="7148">
          <cell r="A7148" t="str">
            <v>2624FF50</v>
          </cell>
          <cell r="D7148" t="str">
            <v>TTS125</v>
          </cell>
          <cell r="E7148">
            <v>46209</v>
          </cell>
        </row>
        <row r="7149">
          <cell r="A7149" t="str">
            <v>2623FA27</v>
          </cell>
          <cell r="D7149" t="str">
            <v>FTW700</v>
          </cell>
          <cell r="E7149">
            <v>46209</v>
          </cell>
        </row>
        <row r="7150">
          <cell r="A7150" t="str">
            <v>2614Y247</v>
          </cell>
          <cell r="D7150" t="str">
            <v>S706</v>
          </cell>
          <cell r="E7150">
            <v>46209</v>
          </cell>
        </row>
        <row r="7151">
          <cell r="A7151" t="str">
            <v>2623KQ37</v>
          </cell>
          <cell r="D7151" t="str">
            <v>TTS50</v>
          </cell>
          <cell r="E7151">
            <v>46209</v>
          </cell>
        </row>
        <row r="7152">
          <cell r="A7152" t="str">
            <v>2624FE90</v>
          </cell>
          <cell r="D7152" t="str">
            <v>TTS125</v>
          </cell>
          <cell r="E7152">
            <v>46209</v>
          </cell>
        </row>
        <row r="7153">
          <cell r="A7153" t="str">
            <v>2625L337</v>
          </cell>
          <cell r="D7153" t="str">
            <v>KBP76</v>
          </cell>
          <cell r="E7153">
            <v>46209</v>
          </cell>
        </row>
        <row r="7154">
          <cell r="A7154" t="str">
            <v>2625B267</v>
          </cell>
          <cell r="D7154" t="str">
            <v>FTW121KE</v>
          </cell>
          <cell r="E7154">
            <v>46209</v>
          </cell>
        </row>
        <row r="7155">
          <cell r="A7155" t="str">
            <v>2620JY37</v>
          </cell>
          <cell r="D7155" t="str">
            <v>TTS50</v>
          </cell>
          <cell r="E7155">
            <v>46209</v>
          </cell>
        </row>
        <row r="7156">
          <cell r="A7156" t="str">
            <v>2625PB67</v>
          </cell>
          <cell r="D7156" t="str">
            <v>FTW121KE</v>
          </cell>
          <cell r="E7156">
            <v>46209</v>
          </cell>
        </row>
        <row r="7157">
          <cell r="A7157" t="str">
            <v>2615ZJ17</v>
          </cell>
          <cell r="D7157" t="str">
            <v>S706</v>
          </cell>
          <cell r="E7157">
            <v>46209</v>
          </cell>
        </row>
        <row r="7158">
          <cell r="A7158" t="str">
            <v>2620PK37</v>
          </cell>
          <cell r="D7158" t="str">
            <v>TTS50</v>
          </cell>
          <cell r="E7158">
            <v>46209</v>
          </cell>
        </row>
        <row r="7159">
          <cell r="A7159" t="str">
            <v>2625KR27</v>
          </cell>
          <cell r="D7159" t="str">
            <v>S805</v>
          </cell>
          <cell r="E7159">
            <v>46209</v>
          </cell>
        </row>
        <row r="7160">
          <cell r="A7160" t="str">
            <v>2625L157</v>
          </cell>
          <cell r="D7160" t="str">
            <v>S706</v>
          </cell>
          <cell r="E7160">
            <v>46209</v>
          </cell>
        </row>
        <row r="7161">
          <cell r="A7161" t="str">
            <v>2608Q627</v>
          </cell>
          <cell r="D7161" t="str">
            <v>TTS80</v>
          </cell>
          <cell r="E7161">
            <v>46208</v>
          </cell>
        </row>
        <row r="7162">
          <cell r="A7162" t="str">
            <v>2622Z357</v>
          </cell>
          <cell r="D7162" t="str">
            <v>TTS50</v>
          </cell>
          <cell r="E7162">
            <v>46208</v>
          </cell>
        </row>
        <row r="7163">
          <cell r="A7163" t="str">
            <v>2607C267</v>
          </cell>
          <cell r="D7163" t="str">
            <v>TTS80</v>
          </cell>
          <cell r="E7163">
            <v>46208</v>
          </cell>
        </row>
        <row r="7164">
          <cell r="A7164" t="str">
            <v>2615ZL27</v>
          </cell>
          <cell r="D7164" t="str">
            <v>S706</v>
          </cell>
          <cell r="E7164">
            <v>46208</v>
          </cell>
        </row>
        <row r="7165">
          <cell r="A7165" t="str">
            <v>2624L627</v>
          </cell>
          <cell r="D7165" t="str">
            <v>KBP76</v>
          </cell>
          <cell r="E7165">
            <v>46208</v>
          </cell>
        </row>
        <row r="7166">
          <cell r="A7166" t="str">
            <v>2542Z247</v>
          </cell>
          <cell r="D7166" t="str">
            <v>TTS50</v>
          </cell>
          <cell r="E7166">
            <v>46208</v>
          </cell>
        </row>
        <row r="7167">
          <cell r="A7167" t="str">
            <v>2616A647</v>
          </cell>
          <cell r="D7167" t="str">
            <v>STA156KA</v>
          </cell>
          <cell r="E7167">
            <v>46208</v>
          </cell>
        </row>
        <row r="7168">
          <cell r="A7168" t="str">
            <v>2542Z247</v>
          </cell>
          <cell r="D7168" t="str">
            <v>TTS50</v>
          </cell>
          <cell r="E7168">
            <v>46208</v>
          </cell>
        </row>
        <row r="7169">
          <cell r="A7169" t="str">
            <v>2622VN47</v>
          </cell>
          <cell r="D7169" t="str">
            <v>KBP76</v>
          </cell>
          <cell r="E7169">
            <v>46208</v>
          </cell>
        </row>
        <row r="7170">
          <cell r="A7170" t="str">
            <v>2622Z357</v>
          </cell>
          <cell r="D7170" t="str">
            <v>TTS50</v>
          </cell>
          <cell r="E7170">
            <v>46208</v>
          </cell>
        </row>
        <row r="7171">
          <cell r="A7171" t="str">
            <v>2625BE67</v>
          </cell>
          <cell r="D7171" t="str">
            <v>FTW121KE</v>
          </cell>
          <cell r="E7171">
            <v>46208</v>
          </cell>
        </row>
        <row r="7172">
          <cell r="A7172" t="str">
            <v>2624S637</v>
          </cell>
          <cell r="D7172" t="str">
            <v>TTS80</v>
          </cell>
          <cell r="E7172">
            <v>46208</v>
          </cell>
        </row>
        <row r="7173">
          <cell r="A7173" t="str">
            <v>2625LK57</v>
          </cell>
          <cell r="D7173" t="str">
            <v>KBP52</v>
          </cell>
          <cell r="E7173">
            <v>46208</v>
          </cell>
        </row>
        <row r="7174">
          <cell r="A7174" t="str">
            <v>2625OS67</v>
          </cell>
          <cell r="D7174" t="str">
            <v>FTW121KE</v>
          </cell>
          <cell r="E7174">
            <v>46208</v>
          </cell>
        </row>
        <row r="7175">
          <cell r="A7175" t="str">
            <v>2625SG67</v>
          </cell>
          <cell r="D7175" t="str">
            <v>KBP55</v>
          </cell>
          <cell r="E7175">
            <v>46208</v>
          </cell>
        </row>
        <row r="7176">
          <cell r="A7176" t="str">
            <v>2624HL67</v>
          </cell>
          <cell r="D7176" t="str">
            <v>KBP55</v>
          </cell>
          <cell r="E7176">
            <v>46208</v>
          </cell>
        </row>
        <row r="7177">
          <cell r="A7177" t="str">
            <v>2625GF67</v>
          </cell>
          <cell r="D7177" t="str">
            <v>TTS80</v>
          </cell>
          <cell r="E7177">
            <v>46208</v>
          </cell>
        </row>
        <row r="7178">
          <cell r="A7178" t="str">
            <v>2625B967</v>
          </cell>
          <cell r="D7178" t="str">
            <v>FTW121KE</v>
          </cell>
          <cell r="E7178">
            <v>46208</v>
          </cell>
        </row>
        <row r="7179">
          <cell r="A7179" t="str">
            <v>2620E467</v>
          </cell>
          <cell r="D7179" t="str">
            <v>KBP86</v>
          </cell>
          <cell r="E7179">
            <v>46208</v>
          </cell>
        </row>
        <row r="7180">
          <cell r="A7180" t="str">
            <v>2624E737</v>
          </cell>
          <cell r="D7180" t="str">
            <v>STA156KA</v>
          </cell>
          <cell r="E7180">
            <v>46208</v>
          </cell>
        </row>
        <row r="7181">
          <cell r="A7181" t="str">
            <v>2624GE67</v>
          </cell>
          <cell r="D7181" t="str">
            <v>KBP76</v>
          </cell>
          <cell r="E7181">
            <v>46208</v>
          </cell>
        </row>
        <row r="7182">
          <cell r="A7182" t="str">
            <v>2624PP47</v>
          </cell>
          <cell r="D7182" t="str">
            <v>TTS50</v>
          </cell>
          <cell r="E7182">
            <v>46208</v>
          </cell>
        </row>
        <row r="7183">
          <cell r="A7183" t="str">
            <v>2625IZ47</v>
          </cell>
          <cell r="D7183" t="str">
            <v>FTW700</v>
          </cell>
          <cell r="E7183">
            <v>46208</v>
          </cell>
        </row>
        <row r="7184">
          <cell r="A7184" t="str">
            <v>2626KP27</v>
          </cell>
          <cell r="D7184" t="str">
            <v>FTW121KE</v>
          </cell>
          <cell r="E7184">
            <v>46208</v>
          </cell>
        </row>
        <row r="7185">
          <cell r="A7185" t="str">
            <v>2614YB47</v>
          </cell>
          <cell r="D7185" t="str">
            <v>S706</v>
          </cell>
          <cell r="E7185">
            <v>46208</v>
          </cell>
        </row>
        <row r="7186">
          <cell r="A7186" t="str">
            <v>2625I647</v>
          </cell>
          <cell r="D7186" t="str">
            <v>KBP76</v>
          </cell>
          <cell r="E7186">
            <v>46208</v>
          </cell>
        </row>
        <row r="7187">
          <cell r="A7187" t="str">
            <v>2625AQ67</v>
          </cell>
          <cell r="D7187" t="str">
            <v>FTW700</v>
          </cell>
          <cell r="E7187">
            <v>46208</v>
          </cell>
        </row>
        <row r="7188">
          <cell r="A7188" t="str">
            <v>2624HD67</v>
          </cell>
          <cell r="D7188" t="str">
            <v>TTS50</v>
          </cell>
          <cell r="E7188">
            <v>46208</v>
          </cell>
        </row>
        <row r="7189">
          <cell r="A7189" t="str">
            <v>2622DN67</v>
          </cell>
          <cell r="D7189" t="str">
            <v>KBP76</v>
          </cell>
          <cell r="E7189">
            <v>46208</v>
          </cell>
        </row>
        <row r="7190">
          <cell r="A7190" t="str">
            <v>2620BL67</v>
          </cell>
          <cell r="D7190" t="str">
            <v>TTS50</v>
          </cell>
          <cell r="E7190">
            <v>46208</v>
          </cell>
        </row>
        <row r="7191">
          <cell r="A7191" t="str">
            <v>2625K437</v>
          </cell>
          <cell r="D7191" t="str">
            <v>KBP86</v>
          </cell>
          <cell r="E7191">
            <v>46208</v>
          </cell>
        </row>
        <row r="7192">
          <cell r="A7192" t="str">
            <v>2624J957</v>
          </cell>
          <cell r="D7192" t="str">
            <v>FTW102K</v>
          </cell>
          <cell r="E7192">
            <v>46208</v>
          </cell>
        </row>
        <row r="7193">
          <cell r="A7193" t="str">
            <v>2620DW67</v>
          </cell>
          <cell r="D7193" t="str">
            <v>KBP86</v>
          </cell>
          <cell r="E7193">
            <v>46208</v>
          </cell>
        </row>
        <row r="7194">
          <cell r="A7194" t="str">
            <v>2624QR37</v>
          </cell>
          <cell r="D7194" t="str">
            <v>TTS50</v>
          </cell>
          <cell r="E7194">
            <v>46208</v>
          </cell>
        </row>
        <row r="7195">
          <cell r="A7195" t="str">
            <v>2624KC47</v>
          </cell>
          <cell r="D7195" t="str">
            <v>KBP76</v>
          </cell>
          <cell r="E7195">
            <v>46208</v>
          </cell>
        </row>
        <row r="7196">
          <cell r="A7196" t="str">
            <v>2625V857</v>
          </cell>
          <cell r="D7196" t="str">
            <v>KBP126</v>
          </cell>
          <cell r="E7196">
            <v>46208</v>
          </cell>
        </row>
        <row r="7197">
          <cell r="A7197" t="str">
            <v>2622V947</v>
          </cell>
          <cell r="D7197" t="str">
            <v>TTS50</v>
          </cell>
          <cell r="E7197">
            <v>46208</v>
          </cell>
        </row>
        <row r="7198">
          <cell r="A7198" t="str">
            <v>2625A857</v>
          </cell>
          <cell r="D7198" t="str">
            <v>KBP126</v>
          </cell>
          <cell r="E7198">
            <v>46208</v>
          </cell>
        </row>
        <row r="7199">
          <cell r="A7199" t="str">
            <v>2625U527</v>
          </cell>
          <cell r="D7199" t="str">
            <v>TTS80</v>
          </cell>
          <cell r="E7199">
            <v>46208</v>
          </cell>
        </row>
        <row r="7200">
          <cell r="A7200" t="str">
            <v>2625AT57</v>
          </cell>
          <cell r="D7200" t="str">
            <v>STA156KA</v>
          </cell>
          <cell r="E7200">
            <v>46208</v>
          </cell>
        </row>
        <row r="7201">
          <cell r="A7201" t="str">
            <v>2625CC67</v>
          </cell>
          <cell r="D7201" t="str">
            <v>KBP86</v>
          </cell>
          <cell r="E7201">
            <v>46208</v>
          </cell>
        </row>
        <row r="7202">
          <cell r="A7202" t="str">
            <v>2625LZ67</v>
          </cell>
          <cell r="D7202" t="str">
            <v>KBP76</v>
          </cell>
          <cell r="E7202">
            <v>46208</v>
          </cell>
        </row>
        <row r="7203">
          <cell r="A7203" t="str">
            <v>2624FE67</v>
          </cell>
          <cell r="D7203" t="str">
            <v>TTS50</v>
          </cell>
          <cell r="E7203">
            <v>46208</v>
          </cell>
        </row>
        <row r="7204">
          <cell r="A7204" t="str">
            <v>2623DM27</v>
          </cell>
          <cell r="D7204" t="str">
            <v>TTS50</v>
          </cell>
          <cell r="E7204">
            <v>46208</v>
          </cell>
        </row>
        <row r="7205">
          <cell r="A7205" t="str">
            <v>2624OY47</v>
          </cell>
          <cell r="D7205" t="str">
            <v>TTS50</v>
          </cell>
          <cell r="E7205">
            <v>46208</v>
          </cell>
        </row>
        <row r="7206">
          <cell r="A7206" t="str">
            <v>2624CS27</v>
          </cell>
          <cell r="D7206" t="str">
            <v>STA156KA</v>
          </cell>
          <cell r="E7206">
            <v>46208</v>
          </cell>
        </row>
        <row r="7207">
          <cell r="A7207" t="str">
            <v>2625A667</v>
          </cell>
          <cell r="D7207" t="str">
            <v>S805</v>
          </cell>
          <cell r="E7207">
            <v>46208</v>
          </cell>
        </row>
        <row r="7208">
          <cell r="A7208" t="str">
            <v>2624DY67</v>
          </cell>
          <cell r="D7208" t="str">
            <v>KBP86</v>
          </cell>
          <cell r="E7208">
            <v>46208</v>
          </cell>
        </row>
        <row r="7209">
          <cell r="A7209" t="str">
            <v>2623DV67</v>
          </cell>
          <cell r="D7209" t="str">
            <v>TTS50</v>
          </cell>
          <cell r="E7209">
            <v>46208</v>
          </cell>
        </row>
        <row r="7210">
          <cell r="A7210" t="str">
            <v>2624QS37</v>
          </cell>
          <cell r="D7210" t="str">
            <v>TTS50</v>
          </cell>
          <cell r="E7210">
            <v>46208</v>
          </cell>
        </row>
        <row r="7211">
          <cell r="A7211" t="str">
            <v>2625IR37</v>
          </cell>
          <cell r="D7211" t="str">
            <v>FTW400</v>
          </cell>
          <cell r="E7211">
            <v>46208</v>
          </cell>
        </row>
        <row r="7212">
          <cell r="A7212" t="str">
            <v>2626JA27</v>
          </cell>
          <cell r="D7212" t="str">
            <v>FTP150</v>
          </cell>
          <cell r="E7212">
            <v>46208</v>
          </cell>
        </row>
        <row r="7213">
          <cell r="A7213" t="str">
            <v>2623KT37</v>
          </cell>
          <cell r="D7213" t="str">
            <v>TTS50</v>
          </cell>
          <cell r="E7213">
            <v>46208</v>
          </cell>
        </row>
        <row r="7214">
          <cell r="A7214" t="str">
            <v>2613ZK47</v>
          </cell>
          <cell r="D7214" t="str">
            <v>S706</v>
          </cell>
          <cell r="E7214">
            <v>46208</v>
          </cell>
        </row>
        <row r="7215">
          <cell r="A7215" t="str">
            <v>2625PT27</v>
          </cell>
          <cell r="D7215" t="str">
            <v>S706</v>
          </cell>
          <cell r="E7215">
            <v>46208</v>
          </cell>
        </row>
        <row r="7216">
          <cell r="A7216" t="str">
            <v>2615ZJ27</v>
          </cell>
          <cell r="D7216" t="str">
            <v>S706</v>
          </cell>
          <cell r="E7216">
            <v>46208</v>
          </cell>
        </row>
        <row r="7217">
          <cell r="A7217" t="str">
            <v>2623JC37</v>
          </cell>
          <cell r="D7217" t="str">
            <v>TTS50</v>
          </cell>
          <cell r="E7217">
            <v>46208</v>
          </cell>
        </row>
        <row r="7218">
          <cell r="A7218" t="str">
            <v>2625O567</v>
          </cell>
          <cell r="D7218" t="str">
            <v>KBP76</v>
          </cell>
          <cell r="E7218">
            <v>46208</v>
          </cell>
        </row>
        <row r="7219">
          <cell r="A7219" t="str">
            <v>2625LP57</v>
          </cell>
          <cell r="D7219" t="str">
            <v>STA156KA</v>
          </cell>
          <cell r="E7219">
            <v>46208</v>
          </cell>
        </row>
        <row r="7220">
          <cell r="A7220" t="str">
            <v>2625P567</v>
          </cell>
          <cell r="D7220" t="str">
            <v>FTW121KE</v>
          </cell>
          <cell r="E7220">
            <v>46208</v>
          </cell>
        </row>
        <row r="7221">
          <cell r="A7221" t="str">
            <v>2625JV37</v>
          </cell>
          <cell r="D7221" t="str">
            <v>KBP86</v>
          </cell>
          <cell r="E7221">
            <v>46208</v>
          </cell>
        </row>
        <row r="7222">
          <cell r="A7222" t="str">
            <v>2623OC37</v>
          </cell>
          <cell r="D7222" t="str">
            <v>FTW102K</v>
          </cell>
          <cell r="E7222">
            <v>46208</v>
          </cell>
        </row>
        <row r="7223">
          <cell r="A7223" t="str">
            <v>2624JR37</v>
          </cell>
          <cell r="D7223" t="str">
            <v>TTS50</v>
          </cell>
          <cell r="E7223">
            <v>46208</v>
          </cell>
        </row>
        <row r="7224">
          <cell r="A7224" t="str">
            <v>2625PU27</v>
          </cell>
          <cell r="D7224" t="str">
            <v>KBP52</v>
          </cell>
          <cell r="E7224">
            <v>46208</v>
          </cell>
        </row>
        <row r="7225">
          <cell r="A7225" t="str">
            <v>2620J417</v>
          </cell>
          <cell r="D7225" t="str">
            <v>TTS50</v>
          </cell>
          <cell r="E7225">
            <v>46208</v>
          </cell>
        </row>
        <row r="7226">
          <cell r="A7226" t="str">
            <v>2625JA47</v>
          </cell>
          <cell r="D7226" t="str">
            <v>FTW121KE</v>
          </cell>
          <cell r="E7226">
            <v>46208</v>
          </cell>
        </row>
        <row r="7227">
          <cell r="A7227" t="str">
            <v>2619II37</v>
          </cell>
          <cell r="D7227" t="str">
            <v>TTS50</v>
          </cell>
          <cell r="E7227">
            <v>46208</v>
          </cell>
        </row>
        <row r="7228">
          <cell r="A7228" t="str">
            <v>2620DZ67</v>
          </cell>
          <cell r="D7228" t="str">
            <v>KBP86</v>
          </cell>
          <cell r="E7228">
            <v>46208</v>
          </cell>
        </row>
        <row r="7229">
          <cell r="A7229" t="str">
            <v>2624JA57</v>
          </cell>
          <cell r="D7229" t="str">
            <v>FTW102K</v>
          </cell>
          <cell r="E7229">
            <v>46208</v>
          </cell>
        </row>
        <row r="7230">
          <cell r="A7230" t="str">
            <v>2622VN57</v>
          </cell>
          <cell r="D7230" t="str">
            <v>TTS50</v>
          </cell>
          <cell r="E7230">
            <v>46208</v>
          </cell>
        </row>
        <row r="7231">
          <cell r="A7231" t="str">
            <v>2625OX67</v>
          </cell>
          <cell r="D7231" t="str">
            <v>FTW121KE</v>
          </cell>
          <cell r="E7231">
            <v>46208</v>
          </cell>
        </row>
        <row r="7232">
          <cell r="A7232" t="str">
            <v>2625CA67</v>
          </cell>
          <cell r="D7232" t="str">
            <v>KBP86</v>
          </cell>
          <cell r="E7232">
            <v>46208</v>
          </cell>
        </row>
        <row r="7233">
          <cell r="A7233" t="str">
            <v>2625P267</v>
          </cell>
          <cell r="D7233" t="str">
            <v>FTW121KE</v>
          </cell>
          <cell r="E7233">
            <v>46208</v>
          </cell>
        </row>
        <row r="7234">
          <cell r="A7234" t="str">
            <v>2624K147</v>
          </cell>
          <cell r="D7234" t="str">
            <v>KBP86</v>
          </cell>
          <cell r="E7234">
            <v>46208</v>
          </cell>
        </row>
        <row r="7235">
          <cell r="A7235" t="str">
            <v>2625K147</v>
          </cell>
          <cell r="D7235" t="str">
            <v>KBP86</v>
          </cell>
          <cell r="E7235">
            <v>46208</v>
          </cell>
        </row>
        <row r="7236">
          <cell r="A7236" t="str">
            <v>2625QW57</v>
          </cell>
          <cell r="D7236" t="str">
            <v>FTW121KE</v>
          </cell>
          <cell r="E7236">
            <v>46208</v>
          </cell>
        </row>
        <row r="7237">
          <cell r="A7237" t="str">
            <v>2625LW17</v>
          </cell>
          <cell r="D7237" t="str">
            <v>KBP86</v>
          </cell>
          <cell r="E7237">
            <v>46208</v>
          </cell>
        </row>
        <row r="7238">
          <cell r="A7238" t="str">
            <v>2622CR67</v>
          </cell>
          <cell r="D7238" t="str">
            <v>TTS50</v>
          </cell>
          <cell r="E7238">
            <v>46208</v>
          </cell>
        </row>
        <row r="7239">
          <cell r="A7239" t="str">
            <v>2625JD17</v>
          </cell>
          <cell r="D7239" t="str">
            <v>S805</v>
          </cell>
          <cell r="E7239">
            <v>46208</v>
          </cell>
        </row>
        <row r="7240">
          <cell r="A7240" t="str">
            <v>2619D937</v>
          </cell>
          <cell r="D7240" t="str">
            <v>TTS50</v>
          </cell>
          <cell r="E7240">
            <v>46208</v>
          </cell>
        </row>
        <row r="7241">
          <cell r="A7241" t="str">
            <v>2626S427</v>
          </cell>
          <cell r="D7241" t="str">
            <v>TTS80</v>
          </cell>
          <cell r="E7241">
            <v>46208</v>
          </cell>
        </row>
        <row r="7242">
          <cell r="A7242" t="str">
            <v>2625I357</v>
          </cell>
          <cell r="D7242" t="str">
            <v>KBP76</v>
          </cell>
          <cell r="E7242">
            <v>46208</v>
          </cell>
        </row>
        <row r="7243">
          <cell r="A7243" t="str">
            <v>2625GH67</v>
          </cell>
          <cell r="D7243" t="str">
            <v>TTS80</v>
          </cell>
          <cell r="E7243">
            <v>46208</v>
          </cell>
        </row>
        <row r="7244">
          <cell r="A7244" t="str">
            <v>2625LJ57</v>
          </cell>
          <cell r="D7244" t="str">
            <v>KBP52</v>
          </cell>
          <cell r="E7244">
            <v>46208</v>
          </cell>
        </row>
        <row r="7245">
          <cell r="A7245" t="str">
            <v>2621IP27</v>
          </cell>
          <cell r="D7245" t="str">
            <v>KBP52</v>
          </cell>
          <cell r="E7245">
            <v>46208</v>
          </cell>
        </row>
        <row r="7246">
          <cell r="A7246" t="str">
            <v>2625EC67</v>
          </cell>
          <cell r="D7246" t="str">
            <v>KBP76</v>
          </cell>
          <cell r="E7246">
            <v>46208</v>
          </cell>
        </row>
        <row r="7247">
          <cell r="A7247" t="str">
            <v>2624DR17</v>
          </cell>
          <cell r="D7247" t="str">
            <v>TTS50</v>
          </cell>
          <cell r="E7247">
            <v>46208</v>
          </cell>
        </row>
        <row r="7248">
          <cell r="A7248" t="str">
            <v>2623GP67</v>
          </cell>
          <cell r="D7248" t="str">
            <v>FTW102K</v>
          </cell>
          <cell r="E7248">
            <v>46208</v>
          </cell>
        </row>
        <row r="7249">
          <cell r="A7249" t="str">
            <v>2625PC17</v>
          </cell>
          <cell r="D7249" t="str">
            <v>TTS50</v>
          </cell>
          <cell r="E7249">
            <v>46208</v>
          </cell>
        </row>
        <row r="7250">
          <cell r="A7250" t="str">
            <v>2625LO57</v>
          </cell>
          <cell r="D7250" t="str">
            <v>STA156KA</v>
          </cell>
          <cell r="E7250">
            <v>46208</v>
          </cell>
        </row>
        <row r="7251">
          <cell r="A7251" t="str">
            <v>2620J917</v>
          </cell>
          <cell r="D7251" t="str">
            <v>TTS50</v>
          </cell>
          <cell r="E7251">
            <v>46208</v>
          </cell>
        </row>
        <row r="7252">
          <cell r="A7252" t="str">
            <v>2625JR37</v>
          </cell>
          <cell r="D7252" t="str">
            <v>FTW121KE</v>
          </cell>
          <cell r="E7252">
            <v>46208</v>
          </cell>
        </row>
        <row r="7253">
          <cell r="A7253" t="str">
            <v>2613ZV47</v>
          </cell>
          <cell r="D7253" t="str">
            <v>S706</v>
          </cell>
          <cell r="E7253">
            <v>46208</v>
          </cell>
        </row>
        <row r="7254">
          <cell r="A7254" t="str">
            <v>2625LP47</v>
          </cell>
          <cell r="D7254" t="str">
            <v>KBP55</v>
          </cell>
          <cell r="E7254">
            <v>46208</v>
          </cell>
        </row>
        <row r="7255">
          <cell r="A7255" t="str">
            <v>2624QT37</v>
          </cell>
          <cell r="D7255" t="str">
            <v>TTS50</v>
          </cell>
          <cell r="E7255">
            <v>46208</v>
          </cell>
        </row>
        <row r="7256">
          <cell r="A7256" t="str">
            <v>2625P667</v>
          </cell>
          <cell r="D7256" t="str">
            <v>FTW121KE</v>
          </cell>
          <cell r="E7256">
            <v>46208</v>
          </cell>
        </row>
        <row r="7257">
          <cell r="A7257" t="str">
            <v>2623DQ27</v>
          </cell>
          <cell r="D7257" t="str">
            <v>TTS50</v>
          </cell>
          <cell r="E7257">
            <v>46208</v>
          </cell>
        </row>
        <row r="7258">
          <cell r="A7258" t="str">
            <v>2625SX27</v>
          </cell>
          <cell r="D7258" t="str">
            <v>TTS80</v>
          </cell>
          <cell r="E7258">
            <v>46208</v>
          </cell>
        </row>
        <row r="7259">
          <cell r="A7259" t="str">
            <v>2620IY27</v>
          </cell>
          <cell r="D7259" t="str">
            <v>TTS50</v>
          </cell>
          <cell r="E7259">
            <v>46208</v>
          </cell>
        </row>
        <row r="7260">
          <cell r="A7260" t="str">
            <v>2625K157</v>
          </cell>
          <cell r="D7260" t="str">
            <v>FTW700</v>
          </cell>
          <cell r="E7260">
            <v>46208</v>
          </cell>
        </row>
        <row r="7261">
          <cell r="A7261" t="str">
            <v>2624IM17</v>
          </cell>
          <cell r="D7261" t="str">
            <v>KBP76</v>
          </cell>
          <cell r="E7261">
            <v>46208</v>
          </cell>
        </row>
        <row r="7262">
          <cell r="A7262" t="str">
            <v>2622QR27</v>
          </cell>
          <cell r="D7262" t="str">
            <v>KBP86</v>
          </cell>
          <cell r="E7262">
            <v>46208</v>
          </cell>
        </row>
        <row r="7263">
          <cell r="A7263" t="str">
            <v>2623O937</v>
          </cell>
          <cell r="D7263" t="str">
            <v>FTW102K</v>
          </cell>
          <cell r="E7263">
            <v>46208</v>
          </cell>
        </row>
        <row r="7264">
          <cell r="A7264" t="str">
            <v>2625KB57</v>
          </cell>
          <cell r="D7264" t="str">
            <v>S706</v>
          </cell>
          <cell r="E7264">
            <v>46208</v>
          </cell>
        </row>
        <row r="7265">
          <cell r="A7265" t="str">
            <v>2624JL57</v>
          </cell>
          <cell r="D7265" t="str">
            <v>FTW102K</v>
          </cell>
          <cell r="E7265">
            <v>46208</v>
          </cell>
        </row>
        <row r="7266">
          <cell r="A7266" t="str">
            <v>2613ZK37</v>
          </cell>
          <cell r="D7266" t="str">
            <v>S706</v>
          </cell>
          <cell r="E7266">
            <v>46208</v>
          </cell>
        </row>
        <row r="7267">
          <cell r="A7267" t="str">
            <v>2625LI57</v>
          </cell>
          <cell r="D7267" t="str">
            <v>KBP52</v>
          </cell>
          <cell r="E7267">
            <v>46208</v>
          </cell>
        </row>
        <row r="7268">
          <cell r="A7268" t="str">
            <v>2625A957</v>
          </cell>
          <cell r="D7268" t="str">
            <v>KBP126</v>
          </cell>
          <cell r="E7268">
            <v>46208</v>
          </cell>
        </row>
        <row r="7269">
          <cell r="A7269" t="str">
            <v>2626J627</v>
          </cell>
          <cell r="D7269" t="str">
            <v>FTP150</v>
          </cell>
          <cell r="E7269">
            <v>46208</v>
          </cell>
        </row>
        <row r="7270">
          <cell r="A7270" t="str">
            <v>2625OY17</v>
          </cell>
          <cell r="D7270" t="str">
            <v>S706</v>
          </cell>
          <cell r="E7270">
            <v>46208</v>
          </cell>
        </row>
        <row r="7271">
          <cell r="A7271" t="str">
            <v>2626JS17</v>
          </cell>
          <cell r="D7271" t="str">
            <v>FTW121KE</v>
          </cell>
          <cell r="E7271">
            <v>46208</v>
          </cell>
        </row>
        <row r="7272">
          <cell r="A7272" t="str">
            <v>2624EY67</v>
          </cell>
          <cell r="D7272" t="str">
            <v>KBP52</v>
          </cell>
          <cell r="E7272">
            <v>46208</v>
          </cell>
        </row>
        <row r="7273">
          <cell r="A7273" t="str">
            <v>2621LX27</v>
          </cell>
          <cell r="D7273" t="str">
            <v>TTS50</v>
          </cell>
          <cell r="E7273">
            <v>46208</v>
          </cell>
        </row>
        <row r="7274">
          <cell r="A7274" t="str">
            <v>2618KQ37</v>
          </cell>
          <cell r="D7274" t="str">
            <v>TTS50</v>
          </cell>
          <cell r="E7274">
            <v>46208</v>
          </cell>
        </row>
        <row r="7275">
          <cell r="A7275" t="str">
            <v>2625GI67</v>
          </cell>
          <cell r="D7275" t="str">
            <v>TTS80</v>
          </cell>
          <cell r="E7275">
            <v>46208</v>
          </cell>
        </row>
        <row r="7276">
          <cell r="A7276" t="str">
            <v>2624HE67</v>
          </cell>
          <cell r="D7276" t="str">
            <v>TTS50</v>
          </cell>
          <cell r="E7276">
            <v>46208</v>
          </cell>
        </row>
        <row r="7277">
          <cell r="A7277" t="str">
            <v>2622VR57</v>
          </cell>
          <cell r="D7277" t="str">
            <v>TTS50</v>
          </cell>
          <cell r="E7277">
            <v>46208</v>
          </cell>
        </row>
        <row r="7278">
          <cell r="A7278" t="str">
            <v>2625G867</v>
          </cell>
          <cell r="D7278" t="str">
            <v>TTS80</v>
          </cell>
          <cell r="E7278">
            <v>46208</v>
          </cell>
        </row>
        <row r="7279">
          <cell r="A7279" t="str">
            <v>2623JD17</v>
          </cell>
          <cell r="D7279" t="str">
            <v>TTS50</v>
          </cell>
          <cell r="E7279">
            <v>46208</v>
          </cell>
        </row>
        <row r="7280">
          <cell r="A7280" t="str">
            <v>2625IE37</v>
          </cell>
          <cell r="D7280" t="str">
            <v>KBP76</v>
          </cell>
          <cell r="E7280">
            <v>46208</v>
          </cell>
        </row>
        <row r="7281">
          <cell r="A7281" t="str">
            <v>2625KZ37</v>
          </cell>
          <cell r="D7281" t="str">
            <v>FTW102K</v>
          </cell>
          <cell r="E7281">
            <v>46208</v>
          </cell>
        </row>
        <row r="7282">
          <cell r="A7282" t="str">
            <v>2620JA17</v>
          </cell>
          <cell r="D7282" t="str">
            <v>TTS50</v>
          </cell>
          <cell r="E7282">
            <v>46208</v>
          </cell>
        </row>
        <row r="7283">
          <cell r="A7283" t="str">
            <v>2623JA47</v>
          </cell>
          <cell r="D7283" t="str">
            <v>TTS50</v>
          </cell>
          <cell r="E7283">
            <v>46208</v>
          </cell>
        </row>
        <row r="7284">
          <cell r="A7284" t="str">
            <v>2625GN67</v>
          </cell>
          <cell r="D7284" t="str">
            <v>TTS80</v>
          </cell>
          <cell r="E7284">
            <v>46208</v>
          </cell>
        </row>
        <row r="7285">
          <cell r="A7285" t="str">
            <v>2625JI47</v>
          </cell>
          <cell r="D7285" t="str">
            <v>FTW121KE</v>
          </cell>
          <cell r="E7285">
            <v>46208</v>
          </cell>
        </row>
        <row r="7286">
          <cell r="A7286" t="str">
            <v>2625LB47</v>
          </cell>
          <cell r="D7286" t="str">
            <v>STA156KA</v>
          </cell>
          <cell r="E7286">
            <v>46208</v>
          </cell>
        </row>
        <row r="7287">
          <cell r="A7287" t="str">
            <v>2625SK67</v>
          </cell>
          <cell r="D7287" t="str">
            <v>TTS80</v>
          </cell>
          <cell r="E7287">
            <v>46208</v>
          </cell>
        </row>
        <row r="7288">
          <cell r="A7288" t="str">
            <v>2625JV47</v>
          </cell>
          <cell r="D7288" t="str">
            <v>KBP86</v>
          </cell>
          <cell r="E7288">
            <v>46208</v>
          </cell>
        </row>
        <row r="7289">
          <cell r="A7289" t="str">
            <v>2624HX37</v>
          </cell>
          <cell r="D7289" t="str">
            <v>KBP76</v>
          </cell>
          <cell r="E7289">
            <v>46208</v>
          </cell>
        </row>
        <row r="7290">
          <cell r="A7290" t="str">
            <v>2622CZ67</v>
          </cell>
          <cell r="D7290" t="str">
            <v>TTS50</v>
          </cell>
          <cell r="E7290">
            <v>46208</v>
          </cell>
        </row>
        <row r="7291">
          <cell r="A7291" t="str">
            <v>2620JH37</v>
          </cell>
          <cell r="D7291" t="str">
            <v>TTS50</v>
          </cell>
          <cell r="E7291">
            <v>46208</v>
          </cell>
        </row>
        <row r="7292">
          <cell r="A7292" t="str">
            <v>2625I747</v>
          </cell>
          <cell r="D7292" t="str">
            <v>S805</v>
          </cell>
          <cell r="E7292">
            <v>46208</v>
          </cell>
        </row>
        <row r="7293">
          <cell r="A7293" t="str">
            <v>2620L717</v>
          </cell>
          <cell r="D7293" t="str">
            <v>TTS50</v>
          </cell>
          <cell r="E7293">
            <v>46208</v>
          </cell>
        </row>
        <row r="7294">
          <cell r="A7294" t="str">
            <v>2625KA47</v>
          </cell>
          <cell r="D7294" t="str">
            <v>S706</v>
          </cell>
          <cell r="E7294">
            <v>46208</v>
          </cell>
        </row>
        <row r="7295">
          <cell r="A7295" t="str">
            <v>2624JS37</v>
          </cell>
          <cell r="D7295" t="str">
            <v>TTS50</v>
          </cell>
          <cell r="E7295">
            <v>46208</v>
          </cell>
        </row>
        <row r="7296">
          <cell r="A7296" t="str">
            <v>2625PE67</v>
          </cell>
          <cell r="D7296" t="str">
            <v>FTW121KE</v>
          </cell>
          <cell r="E7296">
            <v>46208</v>
          </cell>
        </row>
        <row r="7297">
          <cell r="A7297" t="str">
            <v>2624EA27</v>
          </cell>
          <cell r="D7297" t="str">
            <v>STA156KA</v>
          </cell>
          <cell r="E7297">
            <v>46208</v>
          </cell>
        </row>
        <row r="7298">
          <cell r="A7298" t="str">
            <v>2619QK17</v>
          </cell>
          <cell r="D7298" t="str">
            <v>TTS50</v>
          </cell>
          <cell r="E7298">
            <v>46208</v>
          </cell>
        </row>
        <row r="7299">
          <cell r="A7299" t="str">
            <v>2624DS17</v>
          </cell>
          <cell r="D7299" t="str">
            <v>TTS50</v>
          </cell>
          <cell r="E7299">
            <v>46208</v>
          </cell>
        </row>
        <row r="7300">
          <cell r="A7300" t="str">
            <v>2624DC67</v>
          </cell>
          <cell r="D7300" t="str">
            <v>KBP86</v>
          </cell>
          <cell r="E7300">
            <v>46208</v>
          </cell>
        </row>
        <row r="7301">
          <cell r="A7301" t="str">
            <v>2625PK67</v>
          </cell>
          <cell r="D7301" t="str">
            <v>FTW121KE</v>
          </cell>
          <cell r="E7301">
            <v>46208</v>
          </cell>
        </row>
        <row r="7302">
          <cell r="A7302" t="str">
            <v>2625XU57</v>
          </cell>
          <cell r="D7302" t="str">
            <v>KBP76</v>
          </cell>
          <cell r="E7302">
            <v>46208</v>
          </cell>
        </row>
        <row r="7303">
          <cell r="A7303" t="str">
            <v>2625PI27</v>
          </cell>
          <cell r="D7303" t="str">
            <v>FTW102K</v>
          </cell>
          <cell r="E7303">
            <v>46208</v>
          </cell>
        </row>
        <row r="7304">
          <cell r="A7304" t="str">
            <v>2626LH17</v>
          </cell>
          <cell r="D7304" t="str">
            <v>KBP34</v>
          </cell>
          <cell r="E7304">
            <v>46208</v>
          </cell>
        </row>
        <row r="7305">
          <cell r="A7305" t="str">
            <v>2625QV57</v>
          </cell>
          <cell r="D7305" t="str">
            <v>FTW121KE</v>
          </cell>
          <cell r="E7305">
            <v>46208</v>
          </cell>
        </row>
        <row r="7306">
          <cell r="A7306" t="str">
            <v>2624C417</v>
          </cell>
          <cell r="D7306" t="str">
            <v>STA156KA</v>
          </cell>
          <cell r="E7306">
            <v>46208</v>
          </cell>
        </row>
        <row r="7307">
          <cell r="A7307" t="str">
            <v>2625IP57</v>
          </cell>
          <cell r="D7307" t="str">
            <v>FTP150</v>
          </cell>
          <cell r="E7307">
            <v>46208</v>
          </cell>
        </row>
        <row r="7308">
          <cell r="A7308" t="str">
            <v>2625JB47</v>
          </cell>
          <cell r="D7308" t="str">
            <v>FTW121KE</v>
          </cell>
          <cell r="E7308">
            <v>46208</v>
          </cell>
        </row>
        <row r="7309">
          <cell r="A7309" t="str">
            <v>2625PP27</v>
          </cell>
          <cell r="D7309" t="str">
            <v>S706</v>
          </cell>
          <cell r="E7309">
            <v>46208</v>
          </cell>
        </row>
        <row r="7310">
          <cell r="A7310" t="str">
            <v>2614YV17</v>
          </cell>
          <cell r="D7310" t="str">
            <v>S706</v>
          </cell>
          <cell r="E7310">
            <v>46208</v>
          </cell>
        </row>
        <row r="7311">
          <cell r="A7311" t="str">
            <v>2620J627</v>
          </cell>
          <cell r="D7311" t="str">
            <v>TTS50</v>
          </cell>
          <cell r="E7311">
            <v>46208</v>
          </cell>
        </row>
        <row r="7312">
          <cell r="A7312" t="str">
            <v>2624HO17</v>
          </cell>
          <cell r="D7312" t="str">
            <v>TTS50</v>
          </cell>
          <cell r="E7312">
            <v>46208</v>
          </cell>
        </row>
        <row r="7313">
          <cell r="A7313" t="str">
            <v>2620B947</v>
          </cell>
          <cell r="D7313" t="str">
            <v>TTS50</v>
          </cell>
          <cell r="E7313">
            <v>46208</v>
          </cell>
        </row>
        <row r="7314">
          <cell r="A7314" t="str">
            <v>2625DX67</v>
          </cell>
          <cell r="D7314" t="str">
            <v>KBP52</v>
          </cell>
          <cell r="E7314">
            <v>46208</v>
          </cell>
        </row>
        <row r="7315">
          <cell r="A7315" t="str">
            <v>2625K947</v>
          </cell>
          <cell r="D7315" t="str">
            <v>S706</v>
          </cell>
          <cell r="E7315">
            <v>46208</v>
          </cell>
        </row>
        <row r="7316">
          <cell r="A7316" t="str">
            <v>2625KJ27</v>
          </cell>
          <cell r="D7316" t="str">
            <v>KBP86</v>
          </cell>
          <cell r="E7316">
            <v>46208</v>
          </cell>
        </row>
        <row r="7317">
          <cell r="A7317" t="str">
            <v>2625O467</v>
          </cell>
          <cell r="D7317" t="str">
            <v>KBP76</v>
          </cell>
          <cell r="E7317">
            <v>46208</v>
          </cell>
        </row>
        <row r="7318">
          <cell r="A7318" t="str">
            <v>2625LS47</v>
          </cell>
          <cell r="D7318" t="str">
            <v>KBP55</v>
          </cell>
          <cell r="E7318">
            <v>46208</v>
          </cell>
        </row>
        <row r="7319">
          <cell r="A7319" t="str">
            <v>2624L627</v>
          </cell>
          <cell r="D7319" t="str">
            <v>KBP76</v>
          </cell>
          <cell r="E7319">
            <v>46208</v>
          </cell>
        </row>
        <row r="7320">
          <cell r="A7320" t="str">
            <v>2625FQ67</v>
          </cell>
          <cell r="D7320" t="str">
            <v>TTS80</v>
          </cell>
          <cell r="E7320">
            <v>46208</v>
          </cell>
        </row>
        <row r="7321">
          <cell r="A7321" t="str">
            <v>2620JH17</v>
          </cell>
          <cell r="D7321" t="str">
            <v>TTS50</v>
          </cell>
          <cell r="E7321">
            <v>46208</v>
          </cell>
        </row>
        <row r="7322">
          <cell r="A7322" t="str">
            <v>2625QQ57</v>
          </cell>
          <cell r="D7322" t="str">
            <v>FTW121KE</v>
          </cell>
          <cell r="E7322">
            <v>46208</v>
          </cell>
        </row>
        <row r="7323">
          <cell r="A7323" t="str">
            <v>2620JS37</v>
          </cell>
          <cell r="D7323" t="str">
            <v>TTS50</v>
          </cell>
          <cell r="E7323">
            <v>46208</v>
          </cell>
        </row>
        <row r="7324">
          <cell r="A7324" t="str">
            <v>2623GN67</v>
          </cell>
          <cell r="D7324" t="str">
            <v>FTW102K</v>
          </cell>
          <cell r="E7324">
            <v>46208</v>
          </cell>
        </row>
        <row r="7325">
          <cell r="A7325" t="str">
            <v>2626IG17</v>
          </cell>
          <cell r="D7325" t="str">
            <v>FTP150</v>
          </cell>
          <cell r="E7325">
            <v>46208</v>
          </cell>
        </row>
        <row r="7326">
          <cell r="A7326" t="str">
            <v>2623IX17</v>
          </cell>
          <cell r="D7326" t="str">
            <v>TTS50</v>
          </cell>
          <cell r="E7326">
            <v>46208</v>
          </cell>
        </row>
        <row r="7327">
          <cell r="A7327" t="str">
            <v>2625JH47</v>
          </cell>
          <cell r="D7327" t="str">
            <v>FTW121KE</v>
          </cell>
          <cell r="E7327">
            <v>46208</v>
          </cell>
        </row>
        <row r="7328">
          <cell r="A7328" t="str">
            <v>2625OT27</v>
          </cell>
          <cell r="D7328" t="str">
            <v>KBP86</v>
          </cell>
          <cell r="E7328">
            <v>46208</v>
          </cell>
        </row>
        <row r="7329">
          <cell r="A7329" t="str">
            <v>2620B747</v>
          </cell>
          <cell r="D7329" t="str">
            <v>TTS50</v>
          </cell>
          <cell r="E7329">
            <v>46208</v>
          </cell>
        </row>
        <row r="7330">
          <cell r="A7330" t="str">
            <v>2623JS37</v>
          </cell>
          <cell r="D7330" t="str">
            <v>TTS50</v>
          </cell>
          <cell r="E7330">
            <v>46208</v>
          </cell>
        </row>
        <row r="7331">
          <cell r="A7331" t="str">
            <v>2620BI47</v>
          </cell>
          <cell r="D7331" t="str">
            <v>TTS50</v>
          </cell>
          <cell r="E7331">
            <v>46208</v>
          </cell>
        </row>
        <row r="7332">
          <cell r="A7332" t="str">
            <v>2625B667</v>
          </cell>
          <cell r="D7332" t="str">
            <v>FTW121KE</v>
          </cell>
          <cell r="E7332">
            <v>46208</v>
          </cell>
        </row>
        <row r="7333">
          <cell r="A7333" t="str">
            <v>2623JP47</v>
          </cell>
          <cell r="D7333" t="str">
            <v>TTS50</v>
          </cell>
          <cell r="E7333">
            <v>46208</v>
          </cell>
        </row>
        <row r="7334">
          <cell r="A7334" t="str">
            <v>2625FV67</v>
          </cell>
          <cell r="D7334" t="str">
            <v>TTS80</v>
          </cell>
          <cell r="E7334">
            <v>46208</v>
          </cell>
        </row>
        <row r="7335">
          <cell r="A7335" t="str">
            <v>2620K137</v>
          </cell>
          <cell r="D7335" t="str">
            <v>TTS50</v>
          </cell>
          <cell r="E7335">
            <v>46208</v>
          </cell>
        </row>
        <row r="7336">
          <cell r="A7336" t="str">
            <v>2623ZC57</v>
          </cell>
          <cell r="D7336" t="str">
            <v>TTS80</v>
          </cell>
          <cell r="E7336">
            <v>46208</v>
          </cell>
        </row>
        <row r="7337">
          <cell r="A7337" t="str">
            <v>2623ZO37</v>
          </cell>
          <cell r="D7337" t="str">
            <v>TTS80</v>
          </cell>
          <cell r="E7337">
            <v>46208</v>
          </cell>
        </row>
        <row r="7338">
          <cell r="A7338" t="str">
            <v>2623ZQ37</v>
          </cell>
          <cell r="D7338" t="str">
            <v>TTS80</v>
          </cell>
          <cell r="E7338">
            <v>46208</v>
          </cell>
        </row>
        <row r="7339">
          <cell r="A7339" t="str">
            <v>2623ZR37</v>
          </cell>
          <cell r="D7339" t="str">
            <v>TTS80</v>
          </cell>
          <cell r="E7339">
            <v>46208</v>
          </cell>
        </row>
        <row r="7340">
          <cell r="A7340" t="str">
            <v>2621O137</v>
          </cell>
          <cell r="D7340" t="str">
            <v>KBP86</v>
          </cell>
          <cell r="E7340">
            <v>46208</v>
          </cell>
        </row>
        <row r="7341">
          <cell r="A7341" t="str">
            <v>2625KH27</v>
          </cell>
          <cell r="D7341" t="str">
            <v>KBP86</v>
          </cell>
          <cell r="E7341">
            <v>46208</v>
          </cell>
        </row>
        <row r="7342">
          <cell r="A7342" t="str">
            <v>2608LN17</v>
          </cell>
          <cell r="D7342" t="str">
            <v>TTS80</v>
          </cell>
          <cell r="E7342">
            <v>46207</v>
          </cell>
        </row>
        <row r="7343">
          <cell r="A7343" t="str">
            <v>2625O667</v>
          </cell>
          <cell r="D7343" t="str">
            <v>KBP76</v>
          </cell>
          <cell r="E7343">
            <v>46207</v>
          </cell>
        </row>
        <row r="7344">
          <cell r="A7344" t="str">
            <v>2608LO17</v>
          </cell>
          <cell r="D7344" t="str">
            <v>TTS80</v>
          </cell>
          <cell r="E7344">
            <v>46207</v>
          </cell>
        </row>
        <row r="7345">
          <cell r="A7345" t="str">
            <v>2624WE57</v>
          </cell>
          <cell r="D7345" t="str">
            <v>KBP86</v>
          </cell>
          <cell r="E7345">
            <v>46207</v>
          </cell>
        </row>
        <row r="7346">
          <cell r="A7346" t="str">
            <v>2624O157</v>
          </cell>
          <cell r="D7346" t="str">
            <v>KBP76</v>
          </cell>
          <cell r="E7346">
            <v>46207</v>
          </cell>
        </row>
        <row r="7347">
          <cell r="A7347" t="str">
            <v>2613ZN47</v>
          </cell>
          <cell r="D7347" t="str">
            <v>S706</v>
          </cell>
          <cell r="E7347">
            <v>46207</v>
          </cell>
        </row>
        <row r="7348">
          <cell r="A7348" t="str">
            <v>2625FK90</v>
          </cell>
          <cell r="D7348" t="str">
            <v>TTS125</v>
          </cell>
          <cell r="E7348">
            <v>46207</v>
          </cell>
        </row>
        <row r="7349">
          <cell r="A7349" t="str">
            <v>2623ZT37</v>
          </cell>
          <cell r="D7349" t="str">
            <v>TTS80</v>
          </cell>
          <cell r="E7349">
            <v>46207</v>
          </cell>
        </row>
        <row r="7350">
          <cell r="A7350" t="str">
            <v>2623ZX47</v>
          </cell>
          <cell r="D7350" t="str">
            <v>TTS80</v>
          </cell>
          <cell r="E7350">
            <v>46207</v>
          </cell>
        </row>
        <row r="7351">
          <cell r="A7351" t="str">
            <v>2624YE57</v>
          </cell>
          <cell r="D7351" t="str">
            <v>TTS80</v>
          </cell>
          <cell r="E7351">
            <v>46207</v>
          </cell>
        </row>
        <row r="7352">
          <cell r="A7352" t="str">
            <v>2624YG57</v>
          </cell>
          <cell r="D7352" t="str">
            <v>TTS80</v>
          </cell>
          <cell r="E7352">
            <v>46207</v>
          </cell>
        </row>
        <row r="7353">
          <cell r="A7353" t="str">
            <v>2624FF20</v>
          </cell>
          <cell r="D7353" t="str">
            <v>TTS125</v>
          </cell>
          <cell r="E7353">
            <v>46207</v>
          </cell>
        </row>
        <row r="7354">
          <cell r="A7354" t="str">
            <v>2624F167</v>
          </cell>
          <cell r="D7354" t="str">
            <v>TTS80</v>
          </cell>
          <cell r="E7354">
            <v>46207</v>
          </cell>
        </row>
        <row r="7355">
          <cell r="A7355" t="str">
            <v>2624F567</v>
          </cell>
          <cell r="D7355" t="str">
            <v>TTS80</v>
          </cell>
          <cell r="E7355">
            <v>46207</v>
          </cell>
        </row>
        <row r="7356">
          <cell r="A7356" t="str">
            <v>2625E367</v>
          </cell>
          <cell r="D7356" t="str">
            <v>KBP52</v>
          </cell>
          <cell r="E7356">
            <v>46207</v>
          </cell>
        </row>
        <row r="7357">
          <cell r="A7357" t="str">
            <v>2620JJ17</v>
          </cell>
          <cell r="D7357" t="str">
            <v>TTS50</v>
          </cell>
          <cell r="E7357">
            <v>46207</v>
          </cell>
        </row>
        <row r="7358">
          <cell r="A7358" t="str">
            <v>2623DU27</v>
          </cell>
          <cell r="D7358" t="str">
            <v>TTS50</v>
          </cell>
          <cell r="E7358">
            <v>46207</v>
          </cell>
        </row>
        <row r="7359">
          <cell r="A7359" t="str">
            <v>2624FH10</v>
          </cell>
          <cell r="D7359" t="str">
            <v>TTS125</v>
          </cell>
          <cell r="E7359">
            <v>46207</v>
          </cell>
        </row>
        <row r="7360">
          <cell r="A7360" t="str">
            <v>2625O667</v>
          </cell>
          <cell r="D7360" t="str">
            <v>KBP76</v>
          </cell>
          <cell r="E7360">
            <v>46207</v>
          </cell>
        </row>
        <row r="7361">
          <cell r="A7361" t="str">
            <v>2619DR37</v>
          </cell>
          <cell r="D7361" t="str">
            <v>TTS50</v>
          </cell>
          <cell r="E7361">
            <v>46207</v>
          </cell>
        </row>
        <row r="7362">
          <cell r="A7362" t="str">
            <v>2625QH17</v>
          </cell>
          <cell r="D7362" t="str">
            <v>KBP55</v>
          </cell>
          <cell r="E7362">
            <v>46207</v>
          </cell>
        </row>
        <row r="7363">
          <cell r="A7363" t="str">
            <v>2623GJ27</v>
          </cell>
          <cell r="D7363" t="str">
            <v>FTW102K</v>
          </cell>
          <cell r="E7363">
            <v>46207</v>
          </cell>
        </row>
        <row r="7364">
          <cell r="A7364" t="str">
            <v>2615ZP27</v>
          </cell>
          <cell r="D7364" t="str">
            <v>S706</v>
          </cell>
          <cell r="E7364">
            <v>46207</v>
          </cell>
        </row>
        <row r="7365">
          <cell r="A7365" t="str">
            <v>2624LR57</v>
          </cell>
          <cell r="D7365" t="str">
            <v>TTS50</v>
          </cell>
          <cell r="E7365">
            <v>46207</v>
          </cell>
        </row>
        <row r="7366">
          <cell r="A7366" t="str">
            <v>2613ZU47</v>
          </cell>
          <cell r="D7366" t="str">
            <v>S706</v>
          </cell>
          <cell r="E7366">
            <v>46207</v>
          </cell>
        </row>
        <row r="7367">
          <cell r="A7367" t="str">
            <v>2625QS57</v>
          </cell>
          <cell r="D7367" t="str">
            <v>FTW121KE</v>
          </cell>
          <cell r="E7367">
            <v>46207</v>
          </cell>
        </row>
        <row r="7368">
          <cell r="A7368" t="str">
            <v>2625L237</v>
          </cell>
          <cell r="D7368" t="str">
            <v>KBP76</v>
          </cell>
          <cell r="E7368">
            <v>46207</v>
          </cell>
        </row>
        <row r="7369">
          <cell r="A7369" t="str">
            <v>2625I257</v>
          </cell>
          <cell r="D7369" t="str">
            <v>KBP76</v>
          </cell>
          <cell r="E7369">
            <v>46207</v>
          </cell>
        </row>
        <row r="7370">
          <cell r="A7370" t="str">
            <v>2625QO57</v>
          </cell>
          <cell r="D7370" t="str">
            <v>FTW121KE</v>
          </cell>
          <cell r="E7370">
            <v>46207</v>
          </cell>
        </row>
        <row r="7371">
          <cell r="A7371" t="str">
            <v>2625SI67</v>
          </cell>
          <cell r="D7371" t="str">
            <v>TTS80</v>
          </cell>
          <cell r="E7371">
            <v>46207</v>
          </cell>
        </row>
        <row r="7372">
          <cell r="A7372" t="str">
            <v>2625PV57</v>
          </cell>
          <cell r="D7372" t="str">
            <v>STA156KA</v>
          </cell>
          <cell r="E7372">
            <v>46207</v>
          </cell>
        </row>
        <row r="7373">
          <cell r="A7373" t="str">
            <v>2625K857</v>
          </cell>
          <cell r="D7373" t="str">
            <v>KBP76</v>
          </cell>
          <cell r="E7373">
            <v>46207</v>
          </cell>
        </row>
        <row r="7374">
          <cell r="A7374" t="str">
            <v>2625S827</v>
          </cell>
          <cell r="D7374" t="str">
            <v>KBP76</v>
          </cell>
          <cell r="E7374">
            <v>46207</v>
          </cell>
        </row>
        <row r="7375">
          <cell r="A7375" t="str">
            <v>2623IW17</v>
          </cell>
          <cell r="D7375" t="str">
            <v>TTS50</v>
          </cell>
          <cell r="E7375">
            <v>46207</v>
          </cell>
        </row>
        <row r="7376">
          <cell r="A7376" t="str">
            <v>2620JR37</v>
          </cell>
          <cell r="D7376" t="str">
            <v>TTS50</v>
          </cell>
          <cell r="E7376">
            <v>46207</v>
          </cell>
        </row>
        <row r="7377">
          <cell r="A7377" t="str">
            <v>2625LS17</v>
          </cell>
          <cell r="D7377" t="str">
            <v>KBP86</v>
          </cell>
          <cell r="E7377">
            <v>46207</v>
          </cell>
        </row>
        <row r="7378">
          <cell r="A7378" t="str">
            <v>2614ZC37</v>
          </cell>
          <cell r="D7378" t="str">
            <v>S706</v>
          </cell>
          <cell r="E7378">
            <v>46207</v>
          </cell>
        </row>
        <row r="7379">
          <cell r="A7379" t="str">
            <v>2623EP67</v>
          </cell>
          <cell r="D7379" t="str">
            <v>FTW700</v>
          </cell>
          <cell r="E7379">
            <v>46207</v>
          </cell>
        </row>
        <row r="7380">
          <cell r="A7380" t="str">
            <v>2613ZU37</v>
          </cell>
          <cell r="D7380" t="str">
            <v>S706</v>
          </cell>
          <cell r="E7380">
            <v>46207</v>
          </cell>
        </row>
        <row r="7381">
          <cell r="A7381" t="str">
            <v>2624DY17</v>
          </cell>
          <cell r="D7381" t="str">
            <v>TTS50</v>
          </cell>
          <cell r="E7381">
            <v>46207</v>
          </cell>
        </row>
        <row r="7382">
          <cell r="A7382" t="str">
            <v>2620BD47</v>
          </cell>
          <cell r="D7382" t="str">
            <v>TTS50</v>
          </cell>
          <cell r="E7382">
            <v>46207</v>
          </cell>
        </row>
        <row r="7383">
          <cell r="A7383" t="str">
            <v>2620X257</v>
          </cell>
          <cell r="D7383" t="str">
            <v>KBP52</v>
          </cell>
          <cell r="E7383">
            <v>46207</v>
          </cell>
        </row>
        <row r="7384">
          <cell r="A7384" t="str">
            <v>2623ED67</v>
          </cell>
          <cell r="D7384" t="str">
            <v>TTS50</v>
          </cell>
          <cell r="E7384">
            <v>46207</v>
          </cell>
        </row>
        <row r="7385">
          <cell r="A7385" t="str">
            <v>2625SR67</v>
          </cell>
          <cell r="D7385" t="str">
            <v>TTS80</v>
          </cell>
          <cell r="E7385">
            <v>46207</v>
          </cell>
        </row>
        <row r="7386">
          <cell r="A7386" t="str">
            <v>2625OY67</v>
          </cell>
          <cell r="D7386" t="str">
            <v>FTW121KE</v>
          </cell>
          <cell r="E7386">
            <v>46207</v>
          </cell>
        </row>
        <row r="7387">
          <cell r="A7387" t="str">
            <v>2614YW17</v>
          </cell>
          <cell r="D7387" t="str">
            <v>S706</v>
          </cell>
          <cell r="E7387">
            <v>46207</v>
          </cell>
        </row>
        <row r="7388">
          <cell r="A7388" t="str">
            <v>2624J357</v>
          </cell>
          <cell r="D7388" t="str">
            <v>FTW102K</v>
          </cell>
          <cell r="E7388">
            <v>46207</v>
          </cell>
        </row>
        <row r="7389">
          <cell r="A7389" t="str">
            <v>2623JG47</v>
          </cell>
          <cell r="D7389" t="str">
            <v>TTS50</v>
          </cell>
          <cell r="E7389">
            <v>46207</v>
          </cell>
        </row>
        <row r="7390">
          <cell r="A7390" t="str">
            <v>2622VL57</v>
          </cell>
          <cell r="D7390" t="str">
            <v>TTS50</v>
          </cell>
          <cell r="E7390">
            <v>46207</v>
          </cell>
        </row>
        <row r="7391">
          <cell r="A7391" t="str">
            <v>2621P417</v>
          </cell>
          <cell r="D7391" t="str">
            <v>KBP52</v>
          </cell>
          <cell r="E7391">
            <v>46207</v>
          </cell>
        </row>
        <row r="7392">
          <cell r="A7392" t="str">
            <v>2625JJ47</v>
          </cell>
          <cell r="D7392" t="str">
            <v>FTW121KE</v>
          </cell>
          <cell r="E7392">
            <v>46207</v>
          </cell>
        </row>
        <row r="7393">
          <cell r="A7393" t="str">
            <v>2625LV67</v>
          </cell>
          <cell r="D7393" t="str">
            <v>KBP76</v>
          </cell>
          <cell r="E7393">
            <v>46207</v>
          </cell>
        </row>
        <row r="7394">
          <cell r="A7394" t="str">
            <v>2615LT47</v>
          </cell>
          <cell r="D7394" t="str">
            <v>TTS50</v>
          </cell>
          <cell r="E7394">
            <v>46207</v>
          </cell>
        </row>
        <row r="7395">
          <cell r="A7395" t="str">
            <v>2625GL67</v>
          </cell>
          <cell r="D7395" t="str">
            <v>TTS80</v>
          </cell>
          <cell r="E7395">
            <v>46207</v>
          </cell>
        </row>
        <row r="7396">
          <cell r="A7396" t="str">
            <v>2625BD67</v>
          </cell>
          <cell r="D7396" t="str">
            <v>FTW121KE</v>
          </cell>
          <cell r="E7396">
            <v>46207</v>
          </cell>
        </row>
        <row r="7397">
          <cell r="A7397" t="str">
            <v>2625JC47</v>
          </cell>
          <cell r="D7397" t="str">
            <v>FTW121KE</v>
          </cell>
          <cell r="E7397">
            <v>46207</v>
          </cell>
        </row>
        <row r="7398">
          <cell r="A7398" t="str">
            <v>2620JF17</v>
          </cell>
          <cell r="D7398" t="str">
            <v>TTS50</v>
          </cell>
          <cell r="E7398">
            <v>46207</v>
          </cell>
        </row>
        <row r="7399">
          <cell r="A7399" t="str">
            <v>2622VW57</v>
          </cell>
          <cell r="D7399" t="str">
            <v>TTS50</v>
          </cell>
          <cell r="E7399">
            <v>46207</v>
          </cell>
        </row>
        <row r="7400">
          <cell r="A7400" t="str">
            <v>2624D137</v>
          </cell>
          <cell r="D7400" t="str">
            <v>STA156KA</v>
          </cell>
          <cell r="E7400">
            <v>46207</v>
          </cell>
        </row>
        <row r="7401">
          <cell r="A7401" t="str">
            <v>2624QQ37</v>
          </cell>
          <cell r="D7401" t="str">
            <v>TTS50</v>
          </cell>
          <cell r="E7401">
            <v>46207</v>
          </cell>
        </row>
        <row r="7402">
          <cell r="A7402" t="str">
            <v>2625FY27</v>
          </cell>
          <cell r="D7402" t="str">
            <v>STA156KA</v>
          </cell>
          <cell r="E7402">
            <v>46207</v>
          </cell>
        </row>
        <row r="7403">
          <cell r="A7403" t="str">
            <v>2625SX67</v>
          </cell>
          <cell r="D7403" t="str">
            <v>TTS80</v>
          </cell>
          <cell r="E7403">
            <v>46207</v>
          </cell>
        </row>
        <row r="7404">
          <cell r="A7404" t="str">
            <v>2539B627</v>
          </cell>
          <cell r="D7404" t="str">
            <v>STA156KA</v>
          </cell>
          <cell r="E7404">
            <v>46207</v>
          </cell>
        </row>
        <row r="7405">
          <cell r="A7405" t="str">
            <v>2625IM57</v>
          </cell>
          <cell r="D7405" t="str">
            <v>FTP150</v>
          </cell>
          <cell r="E7405">
            <v>46207</v>
          </cell>
        </row>
        <row r="7406">
          <cell r="A7406" t="str">
            <v>2620B247</v>
          </cell>
          <cell r="D7406" t="str">
            <v>TTS50</v>
          </cell>
          <cell r="E7406">
            <v>46207</v>
          </cell>
        </row>
        <row r="7407">
          <cell r="A7407" t="str">
            <v>2624HM37</v>
          </cell>
          <cell r="D7407" t="str">
            <v>STA156KA</v>
          </cell>
          <cell r="E7407">
            <v>46207</v>
          </cell>
        </row>
        <row r="7408">
          <cell r="A7408" t="str">
            <v>2624PQ47</v>
          </cell>
          <cell r="D7408" t="str">
            <v>TTS50</v>
          </cell>
          <cell r="E7408">
            <v>46207</v>
          </cell>
        </row>
        <row r="7409">
          <cell r="A7409" t="str">
            <v>2624JM57</v>
          </cell>
          <cell r="D7409" t="str">
            <v>FTW102K</v>
          </cell>
          <cell r="E7409">
            <v>46207</v>
          </cell>
        </row>
        <row r="7410">
          <cell r="A7410" t="str">
            <v>2625KE37</v>
          </cell>
          <cell r="D7410" t="str">
            <v>KBP76</v>
          </cell>
          <cell r="E7410">
            <v>46207</v>
          </cell>
        </row>
        <row r="7411">
          <cell r="A7411" t="str">
            <v>2623O637</v>
          </cell>
          <cell r="D7411" t="str">
            <v>FTW102K</v>
          </cell>
          <cell r="E7411">
            <v>46207</v>
          </cell>
        </row>
        <row r="7412">
          <cell r="A7412" t="str">
            <v>2620J327</v>
          </cell>
          <cell r="D7412" t="str">
            <v>TTS50</v>
          </cell>
          <cell r="E7412">
            <v>46207</v>
          </cell>
        </row>
        <row r="7413">
          <cell r="A7413" t="str">
            <v>2624DT17</v>
          </cell>
          <cell r="D7413" t="str">
            <v>TTS50</v>
          </cell>
          <cell r="E7413">
            <v>46207</v>
          </cell>
        </row>
        <row r="7414">
          <cell r="A7414" t="str">
            <v>2625KM37</v>
          </cell>
          <cell r="D7414" t="str">
            <v>S706</v>
          </cell>
          <cell r="E7414">
            <v>46207</v>
          </cell>
        </row>
        <row r="7415">
          <cell r="A7415" t="str">
            <v>2622O957</v>
          </cell>
          <cell r="D7415" t="str">
            <v>STA156KA</v>
          </cell>
          <cell r="E7415">
            <v>46207</v>
          </cell>
        </row>
        <row r="7416">
          <cell r="A7416" t="str">
            <v>2625CQ67</v>
          </cell>
          <cell r="D7416" t="str">
            <v>KBP52</v>
          </cell>
          <cell r="E7416">
            <v>46207</v>
          </cell>
        </row>
        <row r="7417">
          <cell r="A7417" t="str">
            <v>2625OD17</v>
          </cell>
          <cell r="D7417" t="str">
            <v>FTP200</v>
          </cell>
          <cell r="E7417">
            <v>46207</v>
          </cell>
        </row>
        <row r="7418">
          <cell r="A7418" t="str">
            <v>2623QO37</v>
          </cell>
          <cell r="D7418" t="str">
            <v>KBP76</v>
          </cell>
          <cell r="E7418">
            <v>46207</v>
          </cell>
        </row>
        <row r="7419">
          <cell r="A7419" t="str">
            <v>2625PQ57</v>
          </cell>
          <cell r="D7419" t="str">
            <v>STA156KA</v>
          </cell>
          <cell r="E7419">
            <v>46207</v>
          </cell>
        </row>
        <row r="7420">
          <cell r="A7420" t="str">
            <v>2625OW67</v>
          </cell>
          <cell r="D7420" t="str">
            <v>FTW121KE</v>
          </cell>
          <cell r="E7420">
            <v>46207</v>
          </cell>
        </row>
        <row r="7421">
          <cell r="A7421" t="str">
            <v>2624ER67</v>
          </cell>
          <cell r="D7421" t="str">
            <v>FTW102K</v>
          </cell>
          <cell r="E7421">
            <v>46207</v>
          </cell>
        </row>
        <row r="7422">
          <cell r="A7422" t="str">
            <v>2625EL17</v>
          </cell>
          <cell r="D7422" t="str">
            <v>KBP126</v>
          </cell>
          <cell r="E7422">
            <v>46207</v>
          </cell>
        </row>
        <row r="7423">
          <cell r="A7423" t="str">
            <v>2625GB67</v>
          </cell>
          <cell r="D7423" t="str">
            <v>TTS80</v>
          </cell>
          <cell r="E7423">
            <v>46207</v>
          </cell>
        </row>
        <row r="7424">
          <cell r="A7424" t="str">
            <v>2625BF67</v>
          </cell>
          <cell r="D7424" t="str">
            <v>FTW121KE</v>
          </cell>
          <cell r="E7424">
            <v>46207</v>
          </cell>
        </row>
        <row r="7425">
          <cell r="A7425" t="str">
            <v>2625FX27</v>
          </cell>
          <cell r="D7425" t="str">
            <v>STA156KA</v>
          </cell>
          <cell r="E7425">
            <v>46207</v>
          </cell>
        </row>
        <row r="7426">
          <cell r="A7426" t="str">
            <v>2625GA67</v>
          </cell>
          <cell r="D7426" t="str">
            <v>TTS80</v>
          </cell>
          <cell r="E7426">
            <v>46207</v>
          </cell>
        </row>
        <row r="7427">
          <cell r="A7427" t="str">
            <v>2625OU27</v>
          </cell>
          <cell r="D7427" t="str">
            <v>KBP86</v>
          </cell>
          <cell r="E7427">
            <v>46207</v>
          </cell>
        </row>
        <row r="7428">
          <cell r="A7428" t="str">
            <v>2619DE47</v>
          </cell>
          <cell r="D7428" t="str">
            <v>TTS50</v>
          </cell>
          <cell r="E7428">
            <v>46207</v>
          </cell>
        </row>
        <row r="7429">
          <cell r="A7429" t="str">
            <v>2625LF37</v>
          </cell>
          <cell r="D7429" t="str">
            <v>KBP55</v>
          </cell>
          <cell r="E7429">
            <v>46207</v>
          </cell>
        </row>
        <row r="7430">
          <cell r="A7430" t="str">
            <v>2625LR47</v>
          </cell>
          <cell r="D7430" t="str">
            <v>KBP55</v>
          </cell>
          <cell r="E7430">
            <v>46207</v>
          </cell>
        </row>
        <row r="7431">
          <cell r="A7431" t="str">
            <v>2625CY67</v>
          </cell>
          <cell r="D7431" t="str">
            <v>TTS50</v>
          </cell>
          <cell r="E7431">
            <v>46207</v>
          </cell>
        </row>
        <row r="7432">
          <cell r="A7432" t="str">
            <v>2625E567</v>
          </cell>
          <cell r="D7432" t="str">
            <v>KBP52</v>
          </cell>
          <cell r="E7432">
            <v>46207</v>
          </cell>
        </row>
        <row r="7433">
          <cell r="A7433" t="str">
            <v>2622UP47</v>
          </cell>
          <cell r="D7433" t="str">
            <v>TTS50</v>
          </cell>
          <cell r="E7433">
            <v>46207</v>
          </cell>
        </row>
        <row r="7434">
          <cell r="A7434" t="str">
            <v>2625QY57</v>
          </cell>
          <cell r="D7434" t="str">
            <v>FTW121KE</v>
          </cell>
          <cell r="E7434">
            <v>46207</v>
          </cell>
        </row>
        <row r="7435">
          <cell r="A7435" t="str">
            <v>2625PR57</v>
          </cell>
          <cell r="D7435" t="str">
            <v>STA156KA</v>
          </cell>
          <cell r="E7435">
            <v>46207</v>
          </cell>
        </row>
        <row r="7436">
          <cell r="A7436" t="str">
            <v>2620J717</v>
          </cell>
          <cell r="D7436" t="str">
            <v>TTS50</v>
          </cell>
          <cell r="E7436">
            <v>46207</v>
          </cell>
        </row>
        <row r="7437">
          <cell r="A7437" t="str">
            <v>2625L447</v>
          </cell>
          <cell r="D7437" t="str">
            <v>KBP76</v>
          </cell>
          <cell r="E7437">
            <v>46207</v>
          </cell>
        </row>
        <row r="7438">
          <cell r="A7438" t="str">
            <v>2624PQ27</v>
          </cell>
          <cell r="D7438" t="str">
            <v>KBP55</v>
          </cell>
          <cell r="E7438">
            <v>46207</v>
          </cell>
        </row>
        <row r="7439">
          <cell r="A7439" t="str">
            <v>2625CZ67</v>
          </cell>
          <cell r="D7439" t="str">
            <v>TTS50</v>
          </cell>
          <cell r="E7439">
            <v>46207</v>
          </cell>
        </row>
        <row r="7440">
          <cell r="A7440" t="str">
            <v>2625OG17</v>
          </cell>
          <cell r="D7440" t="str">
            <v>FTW102K</v>
          </cell>
          <cell r="E7440">
            <v>46207</v>
          </cell>
        </row>
        <row r="7441">
          <cell r="A7441" t="str">
            <v>2620IY17</v>
          </cell>
          <cell r="D7441" t="str">
            <v>TTS50</v>
          </cell>
          <cell r="E7441">
            <v>46207</v>
          </cell>
        </row>
        <row r="7442">
          <cell r="A7442" t="str">
            <v>2623JJ47</v>
          </cell>
          <cell r="D7442" t="str">
            <v>TTS50</v>
          </cell>
          <cell r="E7442">
            <v>46207</v>
          </cell>
        </row>
        <row r="7443">
          <cell r="A7443" t="str">
            <v>2625SL67</v>
          </cell>
          <cell r="D7443" t="str">
            <v>TTS80</v>
          </cell>
          <cell r="E7443">
            <v>46207</v>
          </cell>
        </row>
        <row r="7444">
          <cell r="A7444" t="str">
            <v>2623QG17</v>
          </cell>
          <cell r="D7444" t="str">
            <v>KBP55</v>
          </cell>
          <cell r="E7444">
            <v>46207</v>
          </cell>
        </row>
        <row r="7445">
          <cell r="A7445" t="str">
            <v>2625FX67</v>
          </cell>
          <cell r="D7445" t="str">
            <v>TTS80</v>
          </cell>
          <cell r="E7445">
            <v>46207</v>
          </cell>
        </row>
        <row r="7446">
          <cell r="A7446" t="str">
            <v>2623OF17</v>
          </cell>
          <cell r="D7446" t="str">
            <v>KBP52</v>
          </cell>
          <cell r="E7446">
            <v>46207</v>
          </cell>
        </row>
        <row r="7447">
          <cell r="A7447" t="str">
            <v>2625OF17</v>
          </cell>
          <cell r="D7447" t="str">
            <v>FTW102K</v>
          </cell>
          <cell r="E7447">
            <v>46207</v>
          </cell>
        </row>
        <row r="7448">
          <cell r="A7448" t="str">
            <v>2619DA37</v>
          </cell>
          <cell r="D7448" t="str">
            <v>TTS50</v>
          </cell>
          <cell r="E7448">
            <v>46207</v>
          </cell>
        </row>
        <row r="7449">
          <cell r="A7449" t="str">
            <v>2623KV47</v>
          </cell>
          <cell r="D7449" t="str">
            <v>FTW102K</v>
          </cell>
          <cell r="E7449">
            <v>46207</v>
          </cell>
        </row>
        <row r="7450">
          <cell r="A7450" t="str">
            <v>2625SN67</v>
          </cell>
          <cell r="D7450" t="str">
            <v>TTS80</v>
          </cell>
          <cell r="E7450">
            <v>46207</v>
          </cell>
        </row>
        <row r="7451">
          <cell r="A7451" t="str">
            <v>2625QR57</v>
          </cell>
          <cell r="D7451" t="str">
            <v>FTW121KE</v>
          </cell>
          <cell r="E7451">
            <v>46207</v>
          </cell>
        </row>
        <row r="7452">
          <cell r="A7452" t="str">
            <v>2625EZ17</v>
          </cell>
          <cell r="D7452" t="str">
            <v>STA156KA</v>
          </cell>
          <cell r="E7452">
            <v>46207</v>
          </cell>
        </row>
        <row r="7453">
          <cell r="A7453" t="str">
            <v>2624FF80</v>
          </cell>
          <cell r="D7453" t="str">
            <v>TTS125</v>
          </cell>
          <cell r="E7453">
            <v>46207</v>
          </cell>
        </row>
        <row r="7454">
          <cell r="A7454" t="str">
            <v>2622V247</v>
          </cell>
          <cell r="D7454" t="str">
            <v>TTS50</v>
          </cell>
          <cell r="E7454">
            <v>46207</v>
          </cell>
        </row>
        <row r="7455">
          <cell r="A7455" t="str">
            <v>2624JK57</v>
          </cell>
          <cell r="D7455" t="str">
            <v>FTW102K</v>
          </cell>
          <cell r="E7455">
            <v>46207</v>
          </cell>
        </row>
        <row r="7456">
          <cell r="A7456" t="str">
            <v>2623JM47</v>
          </cell>
          <cell r="D7456" t="str">
            <v>TTS50</v>
          </cell>
          <cell r="E7456">
            <v>46207</v>
          </cell>
        </row>
        <row r="7457">
          <cell r="A7457" t="str">
            <v>2621P947</v>
          </cell>
          <cell r="D7457" t="str">
            <v>TTS50</v>
          </cell>
          <cell r="E7457">
            <v>46207</v>
          </cell>
        </row>
        <row r="7458">
          <cell r="A7458" t="str">
            <v>2625K257</v>
          </cell>
          <cell r="D7458" t="str">
            <v>FTW700</v>
          </cell>
          <cell r="E7458">
            <v>46207</v>
          </cell>
        </row>
        <row r="7459">
          <cell r="A7459" t="str">
            <v>2625JE47</v>
          </cell>
          <cell r="D7459" t="str">
            <v>FTW121KE</v>
          </cell>
          <cell r="E7459">
            <v>46207</v>
          </cell>
        </row>
        <row r="7460">
          <cell r="A7460" t="str">
            <v>2625FI67</v>
          </cell>
          <cell r="D7460" t="str">
            <v>TTS80</v>
          </cell>
          <cell r="E7460">
            <v>46207</v>
          </cell>
        </row>
        <row r="7461">
          <cell r="A7461" t="str">
            <v>2625JG47</v>
          </cell>
          <cell r="D7461" t="str">
            <v>FTW121KE</v>
          </cell>
          <cell r="E7461">
            <v>46207</v>
          </cell>
        </row>
        <row r="7462">
          <cell r="A7462" t="str">
            <v>2623F627</v>
          </cell>
          <cell r="D7462" t="str">
            <v>TTS50</v>
          </cell>
          <cell r="E7462">
            <v>46207</v>
          </cell>
        </row>
        <row r="7463">
          <cell r="A7463" t="str">
            <v>2625PJ67</v>
          </cell>
          <cell r="D7463" t="str">
            <v>FTW121KE</v>
          </cell>
          <cell r="E7463">
            <v>46207</v>
          </cell>
        </row>
        <row r="7464">
          <cell r="A7464" t="str">
            <v>2624EV67</v>
          </cell>
          <cell r="D7464" t="str">
            <v>FTW102K</v>
          </cell>
          <cell r="E7464">
            <v>46207</v>
          </cell>
        </row>
        <row r="7465">
          <cell r="A7465" t="str">
            <v>2625PD67</v>
          </cell>
          <cell r="D7465" t="str">
            <v>FTW121KE</v>
          </cell>
          <cell r="E7465">
            <v>46207</v>
          </cell>
        </row>
        <row r="7466">
          <cell r="A7466" t="str">
            <v>2622UO47</v>
          </cell>
          <cell r="D7466" t="str">
            <v>TTS50</v>
          </cell>
          <cell r="E7466">
            <v>46207</v>
          </cell>
        </row>
        <row r="7467">
          <cell r="A7467" t="str">
            <v>2623J937</v>
          </cell>
          <cell r="D7467" t="str">
            <v>TTS50</v>
          </cell>
          <cell r="E7467">
            <v>46207</v>
          </cell>
        </row>
        <row r="7468">
          <cell r="A7468" t="str">
            <v>2623JN37</v>
          </cell>
          <cell r="D7468" t="str">
            <v>TTS50</v>
          </cell>
          <cell r="E7468">
            <v>46207</v>
          </cell>
        </row>
        <row r="7469">
          <cell r="A7469" t="str">
            <v>2625HU37</v>
          </cell>
          <cell r="D7469" t="str">
            <v>KBP126</v>
          </cell>
          <cell r="E7469">
            <v>46207</v>
          </cell>
        </row>
        <row r="7470">
          <cell r="A7470" t="str">
            <v>2624XC57</v>
          </cell>
          <cell r="D7470" t="str">
            <v>KBP86</v>
          </cell>
          <cell r="E7470">
            <v>46207</v>
          </cell>
        </row>
        <row r="7471">
          <cell r="A7471" t="str">
            <v>2623O837</v>
          </cell>
          <cell r="D7471" t="str">
            <v>FTW102K</v>
          </cell>
          <cell r="E7471">
            <v>46207</v>
          </cell>
        </row>
        <row r="7472">
          <cell r="A7472" t="str">
            <v>2625I657</v>
          </cell>
          <cell r="D7472" t="str">
            <v>KBP76</v>
          </cell>
          <cell r="E7472">
            <v>46207</v>
          </cell>
        </row>
        <row r="7473">
          <cell r="A7473" t="str">
            <v>2624FF20</v>
          </cell>
          <cell r="D7473" t="str">
            <v>TTS125</v>
          </cell>
          <cell r="E7473">
            <v>46207</v>
          </cell>
        </row>
        <row r="7474">
          <cell r="A7474" t="str">
            <v>2623KU47</v>
          </cell>
          <cell r="D7474" t="str">
            <v>FTW102K</v>
          </cell>
          <cell r="E7474">
            <v>46207</v>
          </cell>
        </row>
        <row r="7475">
          <cell r="A7475" t="str">
            <v>2615SF57</v>
          </cell>
          <cell r="D7475" t="str">
            <v>KBP52</v>
          </cell>
          <cell r="E7475">
            <v>46207</v>
          </cell>
        </row>
        <row r="7476">
          <cell r="A7476" t="str">
            <v>2625LI47</v>
          </cell>
          <cell r="D7476" t="str">
            <v>KBP74</v>
          </cell>
          <cell r="E7476">
            <v>46207</v>
          </cell>
        </row>
        <row r="7477">
          <cell r="A7477" t="str">
            <v>2625LB37</v>
          </cell>
          <cell r="D7477" t="str">
            <v>STA156KA</v>
          </cell>
          <cell r="E7477">
            <v>46207</v>
          </cell>
        </row>
        <row r="7478">
          <cell r="A7478" t="str">
            <v>2620J257</v>
          </cell>
          <cell r="D7478" t="str">
            <v>TTS50</v>
          </cell>
          <cell r="E7478">
            <v>46207</v>
          </cell>
        </row>
        <row r="7479">
          <cell r="A7479" t="str">
            <v>2625QT57</v>
          </cell>
          <cell r="D7479" t="str">
            <v>FTW121KE</v>
          </cell>
          <cell r="E7479">
            <v>46207</v>
          </cell>
        </row>
        <row r="7480">
          <cell r="A7480" t="str">
            <v>2625P467</v>
          </cell>
          <cell r="D7480" t="str">
            <v>FTW121KE</v>
          </cell>
          <cell r="E7480">
            <v>46207</v>
          </cell>
        </row>
        <row r="7481">
          <cell r="A7481" t="str">
            <v>2624LC47</v>
          </cell>
          <cell r="D7481" t="str">
            <v>TTS50</v>
          </cell>
          <cell r="E7481">
            <v>46207</v>
          </cell>
        </row>
        <row r="7482">
          <cell r="A7482" t="str">
            <v>2625CX67</v>
          </cell>
          <cell r="D7482" t="str">
            <v>TTS50</v>
          </cell>
          <cell r="E7482">
            <v>46207</v>
          </cell>
        </row>
        <row r="7483">
          <cell r="A7483" t="str">
            <v>2625GG67</v>
          </cell>
          <cell r="D7483" t="str">
            <v>TTS80</v>
          </cell>
          <cell r="E7483">
            <v>46207</v>
          </cell>
        </row>
        <row r="7484">
          <cell r="A7484" t="str">
            <v>2625DU67</v>
          </cell>
          <cell r="D7484" t="str">
            <v>KBP52</v>
          </cell>
          <cell r="E7484">
            <v>46207</v>
          </cell>
        </row>
        <row r="7485">
          <cell r="A7485" t="str">
            <v>2625S727</v>
          </cell>
          <cell r="D7485" t="str">
            <v>KBP76</v>
          </cell>
          <cell r="E7485">
            <v>46207</v>
          </cell>
        </row>
        <row r="7486">
          <cell r="A7486" t="str">
            <v>2625IR57</v>
          </cell>
          <cell r="D7486" t="str">
            <v>FTP150</v>
          </cell>
          <cell r="E7486">
            <v>46207</v>
          </cell>
        </row>
        <row r="7487">
          <cell r="A7487" t="str">
            <v>2620IL17</v>
          </cell>
          <cell r="D7487" t="str">
            <v>TTS50</v>
          </cell>
          <cell r="E7487">
            <v>46207</v>
          </cell>
        </row>
        <row r="7488">
          <cell r="A7488" t="str">
            <v>2622VU57</v>
          </cell>
          <cell r="D7488" t="str">
            <v>TTS50</v>
          </cell>
          <cell r="E7488">
            <v>46207</v>
          </cell>
        </row>
        <row r="7489">
          <cell r="A7489" t="str">
            <v>2625I157</v>
          </cell>
          <cell r="D7489" t="str">
            <v>KBP76</v>
          </cell>
          <cell r="E7489">
            <v>46207</v>
          </cell>
        </row>
        <row r="7490">
          <cell r="A7490" t="str">
            <v>2625JY57</v>
          </cell>
          <cell r="D7490" t="str">
            <v>FTW700</v>
          </cell>
          <cell r="E7490">
            <v>46207</v>
          </cell>
        </row>
        <row r="7491">
          <cell r="A7491" t="str">
            <v>2624FH20</v>
          </cell>
          <cell r="D7491" t="str">
            <v>TTS125</v>
          </cell>
          <cell r="E7491">
            <v>46207</v>
          </cell>
        </row>
        <row r="7492">
          <cell r="A7492" t="str">
            <v>2625LH47</v>
          </cell>
          <cell r="D7492" t="str">
            <v>KBP74</v>
          </cell>
          <cell r="E7492">
            <v>46207</v>
          </cell>
        </row>
        <row r="7493">
          <cell r="A7493" t="str">
            <v>2625FW67</v>
          </cell>
          <cell r="D7493" t="str">
            <v>TTS80</v>
          </cell>
          <cell r="E7493">
            <v>46207</v>
          </cell>
        </row>
        <row r="7494">
          <cell r="A7494" t="str">
            <v>2624JD57</v>
          </cell>
          <cell r="D7494" t="str">
            <v>FTW102K</v>
          </cell>
          <cell r="E7494">
            <v>46207</v>
          </cell>
        </row>
        <row r="7495">
          <cell r="A7495" t="str">
            <v>2625GM67</v>
          </cell>
          <cell r="D7495" t="str">
            <v>TTS80</v>
          </cell>
          <cell r="E7495">
            <v>46207</v>
          </cell>
        </row>
        <row r="7496">
          <cell r="A7496" t="str">
            <v>2624OB57</v>
          </cell>
          <cell r="D7496" t="str">
            <v>STA156KA</v>
          </cell>
          <cell r="E7496">
            <v>46207</v>
          </cell>
        </row>
        <row r="7497">
          <cell r="A7497" t="str">
            <v>2625LI37</v>
          </cell>
          <cell r="D7497" t="str">
            <v>KBP55</v>
          </cell>
          <cell r="E7497">
            <v>46207</v>
          </cell>
        </row>
        <row r="7498">
          <cell r="A7498" t="str">
            <v>2625QN57</v>
          </cell>
          <cell r="D7498" t="str">
            <v>FTW121KE</v>
          </cell>
          <cell r="E7498">
            <v>46207</v>
          </cell>
        </row>
        <row r="7499">
          <cell r="A7499" t="str">
            <v>2623GM67</v>
          </cell>
          <cell r="D7499" t="str">
            <v>FTW102K</v>
          </cell>
          <cell r="E7499">
            <v>46207</v>
          </cell>
        </row>
        <row r="7500">
          <cell r="A7500" t="str">
            <v>2625SM27</v>
          </cell>
          <cell r="D7500" t="str">
            <v>KBP55</v>
          </cell>
          <cell r="E7500">
            <v>46207</v>
          </cell>
        </row>
        <row r="7501">
          <cell r="A7501" t="str">
            <v>2625DV67</v>
          </cell>
          <cell r="D7501" t="str">
            <v>KBP52</v>
          </cell>
          <cell r="E7501">
            <v>46207</v>
          </cell>
        </row>
        <row r="7502">
          <cell r="A7502" t="str">
            <v>2621LA37</v>
          </cell>
          <cell r="D7502" t="str">
            <v>KBP52</v>
          </cell>
          <cell r="E7502">
            <v>46207</v>
          </cell>
        </row>
        <row r="7503">
          <cell r="A7503" t="str">
            <v>2623OD37</v>
          </cell>
          <cell r="D7503" t="str">
            <v>FTW102K</v>
          </cell>
          <cell r="E7503">
            <v>46207</v>
          </cell>
        </row>
        <row r="7504">
          <cell r="A7504" t="str">
            <v>2620JO37</v>
          </cell>
          <cell r="D7504" t="str">
            <v>TTS50</v>
          </cell>
          <cell r="E7504">
            <v>46207</v>
          </cell>
        </row>
        <row r="7505">
          <cell r="A7505" t="str">
            <v>2619BH47</v>
          </cell>
          <cell r="D7505" t="str">
            <v>TTS50</v>
          </cell>
          <cell r="E7505">
            <v>46207</v>
          </cell>
        </row>
        <row r="7506">
          <cell r="A7506" t="str">
            <v>2625QN27</v>
          </cell>
          <cell r="D7506" t="str">
            <v>TTS50</v>
          </cell>
          <cell r="E7506">
            <v>46207</v>
          </cell>
        </row>
        <row r="7507">
          <cell r="A7507" t="str">
            <v>2625IJ57</v>
          </cell>
          <cell r="D7507" t="str">
            <v>FTP150</v>
          </cell>
          <cell r="E7507">
            <v>46207</v>
          </cell>
        </row>
        <row r="7508">
          <cell r="A7508" t="str">
            <v>2620LD17</v>
          </cell>
          <cell r="D7508" t="str">
            <v>TTS50</v>
          </cell>
          <cell r="E7508">
            <v>46207</v>
          </cell>
        </row>
        <row r="7509">
          <cell r="A7509" t="str">
            <v>2622V447</v>
          </cell>
          <cell r="D7509" t="str">
            <v>TTS50</v>
          </cell>
          <cell r="E7509">
            <v>46207</v>
          </cell>
        </row>
        <row r="7510">
          <cell r="A7510" t="str">
            <v>2625EK17</v>
          </cell>
          <cell r="D7510" t="str">
            <v>KBP126</v>
          </cell>
          <cell r="E7510">
            <v>46207</v>
          </cell>
        </row>
        <row r="7511">
          <cell r="A7511" t="str">
            <v>2623O737</v>
          </cell>
          <cell r="D7511" t="str">
            <v>FTW102K</v>
          </cell>
          <cell r="E7511">
            <v>46207</v>
          </cell>
        </row>
        <row r="7512">
          <cell r="A7512" t="str">
            <v>2625QU57</v>
          </cell>
          <cell r="D7512" t="str">
            <v>FTW121KE</v>
          </cell>
          <cell r="E7512">
            <v>46207</v>
          </cell>
        </row>
        <row r="7513">
          <cell r="A7513" t="str">
            <v>2625OE17</v>
          </cell>
          <cell r="D7513" t="str">
            <v>FTW102K</v>
          </cell>
          <cell r="E7513">
            <v>46207</v>
          </cell>
        </row>
        <row r="7514">
          <cell r="A7514" t="str">
            <v>2625OQ17</v>
          </cell>
          <cell r="D7514" t="str">
            <v>KBP52</v>
          </cell>
          <cell r="E7514">
            <v>46207</v>
          </cell>
        </row>
        <row r="7515">
          <cell r="A7515" t="str">
            <v>2625BB67</v>
          </cell>
          <cell r="D7515" t="str">
            <v>FTW121KE</v>
          </cell>
          <cell r="E7515">
            <v>46207</v>
          </cell>
        </row>
        <row r="7516">
          <cell r="A7516" t="str">
            <v>2625FZ67</v>
          </cell>
          <cell r="D7516" t="str">
            <v>TTS80</v>
          </cell>
          <cell r="E7516">
            <v>46207</v>
          </cell>
        </row>
        <row r="7517">
          <cell r="A7517" t="str">
            <v>2625PA67</v>
          </cell>
          <cell r="D7517" t="str">
            <v>FTW121KE</v>
          </cell>
          <cell r="E7517">
            <v>46207</v>
          </cell>
        </row>
        <row r="7518">
          <cell r="A7518" t="str">
            <v>2625HT37</v>
          </cell>
          <cell r="D7518" t="str">
            <v>KBP126</v>
          </cell>
          <cell r="E7518">
            <v>46207</v>
          </cell>
        </row>
        <row r="7519">
          <cell r="A7519" t="str">
            <v>2625F217</v>
          </cell>
          <cell r="D7519" t="str">
            <v>STA156KA</v>
          </cell>
          <cell r="E7519">
            <v>46207</v>
          </cell>
        </row>
        <row r="7520">
          <cell r="A7520" t="str">
            <v>2625ST67</v>
          </cell>
          <cell r="D7520" t="str">
            <v>TTS80</v>
          </cell>
          <cell r="E7520">
            <v>46207</v>
          </cell>
        </row>
        <row r="7521">
          <cell r="A7521" t="str">
            <v>2620Y817</v>
          </cell>
          <cell r="D7521" t="str">
            <v>KBP76</v>
          </cell>
          <cell r="E7521">
            <v>46206</v>
          </cell>
        </row>
        <row r="7522">
          <cell r="A7522" t="str">
            <v>2624LL47</v>
          </cell>
          <cell r="D7522" t="str">
            <v>FTW102K</v>
          </cell>
          <cell r="E7522">
            <v>46206</v>
          </cell>
        </row>
        <row r="7523">
          <cell r="A7523" t="str">
            <v>2624H367</v>
          </cell>
          <cell r="D7523" t="str">
            <v>STA156KA</v>
          </cell>
          <cell r="E7523">
            <v>46206</v>
          </cell>
        </row>
        <row r="7524">
          <cell r="A7524" t="str">
            <v>2625FL70</v>
          </cell>
          <cell r="D7524" t="str">
            <v>HV200</v>
          </cell>
          <cell r="E7524">
            <v>46206</v>
          </cell>
        </row>
        <row r="7525">
          <cell r="A7525" t="str">
            <v>2624CD17</v>
          </cell>
          <cell r="D7525" t="str">
            <v>KBP86</v>
          </cell>
          <cell r="E7525">
            <v>46206</v>
          </cell>
        </row>
        <row r="7526">
          <cell r="A7526" t="str">
            <v>2624LA57</v>
          </cell>
          <cell r="D7526" t="str">
            <v>HV80</v>
          </cell>
          <cell r="E7526">
            <v>46206</v>
          </cell>
        </row>
        <row r="7527">
          <cell r="A7527" t="str">
            <v>2607L727</v>
          </cell>
          <cell r="D7527" t="str">
            <v>TTS80</v>
          </cell>
          <cell r="E7527">
            <v>46206</v>
          </cell>
        </row>
        <row r="7528">
          <cell r="A7528" t="str">
            <v>2624LH57</v>
          </cell>
          <cell r="D7528" t="str">
            <v>HV80</v>
          </cell>
          <cell r="E7528">
            <v>46206</v>
          </cell>
        </row>
        <row r="7529">
          <cell r="A7529" t="str">
            <v>2615LF47</v>
          </cell>
          <cell r="D7529" t="str">
            <v>TTS50</v>
          </cell>
          <cell r="E7529">
            <v>46206</v>
          </cell>
        </row>
        <row r="7530">
          <cell r="A7530" t="str">
            <v>2624LF57</v>
          </cell>
          <cell r="D7530" t="str">
            <v>HV80</v>
          </cell>
          <cell r="E7530">
            <v>46206</v>
          </cell>
        </row>
        <row r="7531">
          <cell r="A7531" t="str">
            <v>2607OT17</v>
          </cell>
          <cell r="D7531" t="str">
            <v>TTS80</v>
          </cell>
          <cell r="E7531">
            <v>46206</v>
          </cell>
        </row>
        <row r="7532">
          <cell r="A7532" t="str">
            <v>2624LN57</v>
          </cell>
          <cell r="D7532" t="str">
            <v>TTS50</v>
          </cell>
          <cell r="E7532">
            <v>46206</v>
          </cell>
        </row>
        <row r="7533">
          <cell r="A7533" t="str">
            <v>2624LH57</v>
          </cell>
          <cell r="D7533" t="str">
            <v>HV80</v>
          </cell>
          <cell r="E7533">
            <v>46206</v>
          </cell>
        </row>
        <row r="7534">
          <cell r="A7534" t="str">
            <v>2624JL27</v>
          </cell>
          <cell r="D7534" t="str">
            <v>FTW121KE</v>
          </cell>
          <cell r="E7534">
            <v>46206</v>
          </cell>
        </row>
        <row r="7535">
          <cell r="A7535" t="str">
            <v>2624OM47</v>
          </cell>
          <cell r="D7535" t="str">
            <v>HV80</v>
          </cell>
          <cell r="E7535">
            <v>46206</v>
          </cell>
        </row>
        <row r="7536">
          <cell r="A7536" t="str">
            <v>2624LK57</v>
          </cell>
          <cell r="D7536" t="str">
            <v>TTS50</v>
          </cell>
          <cell r="E7536">
            <v>46206</v>
          </cell>
        </row>
        <row r="7537">
          <cell r="A7537" t="str">
            <v>2624LA57</v>
          </cell>
          <cell r="D7537" t="str">
            <v>HV80</v>
          </cell>
          <cell r="E7537">
            <v>46206</v>
          </cell>
        </row>
        <row r="7538">
          <cell r="A7538" t="str">
            <v>2623JQ67</v>
          </cell>
          <cell r="D7538" t="str">
            <v>KBP76</v>
          </cell>
          <cell r="E7538">
            <v>46206</v>
          </cell>
        </row>
        <row r="7539">
          <cell r="A7539" t="str">
            <v>2624LB57</v>
          </cell>
          <cell r="D7539" t="str">
            <v>HV80</v>
          </cell>
          <cell r="E7539">
            <v>46206</v>
          </cell>
        </row>
        <row r="7540">
          <cell r="A7540" t="str">
            <v>2624FX17</v>
          </cell>
          <cell r="D7540" t="str">
            <v>FTW102K</v>
          </cell>
          <cell r="E7540">
            <v>46206</v>
          </cell>
        </row>
        <row r="7541">
          <cell r="A7541" t="str">
            <v>2624LF57</v>
          </cell>
          <cell r="D7541" t="str">
            <v>HV80</v>
          </cell>
          <cell r="E7541">
            <v>46206</v>
          </cell>
        </row>
        <row r="7542">
          <cell r="A7542" t="str">
            <v>2625PJ27</v>
          </cell>
          <cell r="D7542" t="str">
            <v>FTW102K</v>
          </cell>
          <cell r="E7542">
            <v>46206</v>
          </cell>
        </row>
        <row r="7543">
          <cell r="A7543" t="str">
            <v>2624L557</v>
          </cell>
          <cell r="D7543" t="str">
            <v>HV80</v>
          </cell>
          <cell r="E7543">
            <v>46206</v>
          </cell>
        </row>
        <row r="7544">
          <cell r="A7544" t="str">
            <v>2624JI57</v>
          </cell>
          <cell r="D7544" t="str">
            <v>FTW102K</v>
          </cell>
          <cell r="E7544">
            <v>46206</v>
          </cell>
        </row>
        <row r="7545">
          <cell r="A7545" t="str">
            <v>2625P517</v>
          </cell>
          <cell r="D7545" t="str">
            <v>TTS80</v>
          </cell>
          <cell r="E7545">
            <v>46206</v>
          </cell>
        </row>
        <row r="7546">
          <cell r="A7546" t="str">
            <v>2624FF70</v>
          </cell>
          <cell r="D7546" t="str">
            <v>TTS125</v>
          </cell>
          <cell r="E7546">
            <v>46206</v>
          </cell>
        </row>
        <row r="7547">
          <cell r="A7547" t="str">
            <v>2624F267</v>
          </cell>
          <cell r="D7547" t="str">
            <v>TTS80</v>
          </cell>
          <cell r="E7547">
            <v>46206</v>
          </cell>
        </row>
        <row r="7548">
          <cell r="A7548" t="str">
            <v>2625SD27</v>
          </cell>
          <cell r="D7548" t="str">
            <v>STA156KA</v>
          </cell>
          <cell r="E7548">
            <v>46206</v>
          </cell>
        </row>
        <row r="7549">
          <cell r="A7549" t="str">
            <v>2624FE40</v>
          </cell>
          <cell r="D7549" t="str">
            <v>STA200KA</v>
          </cell>
          <cell r="E7549">
            <v>46206</v>
          </cell>
        </row>
        <row r="7550">
          <cell r="A7550" t="str">
            <v>2625IZ37</v>
          </cell>
          <cell r="D7550" t="str">
            <v>FTW503</v>
          </cell>
          <cell r="E7550">
            <v>46206</v>
          </cell>
        </row>
        <row r="7551">
          <cell r="A7551" t="str">
            <v>2623LZ67</v>
          </cell>
          <cell r="D7551" t="str">
            <v>TTS80</v>
          </cell>
          <cell r="E7551">
            <v>46206</v>
          </cell>
        </row>
        <row r="7552">
          <cell r="A7552" t="str">
            <v>2625II37</v>
          </cell>
          <cell r="D7552" t="str">
            <v>KBP76</v>
          </cell>
          <cell r="E7552">
            <v>46206</v>
          </cell>
        </row>
        <row r="7553">
          <cell r="A7553" t="str">
            <v>2624OV47</v>
          </cell>
          <cell r="D7553" t="str">
            <v>TTS50</v>
          </cell>
          <cell r="E7553">
            <v>46206</v>
          </cell>
        </row>
        <row r="7554">
          <cell r="A7554" t="str">
            <v>2619DK47</v>
          </cell>
          <cell r="D7554" t="str">
            <v>TTS50</v>
          </cell>
          <cell r="E7554">
            <v>46206</v>
          </cell>
        </row>
        <row r="7555">
          <cell r="A7555" t="str">
            <v>2619J517</v>
          </cell>
          <cell r="D7555" t="str">
            <v>TTS50</v>
          </cell>
          <cell r="E7555">
            <v>46206</v>
          </cell>
        </row>
        <row r="7556">
          <cell r="A7556" t="str">
            <v>2624LR47</v>
          </cell>
          <cell r="D7556" t="str">
            <v>FTW102K</v>
          </cell>
          <cell r="E7556">
            <v>46206</v>
          </cell>
        </row>
        <row r="7557">
          <cell r="A7557" t="str">
            <v>2625LT47</v>
          </cell>
          <cell r="D7557" t="str">
            <v>KBP55</v>
          </cell>
          <cell r="E7557">
            <v>46206</v>
          </cell>
        </row>
        <row r="7558">
          <cell r="A7558" t="str">
            <v>2618CN57</v>
          </cell>
          <cell r="D7558" t="str">
            <v>TTS50</v>
          </cell>
          <cell r="E7558">
            <v>46206</v>
          </cell>
        </row>
        <row r="7559">
          <cell r="A7559" t="str">
            <v>2624O347</v>
          </cell>
          <cell r="D7559" t="str">
            <v>FTW121KE</v>
          </cell>
          <cell r="E7559">
            <v>46206</v>
          </cell>
        </row>
        <row r="7560">
          <cell r="A7560" t="str">
            <v>2625J237</v>
          </cell>
          <cell r="D7560" t="str">
            <v>FTW503</v>
          </cell>
          <cell r="E7560">
            <v>46206</v>
          </cell>
        </row>
        <row r="7561">
          <cell r="A7561" t="str">
            <v>2625LW37</v>
          </cell>
          <cell r="D7561" t="str">
            <v>TTS80</v>
          </cell>
          <cell r="E7561">
            <v>46206</v>
          </cell>
        </row>
        <row r="7562">
          <cell r="A7562" t="str">
            <v>2624ES67</v>
          </cell>
          <cell r="D7562" t="str">
            <v>FTW102K</v>
          </cell>
          <cell r="E7562">
            <v>46206</v>
          </cell>
        </row>
        <row r="7563">
          <cell r="A7563" t="str">
            <v>2624PA47</v>
          </cell>
          <cell r="D7563" t="str">
            <v>KBP76</v>
          </cell>
          <cell r="E7563">
            <v>46206</v>
          </cell>
        </row>
        <row r="7564">
          <cell r="A7564" t="str">
            <v>2625I247</v>
          </cell>
          <cell r="D7564" t="str">
            <v>KBP76</v>
          </cell>
          <cell r="E7564">
            <v>46206</v>
          </cell>
        </row>
        <row r="7565">
          <cell r="A7565" t="str">
            <v>2624CB17</v>
          </cell>
          <cell r="D7565" t="str">
            <v>KBP86</v>
          </cell>
          <cell r="E7565">
            <v>46206</v>
          </cell>
        </row>
        <row r="7566">
          <cell r="A7566" t="str">
            <v>2625I547</v>
          </cell>
          <cell r="D7566" t="str">
            <v>KBP76</v>
          </cell>
          <cell r="E7566">
            <v>46206</v>
          </cell>
        </row>
        <row r="7567">
          <cell r="A7567" t="str">
            <v>2624HE37</v>
          </cell>
          <cell r="D7567" t="str">
            <v>KBP86</v>
          </cell>
          <cell r="E7567">
            <v>46206</v>
          </cell>
        </row>
        <row r="7568">
          <cell r="A7568" t="str">
            <v>2624KA47</v>
          </cell>
          <cell r="D7568" t="str">
            <v>KBP76</v>
          </cell>
          <cell r="E7568">
            <v>46206</v>
          </cell>
        </row>
        <row r="7569">
          <cell r="A7569" t="str">
            <v>2624EL37</v>
          </cell>
          <cell r="D7569" t="str">
            <v>KBP86</v>
          </cell>
          <cell r="E7569">
            <v>46206</v>
          </cell>
        </row>
        <row r="7570">
          <cell r="A7570" t="str">
            <v>2620ED47</v>
          </cell>
          <cell r="D7570" t="str">
            <v>TTS50</v>
          </cell>
          <cell r="E7570">
            <v>46206</v>
          </cell>
        </row>
        <row r="7571">
          <cell r="A7571" t="str">
            <v>2625J337</v>
          </cell>
          <cell r="D7571" t="str">
            <v>FTW503</v>
          </cell>
          <cell r="E7571">
            <v>46206</v>
          </cell>
        </row>
        <row r="7572">
          <cell r="A7572" t="str">
            <v>2624ET67</v>
          </cell>
          <cell r="D7572" t="str">
            <v>FTW102K</v>
          </cell>
          <cell r="E7572">
            <v>46206</v>
          </cell>
        </row>
        <row r="7573">
          <cell r="A7573" t="str">
            <v>2625LE37</v>
          </cell>
          <cell r="D7573" t="str">
            <v>KBP55</v>
          </cell>
          <cell r="E7573">
            <v>46206</v>
          </cell>
        </row>
        <row r="7574">
          <cell r="A7574" t="str">
            <v>2622UV47</v>
          </cell>
          <cell r="D7574" t="str">
            <v>TTS50</v>
          </cell>
          <cell r="E7574">
            <v>46206</v>
          </cell>
        </row>
        <row r="7575">
          <cell r="A7575" t="str">
            <v>2623Q217</v>
          </cell>
          <cell r="D7575" t="str">
            <v>KBP76</v>
          </cell>
          <cell r="E7575">
            <v>46206</v>
          </cell>
        </row>
        <row r="7576">
          <cell r="A7576" t="str">
            <v>2625J937</v>
          </cell>
          <cell r="D7576" t="str">
            <v>FTW700</v>
          </cell>
          <cell r="E7576">
            <v>46206</v>
          </cell>
        </row>
        <row r="7577">
          <cell r="A7577" t="str">
            <v>2623KQ47</v>
          </cell>
          <cell r="D7577" t="str">
            <v>FTW121KE</v>
          </cell>
          <cell r="E7577">
            <v>46206</v>
          </cell>
        </row>
        <row r="7578">
          <cell r="A7578" t="str">
            <v>2624CL17</v>
          </cell>
          <cell r="D7578" t="str">
            <v>KBP86</v>
          </cell>
          <cell r="E7578">
            <v>46206</v>
          </cell>
        </row>
        <row r="7579">
          <cell r="A7579" t="str">
            <v>2624WX57</v>
          </cell>
          <cell r="D7579" t="str">
            <v>KBP86</v>
          </cell>
          <cell r="E7579">
            <v>46206</v>
          </cell>
        </row>
        <row r="7580">
          <cell r="A7580" t="str">
            <v>2623IR57</v>
          </cell>
          <cell r="D7580" t="str">
            <v>FTW121KE</v>
          </cell>
          <cell r="E7580">
            <v>46206</v>
          </cell>
        </row>
        <row r="7581">
          <cell r="A7581" t="str">
            <v>2624AM67</v>
          </cell>
          <cell r="D7581" t="str">
            <v>FTW121KE</v>
          </cell>
          <cell r="E7581">
            <v>46206</v>
          </cell>
        </row>
        <row r="7582">
          <cell r="A7582" t="str">
            <v>2619QF17</v>
          </cell>
          <cell r="D7582" t="str">
            <v>TTS50</v>
          </cell>
          <cell r="E7582">
            <v>46206</v>
          </cell>
        </row>
        <row r="7583">
          <cell r="A7583" t="str">
            <v>2623EG67</v>
          </cell>
          <cell r="D7583" t="str">
            <v>TTS50</v>
          </cell>
          <cell r="E7583">
            <v>46206</v>
          </cell>
        </row>
        <row r="7584">
          <cell r="A7584" t="str">
            <v>2621PR27</v>
          </cell>
          <cell r="D7584" t="str">
            <v>KBP74</v>
          </cell>
          <cell r="E7584">
            <v>46206</v>
          </cell>
        </row>
        <row r="7585">
          <cell r="A7585" t="str">
            <v>2625IY17</v>
          </cell>
          <cell r="D7585" t="str">
            <v>KBP76</v>
          </cell>
          <cell r="E7585">
            <v>46206</v>
          </cell>
        </row>
        <row r="7586">
          <cell r="A7586" t="str">
            <v>2623EZ50</v>
          </cell>
          <cell r="D7586" t="str">
            <v>TTS125</v>
          </cell>
          <cell r="E7586">
            <v>46206</v>
          </cell>
        </row>
        <row r="7587">
          <cell r="A7587" t="str">
            <v>2623LI67</v>
          </cell>
          <cell r="D7587" t="str">
            <v>TTS80</v>
          </cell>
          <cell r="E7587">
            <v>46206</v>
          </cell>
        </row>
        <row r="7588">
          <cell r="A7588" t="str">
            <v>2622F567</v>
          </cell>
          <cell r="D7588" t="str">
            <v>TTS80</v>
          </cell>
          <cell r="E7588">
            <v>46206</v>
          </cell>
        </row>
        <row r="7589">
          <cell r="A7589" t="str">
            <v>2624LL47</v>
          </cell>
          <cell r="D7589" t="str">
            <v>FTW102K</v>
          </cell>
          <cell r="E7589">
            <v>46206</v>
          </cell>
        </row>
        <row r="7590">
          <cell r="A7590" t="str">
            <v>2619JG17</v>
          </cell>
          <cell r="D7590" t="str">
            <v>TTS50</v>
          </cell>
          <cell r="E7590">
            <v>46206</v>
          </cell>
        </row>
        <row r="7591">
          <cell r="A7591" t="str">
            <v>2625IH37</v>
          </cell>
          <cell r="D7591" t="str">
            <v>KBP76</v>
          </cell>
          <cell r="E7591">
            <v>46206</v>
          </cell>
        </row>
        <row r="7592">
          <cell r="A7592" t="str">
            <v>2625IW17</v>
          </cell>
          <cell r="D7592" t="str">
            <v>KBP76</v>
          </cell>
          <cell r="E7592">
            <v>46206</v>
          </cell>
        </row>
        <row r="7593">
          <cell r="A7593" t="str">
            <v>2624PU47</v>
          </cell>
          <cell r="D7593" t="str">
            <v>TTS80</v>
          </cell>
          <cell r="E7593">
            <v>46206</v>
          </cell>
        </row>
        <row r="7594">
          <cell r="A7594" t="str">
            <v>2625IP47</v>
          </cell>
          <cell r="D7594" t="str">
            <v>FTW503</v>
          </cell>
          <cell r="E7594">
            <v>46206</v>
          </cell>
        </row>
        <row r="7595">
          <cell r="A7595" t="str">
            <v>2625KL27</v>
          </cell>
          <cell r="D7595" t="str">
            <v>KBP76</v>
          </cell>
          <cell r="E7595">
            <v>46206</v>
          </cell>
        </row>
        <row r="7596">
          <cell r="A7596" t="str">
            <v>2616IL17</v>
          </cell>
          <cell r="D7596" t="str">
            <v>TTS50</v>
          </cell>
          <cell r="E7596">
            <v>46206</v>
          </cell>
        </row>
        <row r="7597">
          <cell r="A7597" t="str">
            <v>2624HT67</v>
          </cell>
          <cell r="D7597" t="str">
            <v>TTS80</v>
          </cell>
          <cell r="E7597">
            <v>46206</v>
          </cell>
        </row>
        <row r="7598">
          <cell r="A7598" t="str">
            <v>2624HZ37</v>
          </cell>
          <cell r="D7598" t="str">
            <v>KBP76</v>
          </cell>
          <cell r="E7598">
            <v>46206</v>
          </cell>
        </row>
        <row r="7599">
          <cell r="A7599" t="str">
            <v>2622UW47</v>
          </cell>
          <cell r="D7599" t="str">
            <v>TTS50</v>
          </cell>
          <cell r="E7599">
            <v>46206</v>
          </cell>
        </row>
        <row r="7600">
          <cell r="A7600" t="str">
            <v>2625JL37</v>
          </cell>
          <cell r="D7600" t="str">
            <v>FTW121KE</v>
          </cell>
          <cell r="E7600">
            <v>46206</v>
          </cell>
        </row>
        <row r="7601">
          <cell r="A7601" t="str">
            <v>2624EU67</v>
          </cell>
          <cell r="D7601" t="str">
            <v>FTW102K</v>
          </cell>
          <cell r="E7601">
            <v>46206</v>
          </cell>
        </row>
        <row r="7602">
          <cell r="A7602" t="str">
            <v>2625OJ27</v>
          </cell>
          <cell r="D7602" t="str">
            <v>FTW121KE</v>
          </cell>
          <cell r="E7602">
            <v>46206</v>
          </cell>
        </row>
        <row r="7603">
          <cell r="A7603" t="str">
            <v>2624XB57</v>
          </cell>
          <cell r="D7603" t="str">
            <v>KBP86</v>
          </cell>
          <cell r="E7603">
            <v>46206</v>
          </cell>
        </row>
        <row r="7604">
          <cell r="A7604" t="str">
            <v>2624O957</v>
          </cell>
          <cell r="D7604" t="str">
            <v>KBP55</v>
          </cell>
          <cell r="E7604">
            <v>46206</v>
          </cell>
        </row>
        <row r="7605">
          <cell r="A7605" t="str">
            <v>2623GL67</v>
          </cell>
          <cell r="D7605" t="str">
            <v>FTW102K</v>
          </cell>
          <cell r="E7605">
            <v>46206</v>
          </cell>
        </row>
        <row r="7606">
          <cell r="A7606" t="str">
            <v>2624L827</v>
          </cell>
          <cell r="D7606" t="str">
            <v>KBP76</v>
          </cell>
          <cell r="E7606">
            <v>46206</v>
          </cell>
        </row>
        <row r="7607">
          <cell r="A7607" t="str">
            <v>2623BY67</v>
          </cell>
          <cell r="D7607" t="str">
            <v>KBP86</v>
          </cell>
          <cell r="E7607">
            <v>46206</v>
          </cell>
        </row>
        <row r="7608">
          <cell r="A7608" t="str">
            <v>2623GO67</v>
          </cell>
          <cell r="D7608" t="str">
            <v>FTW102K</v>
          </cell>
          <cell r="E7608">
            <v>46206</v>
          </cell>
        </row>
        <row r="7609">
          <cell r="A7609" t="str">
            <v>2615O157</v>
          </cell>
          <cell r="D7609" t="str">
            <v>TTS50</v>
          </cell>
          <cell r="E7609">
            <v>46206</v>
          </cell>
        </row>
        <row r="7610">
          <cell r="A7610" t="str">
            <v>2625AR67</v>
          </cell>
          <cell r="D7610" t="str">
            <v>FTW700</v>
          </cell>
          <cell r="E7610">
            <v>46206</v>
          </cell>
        </row>
        <row r="7611">
          <cell r="A7611" t="str">
            <v>2624A767</v>
          </cell>
          <cell r="D7611" t="str">
            <v>FTW121KE</v>
          </cell>
          <cell r="E7611">
            <v>46206</v>
          </cell>
        </row>
        <row r="7612">
          <cell r="A7612" t="str">
            <v>2624O757</v>
          </cell>
          <cell r="D7612" t="str">
            <v>STA156KA</v>
          </cell>
          <cell r="E7612">
            <v>46206</v>
          </cell>
        </row>
        <row r="7613">
          <cell r="A7613" t="str">
            <v>2619JC17</v>
          </cell>
          <cell r="D7613" t="str">
            <v>TTS50</v>
          </cell>
          <cell r="E7613">
            <v>46206</v>
          </cell>
        </row>
        <row r="7614">
          <cell r="A7614" t="str">
            <v>2622UM47</v>
          </cell>
          <cell r="D7614" t="str">
            <v>TTS50</v>
          </cell>
          <cell r="E7614">
            <v>46206</v>
          </cell>
        </row>
        <row r="7615">
          <cell r="A7615" t="str">
            <v>2624I137</v>
          </cell>
          <cell r="D7615" t="str">
            <v>KBP76</v>
          </cell>
          <cell r="E7615">
            <v>46206</v>
          </cell>
        </row>
        <row r="7616">
          <cell r="A7616" t="str">
            <v>2624HQ57</v>
          </cell>
          <cell r="D7616" t="str">
            <v>TTS40</v>
          </cell>
          <cell r="E7616">
            <v>46206</v>
          </cell>
        </row>
        <row r="7617">
          <cell r="A7617" t="str">
            <v>2625PG27</v>
          </cell>
          <cell r="D7617" t="str">
            <v>FTW102K</v>
          </cell>
          <cell r="E7617">
            <v>46206</v>
          </cell>
        </row>
        <row r="7618">
          <cell r="A7618" t="str">
            <v>2625QP17</v>
          </cell>
          <cell r="D7618" t="str">
            <v>TTS80</v>
          </cell>
          <cell r="E7618">
            <v>46206</v>
          </cell>
        </row>
        <row r="7619">
          <cell r="A7619" t="str">
            <v>2620O427</v>
          </cell>
          <cell r="D7619" t="str">
            <v>TTS50</v>
          </cell>
          <cell r="E7619">
            <v>46206</v>
          </cell>
        </row>
        <row r="7620">
          <cell r="A7620" t="str">
            <v>2619IY17</v>
          </cell>
          <cell r="D7620" t="str">
            <v>TTS50</v>
          </cell>
          <cell r="E7620">
            <v>46206</v>
          </cell>
        </row>
        <row r="7621">
          <cell r="A7621" t="str">
            <v>2615L357</v>
          </cell>
          <cell r="D7621" t="str">
            <v>TTS50</v>
          </cell>
          <cell r="E7621">
            <v>46206</v>
          </cell>
        </row>
        <row r="7622">
          <cell r="A7622" t="str">
            <v>2624AL67</v>
          </cell>
          <cell r="D7622" t="str">
            <v>FTW121KE</v>
          </cell>
          <cell r="E7622">
            <v>46206</v>
          </cell>
        </row>
        <row r="7623">
          <cell r="A7623" t="str">
            <v>2624CA17</v>
          </cell>
          <cell r="D7623" t="str">
            <v>KBP86</v>
          </cell>
          <cell r="E7623">
            <v>46206</v>
          </cell>
        </row>
        <row r="7624">
          <cell r="A7624" t="str">
            <v>2616I417</v>
          </cell>
          <cell r="D7624" t="str">
            <v>TTS50</v>
          </cell>
          <cell r="E7624">
            <v>46206</v>
          </cell>
        </row>
        <row r="7625">
          <cell r="A7625" t="str">
            <v>2618HN57</v>
          </cell>
          <cell r="D7625" t="str">
            <v>TTS50</v>
          </cell>
          <cell r="E7625">
            <v>46206</v>
          </cell>
        </row>
        <row r="7626">
          <cell r="A7626" t="str">
            <v>2625GP67</v>
          </cell>
          <cell r="D7626" t="str">
            <v>TTS80</v>
          </cell>
          <cell r="E7626">
            <v>46206</v>
          </cell>
        </row>
        <row r="7627">
          <cell r="A7627" t="str">
            <v>2625IA37</v>
          </cell>
          <cell r="D7627" t="str">
            <v>KBP76</v>
          </cell>
          <cell r="E7627">
            <v>46206</v>
          </cell>
        </row>
        <row r="7628">
          <cell r="A7628" t="str">
            <v>2624PR47</v>
          </cell>
          <cell r="D7628" t="str">
            <v>KBP55</v>
          </cell>
          <cell r="E7628">
            <v>46206</v>
          </cell>
        </row>
        <row r="7629">
          <cell r="A7629" t="str">
            <v>2621EW57</v>
          </cell>
          <cell r="D7629" t="str">
            <v>TTS50</v>
          </cell>
          <cell r="E7629">
            <v>46206</v>
          </cell>
        </row>
        <row r="7630">
          <cell r="A7630" t="str">
            <v>2623JK67</v>
          </cell>
          <cell r="D7630" t="str">
            <v>KBP76</v>
          </cell>
          <cell r="E7630">
            <v>46206</v>
          </cell>
        </row>
        <row r="7631">
          <cell r="A7631" t="str">
            <v>2615DN37</v>
          </cell>
          <cell r="D7631" t="str">
            <v>TTS50</v>
          </cell>
          <cell r="E7631">
            <v>46206</v>
          </cell>
        </row>
        <row r="7632">
          <cell r="A7632" t="str">
            <v>2618HA57</v>
          </cell>
          <cell r="D7632" t="str">
            <v>TTS50</v>
          </cell>
          <cell r="E7632">
            <v>46206</v>
          </cell>
        </row>
        <row r="7633">
          <cell r="A7633" t="str">
            <v>2615LI57</v>
          </cell>
          <cell r="D7633" t="str">
            <v>TTS50</v>
          </cell>
          <cell r="E7633">
            <v>46206</v>
          </cell>
        </row>
        <row r="7634">
          <cell r="A7634" t="str">
            <v>2616J217</v>
          </cell>
          <cell r="D7634" t="str">
            <v>TTS50</v>
          </cell>
          <cell r="E7634">
            <v>46206</v>
          </cell>
        </row>
        <row r="7635">
          <cell r="A7635" t="str">
            <v>2623HG27</v>
          </cell>
          <cell r="D7635" t="str">
            <v>KBP52</v>
          </cell>
          <cell r="E7635">
            <v>46206</v>
          </cell>
        </row>
        <row r="7636">
          <cell r="A7636" t="str">
            <v>2624EQ67</v>
          </cell>
          <cell r="D7636" t="str">
            <v>FTW102K</v>
          </cell>
          <cell r="E7636">
            <v>46206</v>
          </cell>
        </row>
        <row r="7637">
          <cell r="A7637" t="str">
            <v>2619IP17</v>
          </cell>
          <cell r="D7637" t="str">
            <v>TTS50</v>
          </cell>
          <cell r="E7637">
            <v>46206</v>
          </cell>
        </row>
        <row r="7638">
          <cell r="A7638" t="str">
            <v>2623GK67</v>
          </cell>
          <cell r="D7638" t="str">
            <v>FTW102K</v>
          </cell>
          <cell r="E7638">
            <v>46206</v>
          </cell>
        </row>
        <row r="7639">
          <cell r="A7639" t="str">
            <v>2624A267</v>
          </cell>
          <cell r="D7639" t="str">
            <v>FTW121KE</v>
          </cell>
          <cell r="E7639">
            <v>46206</v>
          </cell>
        </row>
        <row r="7640">
          <cell r="A7640" t="str">
            <v>2624A567</v>
          </cell>
          <cell r="D7640" t="str">
            <v>FTW121KE</v>
          </cell>
          <cell r="E7640">
            <v>46206</v>
          </cell>
        </row>
        <row r="7641">
          <cell r="A7641" t="str">
            <v>2623KO47</v>
          </cell>
          <cell r="D7641" t="str">
            <v>FTW121KE</v>
          </cell>
          <cell r="E7641">
            <v>46206</v>
          </cell>
        </row>
        <row r="7642">
          <cell r="A7642" t="str">
            <v>2621OI47</v>
          </cell>
          <cell r="D7642" t="str">
            <v>KBP86</v>
          </cell>
          <cell r="E7642">
            <v>46206</v>
          </cell>
        </row>
        <row r="7643">
          <cell r="A7643" t="str">
            <v>2619SM27</v>
          </cell>
          <cell r="D7643" t="str">
            <v>TTS50</v>
          </cell>
          <cell r="E7643">
            <v>46206</v>
          </cell>
        </row>
        <row r="7644">
          <cell r="A7644" t="str">
            <v>2623KT47</v>
          </cell>
          <cell r="D7644" t="str">
            <v>FTW102K</v>
          </cell>
          <cell r="E7644">
            <v>46206</v>
          </cell>
        </row>
        <row r="7645">
          <cell r="A7645" t="str">
            <v>2623F267</v>
          </cell>
          <cell r="D7645" t="str">
            <v>FTW121KE</v>
          </cell>
          <cell r="E7645">
            <v>46206</v>
          </cell>
        </row>
        <row r="7646">
          <cell r="A7646" t="str">
            <v>2620B647</v>
          </cell>
          <cell r="D7646" t="str">
            <v>TTS50</v>
          </cell>
          <cell r="E7646">
            <v>46206</v>
          </cell>
        </row>
        <row r="7647">
          <cell r="A7647" t="str">
            <v>2624LF27</v>
          </cell>
          <cell r="D7647" t="str">
            <v>KBP52</v>
          </cell>
          <cell r="E7647">
            <v>46206</v>
          </cell>
        </row>
        <row r="7648">
          <cell r="A7648" t="str">
            <v>2623DM57</v>
          </cell>
          <cell r="D7648" t="str">
            <v>KBP76</v>
          </cell>
          <cell r="E7648">
            <v>46206</v>
          </cell>
        </row>
        <row r="7649">
          <cell r="A7649" t="str">
            <v>2623KU67</v>
          </cell>
          <cell r="D7649" t="str">
            <v>TTS80</v>
          </cell>
          <cell r="E7649">
            <v>46206</v>
          </cell>
        </row>
        <row r="7650">
          <cell r="A7650" t="str">
            <v>2625KC27</v>
          </cell>
          <cell r="D7650" t="str">
            <v>KBP86</v>
          </cell>
          <cell r="E7650">
            <v>46206</v>
          </cell>
        </row>
        <row r="7651">
          <cell r="A7651" t="str">
            <v>2625DT67</v>
          </cell>
          <cell r="D7651" t="str">
            <v>KBP52</v>
          </cell>
          <cell r="E7651">
            <v>46206</v>
          </cell>
        </row>
        <row r="7652">
          <cell r="A7652" t="str">
            <v>2624PX27</v>
          </cell>
          <cell r="D7652" t="str">
            <v>TTS80</v>
          </cell>
          <cell r="E7652">
            <v>46206</v>
          </cell>
        </row>
        <row r="7653">
          <cell r="A7653" t="str">
            <v>2623Q117</v>
          </cell>
          <cell r="D7653" t="str">
            <v>KBP76</v>
          </cell>
          <cell r="E7653">
            <v>46206</v>
          </cell>
        </row>
        <row r="7654">
          <cell r="A7654" t="str">
            <v>2625OQ27</v>
          </cell>
          <cell r="D7654" t="str">
            <v>FTW121KE</v>
          </cell>
          <cell r="E7654">
            <v>46206</v>
          </cell>
        </row>
        <row r="7655">
          <cell r="A7655" t="str">
            <v>2623EZ40</v>
          </cell>
          <cell r="D7655" t="str">
            <v>TTS125</v>
          </cell>
          <cell r="E7655">
            <v>46206</v>
          </cell>
        </row>
        <row r="7656">
          <cell r="A7656" t="str">
            <v>2625G267</v>
          </cell>
          <cell r="D7656" t="str">
            <v>TTS80</v>
          </cell>
          <cell r="E7656">
            <v>46206</v>
          </cell>
        </row>
        <row r="7657">
          <cell r="A7657" t="str">
            <v>2623OE37</v>
          </cell>
          <cell r="D7657" t="str">
            <v>FTW102K</v>
          </cell>
          <cell r="E7657">
            <v>46206</v>
          </cell>
        </row>
        <row r="7658">
          <cell r="A7658" t="str">
            <v>2625FW27</v>
          </cell>
          <cell r="D7658" t="str">
            <v>STA156KA</v>
          </cell>
          <cell r="E7658">
            <v>46206</v>
          </cell>
        </row>
        <row r="7659">
          <cell r="A7659" t="str">
            <v>2624PN17</v>
          </cell>
          <cell r="D7659" t="str">
            <v>TTS80</v>
          </cell>
          <cell r="E7659">
            <v>46206</v>
          </cell>
        </row>
        <row r="7660">
          <cell r="A7660" t="str">
            <v>2623OB37</v>
          </cell>
          <cell r="D7660" t="str">
            <v>FTW102K</v>
          </cell>
          <cell r="E7660">
            <v>46206</v>
          </cell>
        </row>
        <row r="7661">
          <cell r="A7661" t="str">
            <v>2624IK67</v>
          </cell>
          <cell r="D7661" t="str">
            <v>TTS80</v>
          </cell>
          <cell r="E7661">
            <v>46206</v>
          </cell>
        </row>
        <row r="7662">
          <cell r="A7662" t="str">
            <v>2623CM67</v>
          </cell>
          <cell r="D7662" t="str">
            <v>KBP86</v>
          </cell>
          <cell r="E7662">
            <v>46206</v>
          </cell>
        </row>
        <row r="7663">
          <cell r="A7663" t="str">
            <v>2625LV37</v>
          </cell>
          <cell r="D7663" t="str">
            <v>TTS80</v>
          </cell>
          <cell r="E7663">
            <v>46206</v>
          </cell>
        </row>
        <row r="7664">
          <cell r="A7664" t="str">
            <v>2623HC67</v>
          </cell>
          <cell r="D7664" t="str">
            <v>KBP76</v>
          </cell>
          <cell r="E7664">
            <v>46206</v>
          </cell>
        </row>
        <row r="7665">
          <cell r="A7665" t="str">
            <v>2625J147</v>
          </cell>
          <cell r="D7665" t="str">
            <v>FTW700</v>
          </cell>
          <cell r="E7665">
            <v>46206</v>
          </cell>
        </row>
        <row r="7666">
          <cell r="A7666" t="str">
            <v>2616DS90</v>
          </cell>
          <cell r="D7666" t="str">
            <v>TTS12KM</v>
          </cell>
          <cell r="E7666">
            <v>46206</v>
          </cell>
        </row>
        <row r="7667">
          <cell r="A7667" t="str">
            <v>2622S147</v>
          </cell>
          <cell r="D7667" t="str">
            <v>KBP86</v>
          </cell>
          <cell r="E7667">
            <v>46206</v>
          </cell>
        </row>
        <row r="7668">
          <cell r="A7668" t="str">
            <v>2623HE67</v>
          </cell>
          <cell r="D7668" t="str">
            <v>KBP76</v>
          </cell>
          <cell r="E7668">
            <v>46206</v>
          </cell>
        </row>
        <row r="7669">
          <cell r="A7669" t="str">
            <v>2624O657</v>
          </cell>
          <cell r="D7669" t="str">
            <v>STA156KA</v>
          </cell>
          <cell r="E7669">
            <v>46206</v>
          </cell>
        </row>
        <row r="7670">
          <cell r="A7670" t="str">
            <v>2624AI67</v>
          </cell>
          <cell r="D7670" t="str">
            <v>FTW121KE</v>
          </cell>
          <cell r="E7670">
            <v>46206</v>
          </cell>
        </row>
        <row r="7671">
          <cell r="A7671" t="str">
            <v>2624HK17</v>
          </cell>
          <cell r="D7671" t="str">
            <v>TTS50</v>
          </cell>
          <cell r="E7671">
            <v>46206</v>
          </cell>
        </row>
        <row r="7672">
          <cell r="A7672" t="str">
            <v>2624K837</v>
          </cell>
          <cell r="D7672" t="str">
            <v>FTW121KE</v>
          </cell>
          <cell r="E7672">
            <v>46206</v>
          </cell>
        </row>
        <row r="7673">
          <cell r="A7673" t="str">
            <v>2623L467</v>
          </cell>
          <cell r="D7673" t="str">
            <v>TTS80</v>
          </cell>
          <cell r="E7673">
            <v>46206</v>
          </cell>
        </row>
        <row r="7674">
          <cell r="A7674" t="str">
            <v>2615LK57</v>
          </cell>
          <cell r="D7674" t="str">
            <v>TTS50</v>
          </cell>
          <cell r="E7674">
            <v>46206</v>
          </cell>
        </row>
        <row r="7675">
          <cell r="A7675" t="str">
            <v>2624XG57</v>
          </cell>
          <cell r="D7675" t="str">
            <v>KBP76</v>
          </cell>
          <cell r="E7675">
            <v>46206</v>
          </cell>
        </row>
        <row r="7676">
          <cell r="A7676" t="str">
            <v>2623KJ47</v>
          </cell>
          <cell r="D7676" t="str">
            <v>FTW121KE</v>
          </cell>
          <cell r="E7676">
            <v>46206</v>
          </cell>
        </row>
        <row r="7677">
          <cell r="A7677" t="str">
            <v>2619IH37</v>
          </cell>
          <cell r="D7677" t="str">
            <v>TTS50</v>
          </cell>
          <cell r="E7677">
            <v>46206</v>
          </cell>
        </row>
        <row r="7678">
          <cell r="A7678" t="str">
            <v>2624J757</v>
          </cell>
          <cell r="D7678" t="str">
            <v>FTW102K</v>
          </cell>
          <cell r="E7678">
            <v>46206</v>
          </cell>
        </row>
        <row r="7679">
          <cell r="A7679" t="str">
            <v>2625SW67</v>
          </cell>
          <cell r="D7679" t="str">
            <v>TTS80</v>
          </cell>
          <cell r="E7679">
            <v>46206</v>
          </cell>
        </row>
        <row r="7680">
          <cell r="A7680" t="str">
            <v>2606PF27</v>
          </cell>
          <cell r="D7680" t="str">
            <v>KBP52</v>
          </cell>
          <cell r="E7680">
            <v>46206</v>
          </cell>
        </row>
        <row r="7681">
          <cell r="A7681" t="str">
            <v>2625KN27</v>
          </cell>
          <cell r="D7681" t="str">
            <v>KBP76</v>
          </cell>
          <cell r="E7681">
            <v>46206</v>
          </cell>
        </row>
        <row r="7682">
          <cell r="A7682" t="str">
            <v>2624GF67</v>
          </cell>
          <cell r="D7682" t="str">
            <v>KBP76</v>
          </cell>
          <cell r="E7682">
            <v>46206</v>
          </cell>
        </row>
        <row r="7683">
          <cell r="A7683" t="str">
            <v>2626HJ17</v>
          </cell>
          <cell r="D7683" t="str">
            <v>S15MB</v>
          </cell>
          <cell r="E7683">
            <v>46206</v>
          </cell>
        </row>
        <row r="7684">
          <cell r="A7684" t="str">
            <v>2623QN37</v>
          </cell>
          <cell r="D7684" t="str">
            <v>KBP76</v>
          </cell>
          <cell r="E7684">
            <v>46206</v>
          </cell>
        </row>
        <row r="7685">
          <cell r="A7685" t="str">
            <v>2625PM27</v>
          </cell>
          <cell r="D7685" t="str">
            <v>KBP76</v>
          </cell>
          <cell r="E7685">
            <v>46206</v>
          </cell>
        </row>
        <row r="7686">
          <cell r="A7686" t="str">
            <v>2624HK67</v>
          </cell>
          <cell r="D7686" t="str">
            <v>KBP55</v>
          </cell>
          <cell r="E7686">
            <v>46206</v>
          </cell>
        </row>
        <row r="7687">
          <cell r="A7687" t="str">
            <v>2618X747</v>
          </cell>
          <cell r="D7687" t="str">
            <v>TTS50</v>
          </cell>
          <cell r="E7687">
            <v>46206</v>
          </cell>
        </row>
        <row r="7688">
          <cell r="A7688" t="str">
            <v>2619J717</v>
          </cell>
          <cell r="D7688" t="str">
            <v>TTS50</v>
          </cell>
          <cell r="E7688">
            <v>46206</v>
          </cell>
        </row>
        <row r="7689">
          <cell r="A7689" t="str">
            <v>2615OC47</v>
          </cell>
          <cell r="D7689" t="str">
            <v>TTS50</v>
          </cell>
          <cell r="E7689">
            <v>46206</v>
          </cell>
        </row>
        <row r="7690">
          <cell r="A7690" t="str">
            <v>2615L147</v>
          </cell>
          <cell r="D7690" t="str">
            <v>TTS50</v>
          </cell>
          <cell r="E7690">
            <v>46206</v>
          </cell>
        </row>
        <row r="7691">
          <cell r="A7691" t="str">
            <v>2624JE57</v>
          </cell>
          <cell r="D7691" t="str">
            <v>FTW102K</v>
          </cell>
          <cell r="E7691">
            <v>46206</v>
          </cell>
        </row>
        <row r="7692">
          <cell r="A7692" t="str">
            <v>2623K967</v>
          </cell>
          <cell r="D7692" t="str">
            <v>STA156KA</v>
          </cell>
          <cell r="E7692">
            <v>46206</v>
          </cell>
        </row>
        <row r="7693">
          <cell r="A7693" t="str">
            <v>2625L837</v>
          </cell>
          <cell r="D7693" t="str">
            <v>KBP76</v>
          </cell>
          <cell r="E7693">
            <v>46206</v>
          </cell>
        </row>
        <row r="7694">
          <cell r="A7694" t="str">
            <v>2625PH27</v>
          </cell>
          <cell r="D7694" t="str">
            <v>FTW102K</v>
          </cell>
          <cell r="E7694">
            <v>46206</v>
          </cell>
        </row>
        <row r="7695">
          <cell r="A7695" t="str">
            <v>2625OO27</v>
          </cell>
          <cell r="D7695" t="str">
            <v>FTW121KE</v>
          </cell>
          <cell r="E7695">
            <v>46206</v>
          </cell>
        </row>
        <row r="7696">
          <cell r="A7696" t="str">
            <v>2625IQ47</v>
          </cell>
          <cell r="D7696" t="str">
            <v>FTW503</v>
          </cell>
          <cell r="E7696">
            <v>46206</v>
          </cell>
        </row>
        <row r="7697">
          <cell r="A7697" t="str">
            <v>2619IN17</v>
          </cell>
          <cell r="D7697" t="str">
            <v>TTS50</v>
          </cell>
          <cell r="E7697">
            <v>46206</v>
          </cell>
        </row>
        <row r="7698">
          <cell r="A7698" t="str">
            <v>2615LB57</v>
          </cell>
          <cell r="D7698" t="str">
            <v>TTS50</v>
          </cell>
          <cell r="E7698">
            <v>46206</v>
          </cell>
        </row>
        <row r="7699">
          <cell r="A7699" t="str">
            <v>2624LR47</v>
          </cell>
          <cell r="D7699" t="str">
            <v>FTW102K</v>
          </cell>
          <cell r="E7699">
            <v>46206</v>
          </cell>
        </row>
        <row r="7700">
          <cell r="A7700" t="str">
            <v>2624LR47</v>
          </cell>
          <cell r="D7700" t="str">
            <v>FTW102K</v>
          </cell>
          <cell r="E7700">
            <v>46206</v>
          </cell>
        </row>
        <row r="7701">
          <cell r="A7701" t="str">
            <v>2624LF27</v>
          </cell>
          <cell r="D7701" t="str">
            <v>KBP52</v>
          </cell>
          <cell r="E7701">
            <v>46206</v>
          </cell>
        </row>
        <row r="7702">
          <cell r="A7702" t="str">
            <v>2623DM57</v>
          </cell>
          <cell r="D7702" t="str">
            <v>KBP76</v>
          </cell>
          <cell r="E7702">
            <v>46206</v>
          </cell>
        </row>
        <row r="7703">
          <cell r="A7703" t="str">
            <v>2624LF27</v>
          </cell>
          <cell r="D7703" t="str">
            <v>KBP52</v>
          </cell>
          <cell r="E7703">
            <v>46206</v>
          </cell>
        </row>
        <row r="7704">
          <cell r="A7704" t="str">
            <v>2625LA47</v>
          </cell>
          <cell r="D7704" t="str">
            <v>KBP126</v>
          </cell>
          <cell r="E7704">
            <v>46205</v>
          </cell>
        </row>
        <row r="7705">
          <cell r="A7705" t="str">
            <v>2620Y517</v>
          </cell>
          <cell r="D7705" t="str">
            <v>KBP86</v>
          </cell>
          <cell r="E7705">
            <v>46205</v>
          </cell>
        </row>
        <row r="7706">
          <cell r="A7706" t="str">
            <v>2624LD57</v>
          </cell>
          <cell r="D7706" t="str">
            <v>HV80</v>
          </cell>
          <cell r="E7706">
            <v>46205</v>
          </cell>
        </row>
        <row r="7707">
          <cell r="A7707" t="str">
            <v>2624BI67</v>
          </cell>
          <cell r="D7707" t="str">
            <v>S805</v>
          </cell>
          <cell r="E7707">
            <v>46205</v>
          </cell>
        </row>
        <row r="7708">
          <cell r="A7708" t="str">
            <v>2624OA37</v>
          </cell>
          <cell r="D7708" t="str">
            <v>KBP76</v>
          </cell>
          <cell r="E7708">
            <v>46205</v>
          </cell>
        </row>
        <row r="7709">
          <cell r="A7709" t="str">
            <v>2624KO57</v>
          </cell>
          <cell r="D7709" t="str">
            <v>KBP86</v>
          </cell>
          <cell r="E7709">
            <v>46205</v>
          </cell>
        </row>
        <row r="7710">
          <cell r="A7710" t="str">
            <v>2624OK47</v>
          </cell>
          <cell r="D7710" t="str">
            <v>HV80</v>
          </cell>
          <cell r="E7710">
            <v>46205</v>
          </cell>
        </row>
        <row r="7711">
          <cell r="A7711" t="str">
            <v>2624BF67</v>
          </cell>
          <cell r="D7711" t="str">
            <v>S805</v>
          </cell>
          <cell r="E7711">
            <v>46205</v>
          </cell>
        </row>
        <row r="7712">
          <cell r="A7712" t="str">
            <v>2625IP37</v>
          </cell>
          <cell r="D7712" t="str">
            <v>S805</v>
          </cell>
          <cell r="E7712">
            <v>46205</v>
          </cell>
        </row>
        <row r="7713">
          <cell r="A7713" t="str">
            <v>2623L967</v>
          </cell>
          <cell r="D7713" t="str">
            <v>TTS80</v>
          </cell>
          <cell r="E7713">
            <v>46205</v>
          </cell>
        </row>
        <row r="7714">
          <cell r="A7714" t="str">
            <v>2624L957</v>
          </cell>
          <cell r="D7714" t="str">
            <v>HV80</v>
          </cell>
          <cell r="E7714">
            <v>46205</v>
          </cell>
        </row>
        <row r="7715">
          <cell r="A7715" t="str">
            <v>2625LK47</v>
          </cell>
          <cell r="D7715" t="str">
            <v>KBP74</v>
          </cell>
          <cell r="E7715">
            <v>46205</v>
          </cell>
        </row>
        <row r="7716">
          <cell r="A7716" t="str">
            <v>2624LP57</v>
          </cell>
          <cell r="D7716" t="str">
            <v>TTS50</v>
          </cell>
          <cell r="E7716">
            <v>46205</v>
          </cell>
        </row>
        <row r="7717">
          <cell r="A7717" t="str">
            <v>2625EZ47</v>
          </cell>
          <cell r="D7717" t="str">
            <v>KBP76</v>
          </cell>
          <cell r="E7717">
            <v>46205</v>
          </cell>
        </row>
        <row r="7718">
          <cell r="A7718" t="str">
            <v>2625O447</v>
          </cell>
          <cell r="D7718" t="str">
            <v>TTS80</v>
          </cell>
          <cell r="E7718">
            <v>46205</v>
          </cell>
        </row>
        <row r="7719">
          <cell r="A7719" t="str">
            <v>2624XL57</v>
          </cell>
          <cell r="D7719" t="str">
            <v>S805</v>
          </cell>
          <cell r="E7719">
            <v>46205</v>
          </cell>
        </row>
        <row r="7720">
          <cell r="A7720" t="str">
            <v>2625LN37</v>
          </cell>
          <cell r="D7720" t="str">
            <v>TTS80</v>
          </cell>
          <cell r="E7720">
            <v>46205</v>
          </cell>
        </row>
        <row r="7721">
          <cell r="A7721" t="str">
            <v>2625LI17</v>
          </cell>
          <cell r="D7721" t="str">
            <v>FTW121KE</v>
          </cell>
          <cell r="E7721">
            <v>46205</v>
          </cell>
        </row>
        <row r="7722">
          <cell r="A7722" t="str">
            <v>2625IP17</v>
          </cell>
          <cell r="D7722" t="str">
            <v>KBP86</v>
          </cell>
          <cell r="E7722">
            <v>46205</v>
          </cell>
        </row>
        <row r="7723">
          <cell r="A7723" t="str">
            <v>2624BI67</v>
          </cell>
          <cell r="D7723" t="str">
            <v>S805</v>
          </cell>
          <cell r="E7723">
            <v>46205</v>
          </cell>
        </row>
        <row r="7724">
          <cell r="A7724" t="str">
            <v>2625IS57</v>
          </cell>
          <cell r="D7724" t="str">
            <v>FTP150</v>
          </cell>
          <cell r="E7724">
            <v>46205</v>
          </cell>
        </row>
        <row r="7725">
          <cell r="A7725" t="str">
            <v>2623AZ67</v>
          </cell>
          <cell r="D7725" t="str">
            <v>KBP86</v>
          </cell>
          <cell r="E7725">
            <v>46205</v>
          </cell>
        </row>
        <row r="7726">
          <cell r="A7726" t="str">
            <v>2625SQ67</v>
          </cell>
          <cell r="D7726" t="str">
            <v>TTS80</v>
          </cell>
          <cell r="E7726">
            <v>46205</v>
          </cell>
        </row>
        <row r="7727">
          <cell r="A7727" t="str">
            <v>2625IK47</v>
          </cell>
          <cell r="D7727" t="str">
            <v>FTW503</v>
          </cell>
          <cell r="E7727">
            <v>46205</v>
          </cell>
        </row>
        <row r="7728">
          <cell r="A7728" t="str">
            <v>2625FH67</v>
          </cell>
          <cell r="D7728" t="str">
            <v>FTP200</v>
          </cell>
          <cell r="E7728">
            <v>46205</v>
          </cell>
        </row>
        <row r="7729">
          <cell r="A7729" t="str">
            <v>2625LO37</v>
          </cell>
          <cell r="D7729" t="str">
            <v>TTS80</v>
          </cell>
          <cell r="E7729">
            <v>46205</v>
          </cell>
        </row>
        <row r="7730">
          <cell r="A7730" t="str">
            <v>2624JB27</v>
          </cell>
          <cell r="D7730" t="str">
            <v>FTW102K</v>
          </cell>
          <cell r="E7730">
            <v>46205</v>
          </cell>
        </row>
        <row r="7731">
          <cell r="A7731" t="str">
            <v>2625IK37</v>
          </cell>
          <cell r="D7731" t="str">
            <v>S805</v>
          </cell>
          <cell r="E7731">
            <v>46205</v>
          </cell>
        </row>
        <row r="7732">
          <cell r="A7732" t="str">
            <v>2625KW27</v>
          </cell>
          <cell r="D7732" t="str">
            <v>S805</v>
          </cell>
          <cell r="E7732">
            <v>46205</v>
          </cell>
        </row>
        <row r="7733">
          <cell r="A7733" t="str">
            <v>2624FI17</v>
          </cell>
          <cell r="D7733" t="str">
            <v>FTW121KE</v>
          </cell>
          <cell r="E7733">
            <v>46205</v>
          </cell>
        </row>
        <row r="7734">
          <cell r="A7734" t="str">
            <v>2624LN47</v>
          </cell>
          <cell r="D7734" t="str">
            <v>FTW102K</v>
          </cell>
          <cell r="E7734">
            <v>46205</v>
          </cell>
        </row>
        <row r="7735">
          <cell r="A7735" t="str">
            <v>2624K247</v>
          </cell>
          <cell r="D7735" t="str">
            <v>KBP86</v>
          </cell>
          <cell r="E7735">
            <v>46205</v>
          </cell>
        </row>
        <row r="7736">
          <cell r="A7736" t="str">
            <v>2625LM37</v>
          </cell>
          <cell r="D7736" t="str">
            <v>TTS80</v>
          </cell>
          <cell r="E7736">
            <v>46205</v>
          </cell>
        </row>
        <row r="7737">
          <cell r="A7737" t="str">
            <v>2625IO57</v>
          </cell>
          <cell r="D7737" t="str">
            <v>FTP150</v>
          </cell>
          <cell r="E7737">
            <v>46205</v>
          </cell>
        </row>
        <row r="7738">
          <cell r="A7738" t="str">
            <v>2623ZH27</v>
          </cell>
          <cell r="D7738" t="str">
            <v>TTS80</v>
          </cell>
          <cell r="E7738">
            <v>46205</v>
          </cell>
        </row>
        <row r="7739">
          <cell r="A7739" t="str">
            <v>2625K357</v>
          </cell>
          <cell r="D7739" t="str">
            <v>FTW700</v>
          </cell>
          <cell r="E7739">
            <v>46205</v>
          </cell>
        </row>
        <row r="7740">
          <cell r="A7740" t="str">
            <v>2625J537</v>
          </cell>
          <cell r="D7740" t="str">
            <v>FTW503</v>
          </cell>
          <cell r="E7740">
            <v>46205</v>
          </cell>
        </row>
        <row r="7741">
          <cell r="A7741" t="str">
            <v>2624L837</v>
          </cell>
          <cell r="D7741" t="str">
            <v>KBP86</v>
          </cell>
          <cell r="E7741">
            <v>46205</v>
          </cell>
        </row>
        <row r="7742">
          <cell r="A7742" t="str">
            <v>2624ER17</v>
          </cell>
          <cell r="D7742" t="str">
            <v>KBP44</v>
          </cell>
          <cell r="E7742">
            <v>46205</v>
          </cell>
        </row>
        <row r="7743">
          <cell r="A7743" t="str">
            <v>2625J817</v>
          </cell>
          <cell r="D7743" t="str">
            <v>S805</v>
          </cell>
          <cell r="E7743">
            <v>46205</v>
          </cell>
        </row>
        <row r="7744">
          <cell r="A7744" t="str">
            <v>2625IJ47</v>
          </cell>
          <cell r="D7744" t="str">
            <v>FTW503</v>
          </cell>
          <cell r="E7744">
            <v>46205</v>
          </cell>
        </row>
        <row r="7745">
          <cell r="A7745" t="str">
            <v>2625LA47</v>
          </cell>
          <cell r="D7745" t="str">
            <v>STA156KA</v>
          </cell>
          <cell r="E7745">
            <v>46205</v>
          </cell>
        </row>
        <row r="7746">
          <cell r="A7746" t="str">
            <v>2625FG67</v>
          </cell>
          <cell r="D7746" t="str">
            <v>FTP200</v>
          </cell>
          <cell r="E7746">
            <v>46205</v>
          </cell>
        </row>
        <row r="7747">
          <cell r="A7747" t="str">
            <v>2624GH67</v>
          </cell>
          <cell r="D7747" t="str">
            <v>KBP76</v>
          </cell>
          <cell r="E7747">
            <v>46205</v>
          </cell>
        </row>
        <row r="7748">
          <cell r="A7748" t="str">
            <v>2625IN47</v>
          </cell>
          <cell r="D7748" t="str">
            <v>FTW503</v>
          </cell>
          <cell r="E7748">
            <v>46205</v>
          </cell>
        </row>
        <row r="7749">
          <cell r="A7749" t="str">
            <v>2625EA67</v>
          </cell>
          <cell r="D7749" t="str">
            <v>KBP76</v>
          </cell>
          <cell r="E7749">
            <v>46205</v>
          </cell>
        </row>
        <row r="7750">
          <cell r="A7750" t="str">
            <v>2624EU67</v>
          </cell>
          <cell r="D7750" t="str">
            <v>FTW102K</v>
          </cell>
          <cell r="E7750">
            <v>46205</v>
          </cell>
        </row>
        <row r="7751">
          <cell r="A7751" t="str">
            <v>2624XW57</v>
          </cell>
          <cell r="D7751" t="str">
            <v>FTW121KE</v>
          </cell>
          <cell r="E7751">
            <v>46205</v>
          </cell>
        </row>
        <row r="7752">
          <cell r="A7752" t="str">
            <v>2624OJ37</v>
          </cell>
          <cell r="D7752" t="str">
            <v>KBP52</v>
          </cell>
          <cell r="E7752">
            <v>46205</v>
          </cell>
        </row>
        <row r="7753">
          <cell r="A7753" t="str">
            <v>2624SE37</v>
          </cell>
          <cell r="D7753" t="str">
            <v>TTS80</v>
          </cell>
          <cell r="E7753">
            <v>46205</v>
          </cell>
        </row>
        <row r="7754">
          <cell r="A7754" t="str">
            <v>2625G667</v>
          </cell>
          <cell r="D7754" t="str">
            <v>TTS80</v>
          </cell>
          <cell r="E7754">
            <v>46205</v>
          </cell>
        </row>
        <row r="7755">
          <cell r="A7755" t="str">
            <v>2625V757</v>
          </cell>
          <cell r="D7755" t="str">
            <v>KBP126</v>
          </cell>
          <cell r="E7755">
            <v>46205</v>
          </cell>
        </row>
        <row r="7756">
          <cell r="A7756" t="str">
            <v>2617HA57</v>
          </cell>
          <cell r="D7756" t="str">
            <v>KBP76</v>
          </cell>
          <cell r="E7756">
            <v>46205</v>
          </cell>
        </row>
        <row r="7757">
          <cell r="A7757" t="str">
            <v>2621YE37</v>
          </cell>
          <cell r="D7757" t="str">
            <v>KBP74</v>
          </cell>
          <cell r="E7757">
            <v>46205</v>
          </cell>
        </row>
        <row r="7758">
          <cell r="A7758" t="str">
            <v>2625JZ37</v>
          </cell>
          <cell r="D7758" t="str">
            <v>KBP86</v>
          </cell>
          <cell r="E7758">
            <v>46205</v>
          </cell>
        </row>
        <row r="7759">
          <cell r="A7759" t="str">
            <v>2625LG17</v>
          </cell>
          <cell r="D7759" t="str">
            <v>FTW121KE</v>
          </cell>
          <cell r="E7759">
            <v>46205</v>
          </cell>
        </row>
        <row r="7760">
          <cell r="A7760" t="str">
            <v>2624K737</v>
          </cell>
          <cell r="D7760" t="str">
            <v>FTW121KE</v>
          </cell>
          <cell r="E7760">
            <v>46205</v>
          </cell>
        </row>
        <row r="7761">
          <cell r="A7761" t="str">
            <v>2622V847</v>
          </cell>
          <cell r="D7761" t="str">
            <v>TTS50</v>
          </cell>
          <cell r="E7761">
            <v>46205</v>
          </cell>
        </row>
        <row r="7762">
          <cell r="A7762" t="str">
            <v>2625O317</v>
          </cell>
          <cell r="D7762" t="str">
            <v>KBP86</v>
          </cell>
          <cell r="E7762">
            <v>46205</v>
          </cell>
        </row>
        <row r="7763">
          <cell r="A7763" t="str">
            <v>2625AO67</v>
          </cell>
          <cell r="D7763" t="str">
            <v>FTW503</v>
          </cell>
          <cell r="E7763">
            <v>46205</v>
          </cell>
        </row>
        <row r="7764">
          <cell r="A7764" t="str">
            <v>2623DZ67</v>
          </cell>
          <cell r="D7764" t="str">
            <v>TTS50</v>
          </cell>
          <cell r="E7764">
            <v>46205</v>
          </cell>
        </row>
        <row r="7765">
          <cell r="A7765" t="str">
            <v>2625GC67</v>
          </cell>
          <cell r="D7765" t="str">
            <v>TTS80</v>
          </cell>
          <cell r="E7765">
            <v>46205</v>
          </cell>
        </row>
        <row r="7766">
          <cell r="A7766" t="str">
            <v>2625LV27</v>
          </cell>
          <cell r="D7766" t="str">
            <v>FTW700</v>
          </cell>
          <cell r="E7766">
            <v>46205</v>
          </cell>
        </row>
        <row r="7767">
          <cell r="A7767" t="str">
            <v>2623CA67</v>
          </cell>
          <cell r="D7767" t="str">
            <v>KBP86</v>
          </cell>
          <cell r="E7767">
            <v>46205</v>
          </cell>
        </row>
        <row r="7768">
          <cell r="A7768" t="str">
            <v>2625KY27</v>
          </cell>
          <cell r="D7768" t="str">
            <v>FTP150</v>
          </cell>
          <cell r="E7768">
            <v>46205</v>
          </cell>
        </row>
        <row r="7769">
          <cell r="A7769" t="str">
            <v>2622UQ47</v>
          </cell>
          <cell r="D7769" t="str">
            <v>TTS50</v>
          </cell>
          <cell r="E7769">
            <v>46205</v>
          </cell>
        </row>
        <row r="7770">
          <cell r="A7770" t="str">
            <v>2624HJ17</v>
          </cell>
          <cell r="D7770" t="str">
            <v>TTS50</v>
          </cell>
          <cell r="E7770">
            <v>46205</v>
          </cell>
        </row>
        <row r="7771">
          <cell r="A7771" t="str">
            <v>2625JA17</v>
          </cell>
          <cell r="D7771" t="str">
            <v>S805</v>
          </cell>
          <cell r="E7771">
            <v>46205</v>
          </cell>
        </row>
        <row r="7772">
          <cell r="A7772" t="str">
            <v>2625JX47</v>
          </cell>
          <cell r="D7772" t="str">
            <v>KBP86</v>
          </cell>
          <cell r="E7772">
            <v>46205</v>
          </cell>
        </row>
        <row r="7773">
          <cell r="A7773" t="str">
            <v>2621HM67</v>
          </cell>
          <cell r="D7773" t="str">
            <v>TTS80</v>
          </cell>
          <cell r="E7773">
            <v>46205</v>
          </cell>
        </row>
        <row r="7774">
          <cell r="A7774" t="str">
            <v>2625U327</v>
          </cell>
          <cell r="D7774" t="str">
            <v>TTS80</v>
          </cell>
          <cell r="E7774">
            <v>46205</v>
          </cell>
        </row>
        <row r="7775">
          <cell r="A7775" t="str">
            <v>2624P837</v>
          </cell>
          <cell r="D7775" t="str">
            <v>TTS50</v>
          </cell>
          <cell r="E7775">
            <v>46205</v>
          </cell>
        </row>
        <row r="7776">
          <cell r="A7776" t="str">
            <v>2624XZ57</v>
          </cell>
          <cell r="D7776" t="str">
            <v>FTW121KE</v>
          </cell>
          <cell r="E7776">
            <v>46205</v>
          </cell>
        </row>
        <row r="7777">
          <cell r="A7777" t="str">
            <v>2624FD67</v>
          </cell>
          <cell r="D7777" t="str">
            <v>TTS50</v>
          </cell>
          <cell r="E7777">
            <v>46205</v>
          </cell>
        </row>
        <row r="7778">
          <cell r="A7778" t="str">
            <v>2625O117</v>
          </cell>
          <cell r="D7778" t="str">
            <v>KBP86</v>
          </cell>
          <cell r="E7778">
            <v>46205</v>
          </cell>
        </row>
        <row r="7779">
          <cell r="A7779" t="str">
            <v>2624AN67</v>
          </cell>
          <cell r="D7779" t="str">
            <v>FTW121KE</v>
          </cell>
          <cell r="E7779">
            <v>46205</v>
          </cell>
        </row>
        <row r="7780">
          <cell r="A7780" t="str">
            <v>2625L537</v>
          </cell>
          <cell r="D7780" t="str">
            <v>KBP76</v>
          </cell>
          <cell r="E7780">
            <v>46205</v>
          </cell>
        </row>
        <row r="7781">
          <cell r="A7781" t="str">
            <v>2625LA37</v>
          </cell>
          <cell r="D7781" t="str">
            <v>STA156KA</v>
          </cell>
          <cell r="E7781">
            <v>46205</v>
          </cell>
        </row>
        <row r="7782">
          <cell r="A7782" t="str">
            <v>2624LS47</v>
          </cell>
          <cell r="D7782" t="str">
            <v>FTW121KE</v>
          </cell>
          <cell r="E7782">
            <v>46205</v>
          </cell>
        </row>
        <row r="7783">
          <cell r="A7783" t="str">
            <v>2625KQ27</v>
          </cell>
          <cell r="D7783" t="str">
            <v>S805</v>
          </cell>
          <cell r="E7783">
            <v>46205</v>
          </cell>
        </row>
        <row r="7784">
          <cell r="A7784" t="str">
            <v>2623EW67</v>
          </cell>
          <cell r="D7784" t="str">
            <v>FTW102K</v>
          </cell>
          <cell r="E7784">
            <v>46205</v>
          </cell>
        </row>
        <row r="7785">
          <cell r="A7785" t="str">
            <v>2625G617</v>
          </cell>
          <cell r="D7785" t="str">
            <v>KBP76</v>
          </cell>
          <cell r="E7785">
            <v>46205</v>
          </cell>
        </row>
        <row r="7786">
          <cell r="A7786" t="str">
            <v>2624DJ67</v>
          </cell>
          <cell r="D7786" t="str">
            <v>KBP86</v>
          </cell>
          <cell r="E7786">
            <v>46205</v>
          </cell>
        </row>
        <row r="7787">
          <cell r="A7787" t="str">
            <v>2624IB67</v>
          </cell>
          <cell r="D7787" t="str">
            <v>TTS80</v>
          </cell>
          <cell r="E7787">
            <v>46205</v>
          </cell>
        </row>
        <row r="7788">
          <cell r="A7788" t="str">
            <v>2625IT57</v>
          </cell>
          <cell r="D7788" t="str">
            <v>FTP150</v>
          </cell>
          <cell r="E7788">
            <v>46205</v>
          </cell>
        </row>
        <row r="7789">
          <cell r="A7789" t="str">
            <v>2625JN37</v>
          </cell>
          <cell r="D7789" t="str">
            <v>FTW121KE</v>
          </cell>
          <cell r="E7789">
            <v>46205</v>
          </cell>
        </row>
        <row r="7790">
          <cell r="A7790" t="str">
            <v>2624JQ27</v>
          </cell>
          <cell r="D7790" t="str">
            <v>FTW121KE</v>
          </cell>
          <cell r="E7790">
            <v>46205</v>
          </cell>
        </row>
        <row r="7791">
          <cell r="A7791" t="str">
            <v>2624I367</v>
          </cell>
          <cell r="D7791" t="str">
            <v>TTS80</v>
          </cell>
          <cell r="E7791">
            <v>46205</v>
          </cell>
        </row>
        <row r="7792">
          <cell r="A7792" t="str">
            <v>2625L927</v>
          </cell>
          <cell r="D7792" t="str">
            <v>FTW503</v>
          </cell>
          <cell r="E7792">
            <v>46205</v>
          </cell>
        </row>
        <row r="7793">
          <cell r="A7793" t="str">
            <v>2624P737</v>
          </cell>
          <cell r="D7793" t="str">
            <v>TTS50</v>
          </cell>
          <cell r="E7793">
            <v>46205</v>
          </cell>
        </row>
        <row r="7794">
          <cell r="A7794" t="str">
            <v>2625SG27</v>
          </cell>
          <cell r="D7794" t="str">
            <v>TTS80</v>
          </cell>
          <cell r="E7794">
            <v>46205</v>
          </cell>
        </row>
        <row r="7795">
          <cell r="A7795" t="str">
            <v>2624O927</v>
          </cell>
          <cell r="D7795" t="str">
            <v>TTS50</v>
          </cell>
          <cell r="E7795">
            <v>46205</v>
          </cell>
        </row>
        <row r="7796">
          <cell r="A7796" t="str">
            <v>2624JF57</v>
          </cell>
          <cell r="D7796" t="str">
            <v>FTW102K</v>
          </cell>
          <cell r="E7796">
            <v>46205</v>
          </cell>
        </row>
        <row r="7797">
          <cell r="A7797" t="str">
            <v>2625IZ17</v>
          </cell>
          <cell r="D7797" t="str">
            <v>S805</v>
          </cell>
          <cell r="E7797">
            <v>46205</v>
          </cell>
        </row>
        <row r="7798">
          <cell r="A7798" t="str">
            <v>2622UV57</v>
          </cell>
          <cell r="D7798" t="str">
            <v>KBP76</v>
          </cell>
          <cell r="E7798">
            <v>46205</v>
          </cell>
        </row>
        <row r="7799">
          <cell r="A7799" t="str">
            <v>2625U427</v>
          </cell>
          <cell r="D7799" t="str">
            <v>TTS80</v>
          </cell>
          <cell r="E7799">
            <v>46205</v>
          </cell>
        </row>
        <row r="7800">
          <cell r="A7800" t="str">
            <v>2624LG27</v>
          </cell>
          <cell r="D7800" t="str">
            <v>KBP52</v>
          </cell>
          <cell r="E7800">
            <v>46205</v>
          </cell>
        </row>
        <row r="7801">
          <cell r="A7801" t="str">
            <v>2625L827</v>
          </cell>
          <cell r="D7801" t="str">
            <v>FTW503</v>
          </cell>
          <cell r="E7801">
            <v>46205</v>
          </cell>
        </row>
        <row r="7802">
          <cell r="A7802" t="str">
            <v>2625PN27</v>
          </cell>
          <cell r="D7802" t="str">
            <v>KBP76</v>
          </cell>
          <cell r="E7802">
            <v>46205</v>
          </cell>
        </row>
        <row r="7803">
          <cell r="A7803" t="str">
            <v>2620B547</v>
          </cell>
          <cell r="D7803" t="str">
            <v>TTS50</v>
          </cell>
          <cell r="E7803">
            <v>46205</v>
          </cell>
        </row>
        <row r="7804">
          <cell r="A7804" t="str">
            <v>2625IQ17</v>
          </cell>
          <cell r="D7804" t="str">
            <v>KBP86</v>
          </cell>
          <cell r="E7804">
            <v>46205</v>
          </cell>
        </row>
        <row r="7805">
          <cell r="A7805" t="str">
            <v>2623IP57</v>
          </cell>
          <cell r="D7805" t="str">
            <v>FTW121KE</v>
          </cell>
          <cell r="E7805">
            <v>46205</v>
          </cell>
        </row>
        <row r="7806">
          <cell r="A7806" t="str">
            <v>2625DZ67</v>
          </cell>
          <cell r="D7806" t="str">
            <v>KBP52</v>
          </cell>
          <cell r="E7806">
            <v>46205</v>
          </cell>
        </row>
        <row r="7807">
          <cell r="A7807" t="str">
            <v>2625IY37</v>
          </cell>
          <cell r="D7807" t="str">
            <v>FTW503</v>
          </cell>
          <cell r="E7807">
            <v>46205</v>
          </cell>
        </row>
        <row r="7808">
          <cell r="A7808" t="str">
            <v>2625LI27</v>
          </cell>
          <cell r="D7808" t="str">
            <v>FTW503</v>
          </cell>
          <cell r="E7808">
            <v>46205</v>
          </cell>
        </row>
        <row r="7809">
          <cell r="A7809" t="str">
            <v>2625FM67</v>
          </cell>
          <cell r="D7809" t="str">
            <v>TTS80</v>
          </cell>
          <cell r="E7809">
            <v>46205</v>
          </cell>
        </row>
        <row r="7810">
          <cell r="A7810" t="str">
            <v>2624OH47</v>
          </cell>
          <cell r="D7810" t="str">
            <v>KBP52</v>
          </cell>
          <cell r="E7810">
            <v>46205</v>
          </cell>
        </row>
        <row r="7811">
          <cell r="A7811" t="str">
            <v>2624FP17</v>
          </cell>
          <cell r="D7811" t="str">
            <v>KBP86</v>
          </cell>
          <cell r="E7811">
            <v>46205</v>
          </cell>
        </row>
        <row r="7812">
          <cell r="A7812" t="str">
            <v>2624WW57</v>
          </cell>
          <cell r="D7812" t="str">
            <v>KBP86</v>
          </cell>
          <cell r="E7812">
            <v>46205</v>
          </cell>
        </row>
        <row r="7813">
          <cell r="A7813" t="str">
            <v>2625IP37</v>
          </cell>
          <cell r="D7813" t="str">
            <v>S805</v>
          </cell>
          <cell r="E7813">
            <v>46205</v>
          </cell>
        </row>
        <row r="7814">
          <cell r="A7814" t="str">
            <v>2625LK37</v>
          </cell>
          <cell r="D7814" t="str">
            <v>TTS80</v>
          </cell>
          <cell r="E7814">
            <v>46205</v>
          </cell>
        </row>
        <row r="7815">
          <cell r="A7815" t="str">
            <v>2623BU67</v>
          </cell>
          <cell r="D7815" t="str">
            <v>KBP86</v>
          </cell>
          <cell r="E7815">
            <v>46205</v>
          </cell>
        </row>
        <row r="7816">
          <cell r="A7816" t="str">
            <v>2625Q657</v>
          </cell>
          <cell r="D7816" t="str">
            <v>FTW503</v>
          </cell>
          <cell r="E7816">
            <v>46205</v>
          </cell>
        </row>
        <row r="7817">
          <cell r="A7817" t="str">
            <v>2624EJ27</v>
          </cell>
          <cell r="D7817" t="str">
            <v>KBP86</v>
          </cell>
          <cell r="E7817">
            <v>46205</v>
          </cell>
        </row>
        <row r="7818">
          <cell r="A7818" t="str">
            <v>2618JG57</v>
          </cell>
          <cell r="D7818" t="str">
            <v>TTS50</v>
          </cell>
          <cell r="E7818">
            <v>46205</v>
          </cell>
        </row>
        <row r="7819">
          <cell r="A7819" t="str">
            <v>2623J527</v>
          </cell>
          <cell r="D7819" t="str">
            <v>STA156KA</v>
          </cell>
          <cell r="E7819">
            <v>46205</v>
          </cell>
        </row>
        <row r="7820">
          <cell r="A7820" t="str">
            <v>2625LK17</v>
          </cell>
          <cell r="D7820" t="str">
            <v>FTW121KE</v>
          </cell>
          <cell r="E7820">
            <v>46205</v>
          </cell>
        </row>
        <row r="7821">
          <cell r="A7821" t="str">
            <v>2624EM67</v>
          </cell>
          <cell r="D7821" t="str">
            <v>FTW700</v>
          </cell>
          <cell r="E7821">
            <v>46205</v>
          </cell>
        </row>
        <row r="7822">
          <cell r="A7822" t="str">
            <v>2624LY47</v>
          </cell>
          <cell r="D7822" t="str">
            <v>FTW121KE</v>
          </cell>
          <cell r="E7822">
            <v>46205</v>
          </cell>
        </row>
        <row r="7823">
          <cell r="A7823" t="str">
            <v>2624LP57</v>
          </cell>
          <cell r="D7823" t="str">
            <v>TTS50</v>
          </cell>
          <cell r="E7823">
            <v>46205</v>
          </cell>
        </row>
        <row r="7824">
          <cell r="A7824" t="str">
            <v>2625I147</v>
          </cell>
          <cell r="D7824" t="str">
            <v>KBP76</v>
          </cell>
          <cell r="E7824">
            <v>46205</v>
          </cell>
        </row>
        <row r="7825">
          <cell r="A7825" t="str">
            <v>2624CU67</v>
          </cell>
          <cell r="D7825" t="str">
            <v>KBP86</v>
          </cell>
          <cell r="E7825">
            <v>46205</v>
          </cell>
        </row>
        <row r="7826">
          <cell r="A7826" t="str">
            <v>2625L747</v>
          </cell>
          <cell r="D7826" t="str">
            <v>KBP76</v>
          </cell>
          <cell r="E7826">
            <v>46205</v>
          </cell>
        </row>
        <row r="7827">
          <cell r="A7827" t="str">
            <v>2623ZG27</v>
          </cell>
          <cell r="D7827" t="str">
            <v>TTS80</v>
          </cell>
          <cell r="E7827">
            <v>46205</v>
          </cell>
        </row>
        <row r="7828">
          <cell r="A7828" t="str">
            <v>2623JM67</v>
          </cell>
          <cell r="D7828" t="str">
            <v>KBP76</v>
          </cell>
          <cell r="E7828">
            <v>46205</v>
          </cell>
        </row>
        <row r="7829">
          <cell r="A7829" t="str">
            <v>2619IX37</v>
          </cell>
          <cell r="D7829" t="str">
            <v>TTS50</v>
          </cell>
          <cell r="E7829">
            <v>46205</v>
          </cell>
        </row>
        <row r="7830">
          <cell r="A7830" t="str">
            <v>2625IU37</v>
          </cell>
          <cell r="D7830" t="str">
            <v>FTP150</v>
          </cell>
          <cell r="E7830">
            <v>46205</v>
          </cell>
        </row>
        <row r="7831">
          <cell r="A7831" t="str">
            <v>2624OA37</v>
          </cell>
          <cell r="D7831" t="str">
            <v>KBP76</v>
          </cell>
          <cell r="E7831">
            <v>46205</v>
          </cell>
        </row>
        <row r="7832">
          <cell r="A7832" t="str">
            <v>2625AN67</v>
          </cell>
          <cell r="D7832" t="str">
            <v>FTW503</v>
          </cell>
          <cell r="E7832">
            <v>46205</v>
          </cell>
        </row>
        <row r="7833">
          <cell r="A7833" t="str">
            <v>2625J737</v>
          </cell>
          <cell r="D7833" t="str">
            <v>FTW503</v>
          </cell>
          <cell r="E7833">
            <v>46205</v>
          </cell>
        </row>
        <row r="7834">
          <cell r="A7834" t="str">
            <v>2625IF47</v>
          </cell>
          <cell r="D7834" t="str">
            <v>FTP150</v>
          </cell>
          <cell r="E7834">
            <v>46205</v>
          </cell>
        </row>
        <row r="7835">
          <cell r="A7835" t="str">
            <v>2625PF27</v>
          </cell>
          <cell r="D7835" t="str">
            <v>KBP86</v>
          </cell>
          <cell r="E7835">
            <v>46205</v>
          </cell>
        </row>
        <row r="7836">
          <cell r="A7836" t="str">
            <v>2624DP67</v>
          </cell>
          <cell r="D7836" t="str">
            <v>KBP86</v>
          </cell>
          <cell r="E7836">
            <v>46205</v>
          </cell>
        </row>
        <row r="7837">
          <cell r="A7837" t="str">
            <v>2625P717</v>
          </cell>
          <cell r="D7837" t="str">
            <v>TTS50</v>
          </cell>
          <cell r="E7837">
            <v>46205</v>
          </cell>
        </row>
        <row r="7838">
          <cell r="A7838" t="str">
            <v>2624GD47</v>
          </cell>
          <cell r="D7838" t="str">
            <v>KBP86</v>
          </cell>
          <cell r="E7838">
            <v>46205</v>
          </cell>
        </row>
        <row r="7839">
          <cell r="A7839" t="str">
            <v>2625IK57</v>
          </cell>
          <cell r="D7839" t="str">
            <v>FTP150</v>
          </cell>
          <cell r="E7839">
            <v>46205</v>
          </cell>
        </row>
        <row r="7840">
          <cell r="A7840" t="str">
            <v>2625AG67</v>
          </cell>
          <cell r="D7840" t="str">
            <v>FTW503</v>
          </cell>
          <cell r="E7840">
            <v>46205</v>
          </cell>
        </row>
        <row r="7841">
          <cell r="A7841" t="str">
            <v>2625QE57</v>
          </cell>
          <cell r="D7841" t="str">
            <v>FTW503</v>
          </cell>
          <cell r="E7841">
            <v>46205</v>
          </cell>
        </row>
        <row r="7842">
          <cell r="A7842" t="str">
            <v>2624J857</v>
          </cell>
          <cell r="D7842" t="str">
            <v>FTW102K</v>
          </cell>
          <cell r="E7842">
            <v>46205</v>
          </cell>
        </row>
        <row r="7843">
          <cell r="A7843" t="str">
            <v>2625LE17</v>
          </cell>
          <cell r="D7843" t="str">
            <v>FTW121KE</v>
          </cell>
          <cell r="E7843">
            <v>46205</v>
          </cell>
        </row>
        <row r="7844">
          <cell r="A7844" t="str">
            <v>2624FG50</v>
          </cell>
          <cell r="D7844" t="str">
            <v>STA200KA</v>
          </cell>
          <cell r="E7844">
            <v>46205</v>
          </cell>
        </row>
        <row r="7845">
          <cell r="A7845" t="str">
            <v>2624O557</v>
          </cell>
          <cell r="D7845" t="str">
            <v>STA156KA</v>
          </cell>
          <cell r="E7845">
            <v>46205</v>
          </cell>
        </row>
        <row r="7846">
          <cell r="A7846" t="str">
            <v>2625AH67</v>
          </cell>
          <cell r="D7846" t="str">
            <v>FTW503</v>
          </cell>
          <cell r="E7846">
            <v>46205</v>
          </cell>
        </row>
        <row r="7847">
          <cell r="A7847" t="str">
            <v>2625LT27</v>
          </cell>
          <cell r="D7847" t="str">
            <v>FTW503</v>
          </cell>
          <cell r="E7847">
            <v>46205</v>
          </cell>
        </row>
        <row r="7848">
          <cell r="A7848" t="str">
            <v>2624LE47</v>
          </cell>
          <cell r="D7848" t="str">
            <v>FTW700</v>
          </cell>
          <cell r="E7848">
            <v>46205</v>
          </cell>
        </row>
        <row r="7849">
          <cell r="A7849" t="str">
            <v>2625PE17</v>
          </cell>
          <cell r="D7849" t="str">
            <v>TTS50</v>
          </cell>
          <cell r="E7849">
            <v>46205</v>
          </cell>
        </row>
        <row r="7850">
          <cell r="A7850" t="str">
            <v>2625LS27</v>
          </cell>
          <cell r="D7850" t="str">
            <v>FTW503</v>
          </cell>
          <cell r="E7850">
            <v>46205</v>
          </cell>
        </row>
        <row r="7851">
          <cell r="A7851" t="str">
            <v>2624AG67</v>
          </cell>
          <cell r="D7851" t="str">
            <v>FTW121KE</v>
          </cell>
          <cell r="E7851">
            <v>46205</v>
          </cell>
        </row>
        <row r="7852">
          <cell r="A7852" t="str">
            <v>2623HT27</v>
          </cell>
          <cell r="D7852" t="str">
            <v>TTS50</v>
          </cell>
          <cell r="E7852">
            <v>46205</v>
          </cell>
        </row>
        <row r="7853">
          <cell r="A7853" t="str">
            <v>2625PT57</v>
          </cell>
          <cell r="D7853" t="str">
            <v>STA156KA</v>
          </cell>
          <cell r="E7853">
            <v>46205</v>
          </cell>
        </row>
        <row r="7854">
          <cell r="A7854" t="str">
            <v>2625E467</v>
          </cell>
          <cell r="D7854" t="str">
            <v>KBP52</v>
          </cell>
          <cell r="E7854">
            <v>46205</v>
          </cell>
        </row>
        <row r="7855">
          <cell r="A7855" t="str">
            <v>2625IN57</v>
          </cell>
          <cell r="D7855" t="str">
            <v>FTP150</v>
          </cell>
          <cell r="E7855">
            <v>46205</v>
          </cell>
        </row>
        <row r="7856">
          <cell r="A7856" t="str">
            <v>2624HS67</v>
          </cell>
          <cell r="D7856" t="str">
            <v>TTS80</v>
          </cell>
          <cell r="E7856">
            <v>46205</v>
          </cell>
        </row>
        <row r="7857">
          <cell r="A7857" t="str">
            <v>2624IO17</v>
          </cell>
          <cell r="D7857" t="str">
            <v>KBP76</v>
          </cell>
          <cell r="E7857">
            <v>46205</v>
          </cell>
        </row>
        <row r="7858">
          <cell r="A7858" t="str">
            <v>2623FK67</v>
          </cell>
          <cell r="D7858" t="str">
            <v>FTW121KE</v>
          </cell>
          <cell r="E7858">
            <v>46205</v>
          </cell>
        </row>
        <row r="7859">
          <cell r="A7859" t="str">
            <v>2625K917</v>
          </cell>
          <cell r="D7859" t="str">
            <v>FTW503</v>
          </cell>
          <cell r="E7859">
            <v>46205</v>
          </cell>
        </row>
        <row r="7860">
          <cell r="A7860" t="str">
            <v>2625PW57</v>
          </cell>
          <cell r="D7860" t="str">
            <v>S805</v>
          </cell>
          <cell r="E7860">
            <v>46205</v>
          </cell>
        </row>
        <row r="7861">
          <cell r="A7861" t="str">
            <v>2624KG37</v>
          </cell>
          <cell r="D7861" t="str">
            <v>FTW121KE</v>
          </cell>
          <cell r="E7861">
            <v>46205</v>
          </cell>
        </row>
        <row r="7862">
          <cell r="A7862" t="str">
            <v>2625OF27</v>
          </cell>
          <cell r="D7862" t="str">
            <v>FTW121KE</v>
          </cell>
          <cell r="E7862">
            <v>46205</v>
          </cell>
        </row>
        <row r="7863">
          <cell r="A7863" t="str">
            <v>2625IV47</v>
          </cell>
          <cell r="D7863" t="str">
            <v>FTW503</v>
          </cell>
          <cell r="E7863">
            <v>46205</v>
          </cell>
        </row>
        <row r="7864">
          <cell r="A7864" t="str">
            <v>2625OM27</v>
          </cell>
          <cell r="D7864" t="str">
            <v>FTW121KE</v>
          </cell>
          <cell r="E7864">
            <v>46205</v>
          </cell>
        </row>
        <row r="7865">
          <cell r="A7865" t="str">
            <v>2625LG27</v>
          </cell>
          <cell r="D7865" t="str">
            <v>FTW503</v>
          </cell>
          <cell r="E7865">
            <v>46205</v>
          </cell>
        </row>
        <row r="7866">
          <cell r="A7866" t="str">
            <v>2624J557</v>
          </cell>
          <cell r="D7866" t="str">
            <v>FTW102K</v>
          </cell>
          <cell r="E7866">
            <v>46205</v>
          </cell>
        </row>
        <row r="7867">
          <cell r="A7867" t="str">
            <v>2625LP27</v>
          </cell>
          <cell r="D7867" t="str">
            <v>FTW503</v>
          </cell>
          <cell r="E7867">
            <v>46205</v>
          </cell>
        </row>
        <row r="7868">
          <cell r="A7868" t="str">
            <v>2624DZ67</v>
          </cell>
          <cell r="D7868" t="str">
            <v>KBP86</v>
          </cell>
          <cell r="E7868">
            <v>46205</v>
          </cell>
        </row>
        <row r="7869">
          <cell r="A7869" t="str">
            <v>2624O847</v>
          </cell>
          <cell r="D7869" t="str">
            <v>KBP86</v>
          </cell>
          <cell r="E7869">
            <v>46205</v>
          </cell>
        </row>
        <row r="7870">
          <cell r="A7870" t="str">
            <v>2620PL37</v>
          </cell>
          <cell r="D7870" t="str">
            <v>TTS50</v>
          </cell>
          <cell r="E7870">
            <v>46205</v>
          </cell>
        </row>
        <row r="7871">
          <cell r="A7871" t="str">
            <v>2624A467</v>
          </cell>
          <cell r="D7871" t="str">
            <v>FTW121KE</v>
          </cell>
          <cell r="E7871">
            <v>46205</v>
          </cell>
        </row>
        <row r="7872">
          <cell r="A7872" t="str">
            <v>2625KP27</v>
          </cell>
          <cell r="D7872" t="str">
            <v>S805</v>
          </cell>
          <cell r="E7872">
            <v>46205</v>
          </cell>
        </row>
        <row r="7873">
          <cell r="A7873" t="str">
            <v>2625LH27</v>
          </cell>
          <cell r="D7873" t="str">
            <v>FTW503</v>
          </cell>
          <cell r="E7873">
            <v>46205</v>
          </cell>
        </row>
        <row r="7874">
          <cell r="A7874" t="str">
            <v>2625LL37</v>
          </cell>
          <cell r="D7874" t="str">
            <v>TTS80</v>
          </cell>
          <cell r="E7874">
            <v>46205</v>
          </cell>
        </row>
        <row r="7875">
          <cell r="A7875" t="str">
            <v>2624CH17</v>
          </cell>
          <cell r="D7875" t="str">
            <v>KBP86</v>
          </cell>
          <cell r="E7875">
            <v>46205</v>
          </cell>
        </row>
        <row r="7876">
          <cell r="A7876" t="str">
            <v>2623ZF27</v>
          </cell>
          <cell r="D7876" t="str">
            <v>TTS80</v>
          </cell>
          <cell r="E7876">
            <v>46205</v>
          </cell>
        </row>
        <row r="7877">
          <cell r="A7877" t="str">
            <v>2624F267</v>
          </cell>
          <cell r="D7877" t="str">
            <v>TTS80</v>
          </cell>
          <cell r="E7877">
            <v>46205</v>
          </cell>
        </row>
        <row r="7878">
          <cell r="A7878" t="str">
            <v>2624F367</v>
          </cell>
          <cell r="D7878" t="str">
            <v>TTS80</v>
          </cell>
          <cell r="E7878">
            <v>46205</v>
          </cell>
        </row>
        <row r="7879">
          <cell r="A7879" t="str">
            <v>2607L427</v>
          </cell>
          <cell r="D7879" t="str">
            <v>TTS80</v>
          </cell>
          <cell r="E7879">
            <v>46205</v>
          </cell>
        </row>
        <row r="7880">
          <cell r="A7880" t="str">
            <v>2607L527</v>
          </cell>
          <cell r="D7880" t="str">
            <v>TTS80</v>
          </cell>
          <cell r="E7880">
            <v>46205</v>
          </cell>
        </row>
        <row r="7881">
          <cell r="A7881" t="str">
            <v>2624LE57</v>
          </cell>
          <cell r="D7881" t="str">
            <v>HV80</v>
          </cell>
          <cell r="E7881">
            <v>46205</v>
          </cell>
        </row>
        <row r="7882">
          <cell r="A7882" t="str">
            <v>2624LD57</v>
          </cell>
          <cell r="D7882" t="str">
            <v>HV80</v>
          </cell>
          <cell r="E7882">
            <v>46205</v>
          </cell>
        </row>
        <row r="7883">
          <cell r="A7883" t="str">
            <v>2624LC57</v>
          </cell>
          <cell r="D7883" t="str">
            <v>HV80</v>
          </cell>
          <cell r="E7883">
            <v>46205</v>
          </cell>
        </row>
        <row r="7884">
          <cell r="A7884" t="str">
            <v>2624L957</v>
          </cell>
          <cell r="D7884" t="str">
            <v>HV80</v>
          </cell>
          <cell r="E7884">
            <v>46205</v>
          </cell>
        </row>
        <row r="7885">
          <cell r="A7885" t="str">
            <v>2624OR47</v>
          </cell>
          <cell r="D7885" t="str">
            <v>HV80</v>
          </cell>
          <cell r="E7885">
            <v>46205</v>
          </cell>
        </row>
        <row r="7886">
          <cell r="A7886" t="str">
            <v>2624OK47</v>
          </cell>
          <cell r="D7886" t="str">
            <v>HV80</v>
          </cell>
          <cell r="E7886">
            <v>46205</v>
          </cell>
        </row>
        <row r="7887">
          <cell r="A7887" t="str">
            <v>2624O557</v>
          </cell>
          <cell r="D7887" t="str">
            <v>KBP126</v>
          </cell>
          <cell r="E7887">
            <v>46205</v>
          </cell>
        </row>
        <row r="7888">
          <cell r="A7888" t="str">
            <v>2624GZ67</v>
          </cell>
          <cell r="D7888" t="str">
            <v>KBP126</v>
          </cell>
          <cell r="E7888">
            <v>46204</v>
          </cell>
        </row>
        <row r="7889">
          <cell r="A7889" t="str">
            <v>2625QE17</v>
          </cell>
          <cell r="D7889" t="str">
            <v>FTP200</v>
          </cell>
          <cell r="E7889">
            <v>46204</v>
          </cell>
        </row>
        <row r="7890">
          <cell r="A7890" t="str">
            <v>2602Z957</v>
          </cell>
          <cell r="D7890" t="str">
            <v>S805</v>
          </cell>
          <cell r="E7890">
            <v>46204</v>
          </cell>
        </row>
        <row r="7891">
          <cell r="A7891" t="str">
            <v>2625ID37</v>
          </cell>
          <cell r="D7891" t="str">
            <v>KBP76</v>
          </cell>
          <cell r="E7891">
            <v>46204</v>
          </cell>
        </row>
        <row r="7892">
          <cell r="A7892" t="str">
            <v>2624DV67</v>
          </cell>
          <cell r="D7892" t="str">
            <v>KBP86</v>
          </cell>
          <cell r="E7892">
            <v>46204</v>
          </cell>
        </row>
        <row r="7893">
          <cell r="A7893" t="str">
            <v>2602Z957</v>
          </cell>
          <cell r="D7893" t="str">
            <v>S805</v>
          </cell>
          <cell r="E7893">
            <v>46204</v>
          </cell>
        </row>
        <row r="7894">
          <cell r="A7894" t="str">
            <v>2625QE17</v>
          </cell>
          <cell r="D7894" t="str">
            <v>FTP200</v>
          </cell>
          <cell r="E7894">
            <v>46204</v>
          </cell>
        </row>
        <row r="7895">
          <cell r="A7895" t="str">
            <v>2625IC37</v>
          </cell>
          <cell r="D7895" t="str">
            <v>KBP76</v>
          </cell>
          <cell r="E7895">
            <v>46204</v>
          </cell>
        </row>
        <row r="7896">
          <cell r="A7896" t="str">
            <v>2625II47</v>
          </cell>
          <cell r="D7896" t="str">
            <v>FTW503</v>
          </cell>
          <cell r="E7896">
            <v>46204</v>
          </cell>
        </row>
        <row r="7897">
          <cell r="A7897" t="str">
            <v>2625OI27</v>
          </cell>
          <cell r="D7897" t="str">
            <v>FTW121KE</v>
          </cell>
          <cell r="E7897">
            <v>46204</v>
          </cell>
        </row>
        <row r="7898">
          <cell r="A7898" t="str">
            <v>2602Z957</v>
          </cell>
          <cell r="D7898" t="str">
            <v>S805</v>
          </cell>
          <cell r="E7898">
            <v>46204</v>
          </cell>
        </row>
        <row r="7899">
          <cell r="A7899" t="str">
            <v>2625OK27</v>
          </cell>
          <cell r="D7899" t="str">
            <v>FTW121KE</v>
          </cell>
          <cell r="E7899">
            <v>46204</v>
          </cell>
        </row>
        <row r="7900">
          <cell r="A7900" t="str">
            <v>2624GU67</v>
          </cell>
          <cell r="D7900" t="str">
            <v>KBP76</v>
          </cell>
          <cell r="E7900">
            <v>46204</v>
          </cell>
        </row>
        <row r="7901">
          <cell r="A7901" t="str">
            <v>2624O247</v>
          </cell>
          <cell r="D7901" t="str">
            <v>FTW121KE</v>
          </cell>
          <cell r="E7901">
            <v>46204</v>
          </cell>
        </row>
        <row r="7902">
          <cell r="A7902" t="str">
            <v>2624L457</v>
          </cell>
          <cell r="D7902" t="str">
            <v>HV80</v>
          </cell>
          <cell r="E7902">
            <v>46204</v>
          </cell>
        </row>
        <row r="7903">
          <cell r="A7903" t="str">
            <v>2624FC60</v>
          </cell>
          <cell r="D7903" t="str">
            <v>STA200KA</v>
          </cell>
          <cell r="E7903">
            <v>46204</v>
          </cell>
        </row>
        <row r="7904">
          <cell r="A7904" t="str">
            <v>2625LG37</v>
          </cell>
          <cell r="D7904" t="str">
            <v>KBP55</v>
          </cell>
          <cell r="E7904">
            <v>46204</v>
          </cell>
        </row>
        <row r="7905">
          <cell r="A7905" t="str">
            <v>2624L457</v>
          </cell>
          <cell r="D7905" t="str">
            <v>HV80</v>
          </cell>
          <cell r="E7905">
            <v>46204</v>
          </cell>
        </row>
        <row r="7906">
          <cell r="A7906" t="str">
            <v>2602Z957</v>
          </cell>
          <cell r="D7906" t="str">
            <v>S805</v>
          </cell>
          <cell r="E7906">
            <v>46204</v>
          </cell>
        </row>
        <row r="7907">
          <cell r="A7907" t="str">
            <v>2624L657</v>
          </cell>
          <cell r="D7907" t="str">
            <v>HV80</v>
          </cell>
          <cell r="E7907">
            <v>46204</v>
          </cell>
        </row>
        <row r="7908">
          <cell r="A7908" t="str">
            <v>2624K727</v>
          </cell>
          <cell r="D7908" t="str">
            <v>KBP86</v>
          </cell>
          <cell r="E7908">
            <v>46204</v>
          </cell>
        </row>
        <row r="7909">
          <cell r="A7909" t="str">
            <v>2624L857</v>
          </cell>
          <cell r="D7909" t="str">
            <v>HV80</v>
          </cell>
          <cell r="E7909">
            <v>46204</v>
          </cell>
        </row>
        <row r="7910">
          <cell r="A7910" t="str">
            <v>2624L857</v>
          </cell>
          <cell r="D7910" t="str">
            <v>HV80</v>
          </cell>
          <cell r="E7910">
            <v>46204</v>
          </cell>
        </row>
        <row r="7911">
          <cell r="A7911" t="str">
            <v>2624OL47</v>
          </cell>
          <cell r="D7911" t="str">
            <v>HV80</v>
          </cell>
          <cell r="E7911">
            <v>46204</v>
          </cell>
        </row>
        <row r="7912">
          <cell r="A7912" t="str">
            <v>2624P537</v>
          </cell>
          <cell r="D7912" t="str">
            <v>TTS50</v>
          </cell>
          <cell r="E7912">
            <v>46204</v>
          </cell>
        </row>
        <row r="7913">
          <cell r="A7913" t="str">
            <v>2624F767</v>
          </cell>
          <cell r="D7913" t="str">
            <v>TTS80</v>
          </cell>
          <cell r="E7913">
            <v>46204</v>
          </cell>
        </row>
        <row r="7914">
          <cell r="A7914" t="str">
            <v>2625QI27</v>
          </cell>
          <cell r="D7914" t="str">
            <v>TTS50</v>
          </cell>
          <cell r="E7914">
            <v>46204</v>
          </cell>
        </row>
        <row r="7915">
          <cell r="A7915" t="str">
            <v>2625P417</v>
          </cell>
          <cell r="D7915" t="str">
            <v>TTS80</v>
          </cell>
          <cell r="E7915">
            <v>46204</v>
          </cell>
        </row>
        <row r="7916">
          <cell r="A7916" t="str">
            <v>2625PX17</v>
          </cell>
          <cell r="D7916" t="str">
            <v>KBP76</v>
          </cell>
          <cell r="E7916">
            <v>46204</v>
          </cell>
        </row>
        <row r="7917">
          <cell r="A7917" t="str">
            <v>2624Z257</v>
          </cell>
          <cell r="D7917" t="str">
            <v>S706E</v>
          </cell>
          <cell r="E7917">
            <v>46204</v>
          </cell>
        </row>
        <row r="7918">
          <cell r="A7918" t="str">
            <v>2624KT47</v>
          </cell>
          <cell r="D7918" t="str">
            <v>FTW503</v>
          </cell>
          <cell r="E7918">
            <v>46204</v>
          </cell>
        </row>
        <row r="7919">
          <cell r="A7919" t="str">
            <v>2625Z117</v>
          </cell>
          <cell r="D7919" t="str">
            <v>S706E</v>
          </cell>
          <cell r="E7919">
            <v>46204</v>
          </cell>
        </row>
        <row r="7920">
          <cell r="A7920" t="str">
            <v>2625LQ37</v>
          </cell>
          <cell r="D7920" t="str">
            <v>TTS80</v>
          </cell>
          <cell r="E7920">
            <v>46204</v>
          </cell>
        </row>
        <row r="7921">
          <cell r="A7921" t="str">
            <v>2624EE37</v>
          </cell>
          <cell r="D7921" t="str">
            <v>KBP86</v>
          </cell>
          <cell r="E7921">
            <v>46204</v>
          </cell>
        </row>
        <row r="7922">
          <cell r="A7922" t="str">
            <v>2619SK27</v>
          </cell>
          <cell r="D7922" t="str">
            <v>TTS50</v>
          </cell>
          <cell r="E7922">
            <v>46204</v>
          </cell>
        </row>
        <row r="7923">
          <cell r="A7923" t="str">
            <v>2624C767</v>
          </cell>
          <cell r="D7923" t="str">
            <v>TTS50</v>
          </cell>
          <cell r="E7923">
            <v>46204</v>
          </cell>
        </row>
        <row r="7924">
          <cell r="A7924" t="str">
            <v>2625EO17</v>
          </cell>
          <cell r="D7924" t="str">
            <v>S15MB</v>
          </cell>
          <cell r="E7924">
            <v>46204</v>
          </cell>
        </row>
        <row r="7925">
          <cell r="A7925" t="str">
            <v>2623KR37</v>
          </cell>
          <cell r="D7925" t="str">
            <v>TTS50</v>
          </cell>
          <cell r="E7925">
            <v>46204</v>
          </cell>
        </row>
        <row r="7926">
          <cell r="A7926" t="str">
            <v>2622WI57</v>
          </cell>
          <cell r="D7926" t="str">
            <v>TTS50</v>
          </cell>
          <cell r="E7926">
            <v>46204</v>
          </cell>
        </row>
        <row r="7927">
          <cell r="A7927" t="str">
            <v>2624IM57</v>
          </cell>
          <cell r="D7927" t="str">
            <v>FTW503</v>
          </cell>
          <cell r="E7927">
            <v>46204</v>
          </cell>
        </row>
        <row r="7928">
          <cell r="A7928" t="str">
            <v>2624XJ57</v>
          </cell>
          <cell r="D7928" t="str">
            <v>S805</v>
          </cell>
          <cell r="E7928">
            <v>46204</v>
          </cell>
        </row>
        <row r="7929">
          <cell r="A7929" t="str">
            <v>2625QN17</v>
          </cell>
          <cell r="D7929" t="str">
            <v>TTS80</v>
          </cell>
          <cell r="E7929">
            <v>46204</v>
          </cell>
        </row>
        <row r="7930">
          <cell r="A7930" t="str">
            <v>2619J917</v>
          </cell>
          <cell r="D7930" t="str">
            <v>TTS50</v>
          </cell>
          <cell r="E7930">
            <v>46204</v>
          </cell>
        </row>
        <row r="7931">
          <cell r="A7931" t="str">
            <v>2624IL67</v>
          </cell>
          <cell r="D7931" t="str">
            <v>TTS80</v>
          </cell>
          <cell r="E7931">
            <v>46204</v>
          </cell>
        </row>
        <row r="7932">
          <cell r="A7932" t="str">
            <v>2625KO47</v>
          </cell>
          <cell r="D7932" t="str">
            <v>TTS50</v>
          </cell>
          <cell r="E7932">
            <v>46204</v>
          </cell>
        </row>
        <row r="7933">
          <cell r="A7933" t="str">
            <v>2625SV27</v>
          </cell>
          <cell r="D7933" t="str">
            <v>TTS80</v>
          </cell>
          <cell r="E7933">
            <v>46204</v>
          </cell>
        </row>
        <row r="7934">
          <cell r="A7934" t="str">
            <v>2624A867</v>
          </cell>
          <cell r="D7934" t="str">
            <v>FTW121KR</v>
          </cell>
          <cell r="E7934">
            <v>46204</v>
          </cell>
        </row>
        <row r="7935">
          <cell r="A7935" t="str">
            <v>2625IT17</v>
          </cell>
          <cell r="D7935" t="str">
            <v>KBP76</v>
          </cell>
          <cell r="E7935">
            <v>46204</v>
          </cell>
        </row>
        <row r="7936">
          <cell r="A7936" t="str">
            <v>2625EP17</v>
          </cell>
          <cell r="D7936" t="str">
            <v>S15MB</v>
          </cell>
          <cell r="E7936">
            <v>46204</v>
          </cell>
        </row>
        <row r="7937">
          <cell r="A7937" t="str">
            <v>2623FO67</v>
          </cell>
          <cell r="D7937" t="str">
            <v>FTW121KR</v>
          </cell>
          <cell r="E7937">
            <v>46204</v>
          </cell>
        </row>
        <row r="7938">
          <cell r="A7938" t="str">
            <v>2625OR27</v>
          </cell>
          <cell r="D7938" t="str">
            <v>FTW121KR</v>
          </cell>
          <cell r="E7938">
            <v>46204</v>
          </cell>
        </row>
        <row r="7939">
          <cell r="A7939" t="str">
            <v>2624XD57</v>
          </cell>
          <cell r="D7939" t="str">
            <v>KBP76</v>
          </cell>
          <cell r="E7939">
            <v>46204</v>
          </cell>
        </row>
        <row r="7940">
          <cell r="A7940" t="str">
            <v>2624LO57</v>
          </cell>
          <cell r="D7940" t="str">
            <v>TTS50</v>
          </cell>
          <cell r="E7940">
            <v>46204</v>
          </cell>
        </row>
        <row r="7941">
          <cell r="A7941" t="str">
            <v>2617P817</v>
          </cell>
          <cell r="D7941" t="str">
            <v>KBP52</v>
          </cell>
          <cell r="E7941">
            <v>46204</v>
          </cell>
        </row>
        <row r="7942">
          <cell r="A7942" t="str">
            <v>2622D167</v>
          </cell>
          <cell r="D7942" t="str">
            <v>TTS50</v>
          </cell>
          <cell r="E7942">
            <v>46204</v>
          </cell>
        </row>
        <row r="7943">
          <cell r="A7943" t="str">
            <v>2623H467</v>
          </cell>
          <cell r="D7943" t="str">
            <v>KBP52</v>
          </cell>
          <cell r="E7943">
            <v>46204</v>
          </cell>
        </row>
        <row r="7944">
          <cell r="A7944" t="str">
            <v>2625U127</v>
          </cell>
          <cell r="D7944" t="str">
            <v>TTS80</v>
          </cell>
          <cell r="E7944">
            <v>46204</v>
          </cell>
        </row>
        <row r="7945">
          <cell r="A7945" t="str">
            <v>2625QT17</v>
          </cell>
          <cell r="D7945" t="str">
            <v>TTS80</v>
          </cell>
          <cell r="E7945">
            <v>46204</v>
          </cell>
        </row>
        <row r="7946">
          <cell r="A7946" t="str">
            <v>2624GZ67</v>
          </cell>
          <cell r="D7946" t="str">
            <v>STA156KA</v>
          </cell>
          <cell r="E7946">
            <v>46204</v>
          </cell>
        </row>
        <row r="7947">
          <cell r="A7947" t="str">
            <v>2624LS57</v>
          </cell>
          <cell r="D7947" t="str">
            <v>TTS50</v>
          </cell>
          <cell r="E7947">
            <v>46204</v>
          </cell>
        </row>
        <row r="7948">
          <cell r="A7948" t="str">
            <v>2625LR37</v>
          </cell>
          <cell r="D7948" t="str">
            <v>TTS80</v>
          </cell>
          <cell r="E7948">
            <v>46204</v>
          </cell>
        </row>
        <row r="7949">
          <cell r="A7949" t="str">
            <v>2624XP57</v>
          </cell>
          <cell r="D7949" t="str">
            <v>FTW503</v>
          </cell>
          <cell r="E7949">
            <v>46204</v>
          </cell>
        </row>
        <row r="7950">
          <cell r="A7950" t="str">
            <v>2625Q617</v>
          </cell>
          <cell r="D7950" t="str">
            <v>STA156KA</v>
          </cell>
          <cell r="E7950">
            <v>46204</v>
          </cell>
        </row>
        <row r="7951">
          <cell r="A7951" t="str">
            <v>2624X957</v>
          </cell>
          <cell r="D7951" t="str">
            <v>KBP76</v>
          </cell>
          <cell r="E7951">
            <v>46204</v>
          </cell>
        </row>
        <row r="7952">
          <cell r="A7952" t="str">
            <v>2625OB27</v>
          </cell>
          <cell r="D7952" t="str">
            <v>FTW121KR</v>
          </cell>
          <cell r="E7952">
            <v>46204</v>
          </cell>
        </row>
        <row r="7953">
          <cell r="A7953" t="str">
            <v>2623PS17</v>
          </cell>
          <cell r="D7953" t="str">
            <v>KBP76</v>
          </cell>
          <cell r="E7953">
            <v>46204</v>
          </cell>
        </row>
        <row r="7954">
          <cell r="A7954" t="str">
            <v>2625IW47</v>
          </cell>
          <cell r="D7954" t="str">
            <v>FTW503</v>
          </cell>
          <cell r="E7954">
            <v>46204</v>
          </cell>
        </row>
        <row r="7955">
          <cell r="A7955" t="str">
            <v>2624WJ57</v>
          </cell>
          <cell r="D7955" t="str">
            <v>KBP86</v>
          </cell>
          <cell r="E7955">
            <v>46204</v>
          </cell>
        </row>
        <row r="7956">
          <cell r="A7956" t="str">
            <v>2624CS17</v>
          </cell>
          <cell r="D7956" t="str">
            <v>KBP86</v>
          </cell>
          <cell r="E7956">
            <v>46204</v>
          </cell>
        </row>
        <row r="7957">
          <cell r="A7957" t="str">
            <v>2624DK67</v>
          </cell>
          <cell r="D7957" t="str">
            <v>KBP86</v>
          </cell>
          <cell r="E7957">
            <v>46204</v>
          </cell>
        </row>
        <row r="7958">
          <cell r="A7958" t="str">
            <v>2625QB17</v>
          </cell>
          <cell r="D7958" t="str">
            <v>FTP200</v>
          </cell>
          <cell r="E7958">
            <v>46204</v>
          </cell>
        </row>
        <row r="7959">
          <cell r="A7959" t="str">
            <v>2624OI37</v>
          </cell>
          <cell r="D7959" t="str">
            <v>KBP52</v>
          </cell>
          <cell r="E7959">
            <v>46204</v>
          </cell>
        </row>
        <row r="7960">
          <cell r="A7960" t="str">
            <v>2624X357</v>
          </cell>
          <cell r="D7960" t="str">
            <v>KBP86</v>
          </cell>
          <cell r="E7960">
            <v>46204</v>
          </cell>
        </row>
        <row r="7961">
          <cell r="A7961" t="str">
            <v>2622DF67</v>
          </cell>
          <cell r="D7961" t="str">
            <v>KBP76</v>
          </cell>
          <cell r="E7961">
            <v>46204</v>
          </cell>
        </row>
        <row r="7962">
          <cell r="A7962" t="str">
            <v>2623H167</v>
          </cell>
          <cell r="D7962" t="str">
            <v>KBP52</v>
          </cell>
          <cell r="E7962">
            <v>46204</v>
          </cell>
        </row>
        <row r="7963">
          <cell r="A7963" t="str">
            <v>2625LQ27</v>
          </cell>
          <cell r="D7963" t="str">
            <v>FTW503</v>
          </cell>
          <cell r="E7963">
            <v>46204</v>
          </cell>
        </row>
        <row r="7964">
          <cell r="A7964" t="str">
            <v>2625KY37</v>
          </cell>
          <cell r="D7964" t="str">
            <v>KBP76</v>
          </cell>
          <cell r="E7964">
            <v>46204</v>
          </cell>
        </row>
        <row r="7965">
          <cell r="A7965" t="str">
            <v>2625QD17</v>
          </cell>
          <cell r="D7965" t="str">
            <v>FTP200</v>
          </cell>
          <cell r="E7965">
            <v>46204</v>
          </cell>
        </row>
        <row r="7966">
          <cell r="A7966" t="str">
            <v>2624LZ47</v>
          </cell>
          <cell r="D7966" t="str">
            <v>FTW121KR</v>
          </cell>
          <cell r="E7966">
            <v>46204</v>
          </cell>
        </row>
        <row r="7967">
          <cell r="A7967" t="str">
            <v>2625IV17</v>
          </cell>
          <cell r="D7967" t="str">
            <v>KBP76</v>
          </cell>
          <cell r="E7967">
            <v>46204</v>
          </cell>
        </row>
        <row r="7968">
          <cell r="A7968" t="str">
            <v>2625SW27</v>
          </cell>
          <cell r="D7968" t="str">
            <v>TTS80</v>
          </cell>
          <cell r="E7968">
            <v>46204</v>
          </cell>
        </row>
        <row r="7969">
          <cell r="A7969" t="str">
            <v>2624I237</v>
          </cell>
          <cell r="D7969" t="str">
            <v>KBP76</v>
          </cell>
          <cell r="E7969">
            <v>46204</v>
          </cell>
        </row>
        <row r="7970">
          <cell r="A7970" t="str">
            <v>2625JQ37</v>
          </cell>
          <cell r="D7970" t="str">
            <v>FTW121KR</v>
          </cell>
          <cell r="E7970">
            <v>46204</v>
          </cell>
        </row>
        <row r="7971">
          <cell r="A7971" t="str">
            <v>2624KV47</v>
          </cell>
          <cell r="D7971" t="str">
            <v>FTW503</v>
          </cell>
          <cell r="E7971">
            <v>46204</v>
          </cell>
        </row>
        <row r="7972">
          <cell r="A7972" t="str">
            <v>2625J137</v>
          </cell>
          <cell r="D7972" t="str">
            <v>FTW503</v>
          </cell>
          <cell r="E7972">
            <v>46204</v>
          </cell>
        </row>
        <row r="7973">
          <cell r="A7973" t="str">
            <v>2624F867</v>
          </cell>
          <cell r="D7973" t="str">
            <v>TTS50</v>
          </cell>
          <cell r="E7973">
            <v>46204</v>
          </cell>
        </row>
        <row r="7974">
          <cell r="A7974" t="str">
            <v>2622DC67</v>
          </cell>
          <cell r="D7974" t="str">
            <v>KBP76</v>
          </cell>
          <cell r="E7974">
            <v>46204</v>
          </cell>
        </row>
        <row r="7975">
          <cell r="A7975" t="str">
            <v>2625IX47</v>
          </cell>
          <cell r="D7975" t="str">
            <v>FTW503</v>
          </cell>
          <cell r="E7975">
            <v>46204</v>
          </cell>
        </row>
        <row r="7976">
          <cell r="A7976" t="str">
            <v>2625L727</v>
          </cell>
          <cell r="D7976" t="str">
            <v>FTW503</v>
          </cell>
          <cell r="E7976">
            <v>46204</v>
          </cell>
        </row>
        <row r="7977">
          <cell r="A7977" t="str">
            <v>2625LJ27</v>
          </cell>
          <cell r="D7977" t="str">
            <v>FTW503</v>
          </cell>
          <cell r="E7977">
            <v>46204</v>
          </cell>
        </row>
        <row r="7978">
          <cell r="A7978" t="str">
            <v>2625SR27</v>
          </cell>
          <cell r="D7978" t="str">
            <v>FTP200</v>
          </cell>
          <cell r="E7978">
            <v>46204</v>
          </cell>
        </row>
        <row r="7979">
          <cell r="A7979" t="str">
            <v>2624XF57</v>
          </cell>
          <cell r="D7979" t="str">
            <v>KBP76</v>
          </cell>
          <cell r="E7979">
            <v>46204</v>
          </cell>
        </row>
        <row r="7980">
          <cell r="A7980" t="str">
            <v>2624H567</v>
          </cell>
          <cell r="D7980" t="str">
            <v>STA156KA</v>
          </cell>
          <cell r="E7980">
            <v>46204</v>
          </cell>
        </row>
        <row r="7981">
          <cell r="A7981" t="str">
            <v>2625QE17</v>
          </cell>
          <cell r="D7981" t="str">
            <v>FTP200</v>
          </cell>
          <cell r="E7981">
            <v>46204</v>
          </cell>
        </row>
        <row r="7982">
          <cell r="A7982" t="str">
            <v>2623H267</v>
          </cell>
          <cell r="D7982" t="str">
            <v>KBP52</v>
          </cell>
          <cell r="E7982">
            <v>46204</v>
          </cell>
        </row>
        <row r="7983">
          <cell r="A7983" t="str">
            <v>2625QH27</v>
          </cell>
          <cell r="D7983" t="str">
            <v>TTS50</v>
          </cell>
          <cell r="E7983">
            <v>46204</v>
          </cell>
        </row>
        <row r="7984">
          <cell r="A7984" t="str">
            <v>2624IX67</v>
          </cell>
          <cell r="D7984" t="str">
            <v>TTS80</v>
          </cell>
          <cell r="E7984">
            <v>46204</v>
          </cell>
        </row>
        <row r="7985">
          <cell r="A7985" t="str">
            <v>2625JY17</v>
          </cell>
          <cell r="D7985" t="str">
            <v>FTW503</v>
          </cell>
          <cell r="E7985">
            <v>46204</v>
          </cell>
        </row>
        <row r="7986">
          <cell r="A7986" t="str">
            <v>2625OS27</v>
          </cell>
          <cell r="D7986" t="str">
            <v>KBP86</v>
          </cell>
          <cell r="E7986">
            <v>46204</v>
          </cell>
        </row>
        <row r="7987">
          <cell r="A7987" t="str">
            <v>2625LM17</v>
          </cell>
          <cell r="D7987" t="str">
            <v>FTW121KR</v>
          </cell>
          <cell r="E7987">
            <v>46204</v>
          </cell>
        </row>
        <row r="7988">
          <cell r="A7988" t="str">
            <v>2625LR27</v>
          </cell>
          <cell r="D7988" t="str">
            <v>FTW503</v>
          </cell>
          <cell r="E7988">
            <v>46204</v>
          </cell>
        </row>
        <row r="7989">
          <cell r="A7989" t="str">
            <v>2624SZ57</v>
          </cell>
          <cell r="D7989" t="str">
            <v>S15MB</v>
          </cell>
          <cell r="E7989">
            <v>46204</v>
          </cell>
        </row>
        <row r="7990">
          <cell r="A7990" t="str">
            <v>2624IJ67</v>
          </cell>
          <cell r="D7990" t="str">
            <v>TTS80</v>
          </cell>
          <cell r="E7990">
            <v>46204</v>
          </cell>
        </row>
        <row r="7991">
          <cell r="A7991" t="str">
            <v>2625LK27</v>
          </cell>
          <cell r="D7991" t="str">
            <v>FTW503</v>
          </cell>
          <cell r="E7991">
            <v>46204</v>
          </cell>
        </row>
        <row r="7992">
          <cell r="A7992" t="str">
            <v>2624AJ67</v>
          </cell>
          <cell r="D7992" t="str">
            <v>FTW121KR</v>
          </cell>
          <cell r="E7992">
            <v>46204</v>
          </cell>
        </row>
        <row r="7993">
          <cell r="A7993" t="str">
            <v>2624KU47</v>
          </cell>
          <cell r="D7993" t="str">
            <v>FTW503</v>
          </cell>
          <cell r="E7993">
            <v>46204</v>
          </cell>
        </row>
        <row r="7994">
          <cell r="A7994" t="str">
            <v>2624CN67</v>
          </cell>
          <cell r="D7994" t="str">
            <v>KBP86</v>
          </cell>
          <cell r="E7994">
            <v>46204</v>
          </cell>
        </row>
        <row r="7995">
          <cell r="A7995" t="str">
            <v>2624LD47</v>
          </cell>
          <cell r="D7995" t="str">
            <v>FTW700</v>
          </cell>
          <cell r="E7995">
            <v>46204</v>
          </cell>
        </row>
        <row r="7996">
          <cell r="A7996" t="str">
            <v>2624K127</v>
          </cell>
          <cell r="D7996" t="str">
            <v>KBP86</v>
          </cell>
          <cell r="E7996">
            <v>46204</v>
          </cell>
        </row>
        <row r="7997">
          <cell r="A7997" t="str">
            <v>2624HY37</v>
          </cell>
          <cell r="D7997" t="str">
            <v>KBP76</v>
          </cell>
          <cell r="E7997">
            <v>46204</v>
          </cell>
        </row>
        <row r="7998">
          <cell r="A7998" t="str">
            <v>2624IT67</v>
          </cell>
          <cell r="D7998" t="str">
            <v>TTS80</v>
          </cell>
          <cell r="E7998">
            <v>46204</v>
          </cell>
        </row>
        <row r="7999">
          <cell r="A7999" t="str">
            <v>2624HQ67</v>
          </cell>
          <cell r="D7999" t="str">
            <v>TTS80</v>
          </cell>
          <cell r="E7999">
            <v>46204</v>
          </cell>
        </row>
        <row r="8000">
          <cell r="A8000" t="str">
            <v>2623GB67</v>
          </cell>
          <cell r="D8000" t="str">
            <v>KBP86</v>
          </cell>
          <cell r="E8000">
            <v>46204</v>
          </cell>
        </row>
        <row r="8001">
          <cell r="A8001" t="str">
            <v>2625OD27</v>
          </cell>
          <cell r="D8001" t="str">
            <v>FTW121KR</v>
          </cell>
          <cell r="E8001">
            <v>46204</v>
          </cell>
        </row>
        <row r="8002">
          <cell r="A8002" t="str">
            <v>2624HV37</v>
          </cell>
          <cell r="D8002" t="str">
            <v>KBP76</v>
          </cell>
          <cell r="E8002">
            <v>46204</v>
          </cell>
        </row>
        <row r="8003">
          <cell r="A8003" t="str">
            <v>2625K717</v>
          </cell>
          <cell r="D8003" t="str">
            <v>FTW503</v>
          </cell>
          <cell r="E8003">
            <v>46204</v>
          </cell>
        </row>
        <row r="8004">
          <cell r="A8004" t="str">
            <v>2622BU67</v>
          </cell>
          <cell r="D8004" t="str">
            <v>KBP52</v>
          </cell>
          <cell r="E8004">
            <v>46204</v>
          </cell>
        </row>
        <row r="8005">
          <cell r="A8005" t="str">
            <v>2623FE67</v>
          </cell>
          <cell r="D8005" t="str">
            <v>FTW121KR</v>
          </cell>
          <cell r="E8005">
            <v>46204</v>
          </cell>
        </row>
        <row r="8006">
          <cell r="A8006" t="str">
            <v>2624GI67</v>
          </cell>
          <cell r="D8006" t="str">
            <v>KBP76</v>
          </cell>
          <cell r="E8006">
            <v>46204</v>
          </cell>
        </row>
        <row r="8007">
          <cell r="A8007" t="str">
            <v>2625L227</v>
          </cell>
          <cell r="D8007" t="str">
            <v>FTP150</v>
          </cell>
          <cell r="E8007">
            <v>46204</v>
          </cell>
        </row>
        <row r="8008">
          <cell r="A8008" t="str">
            <v>2625SC27</v>
          </cell>
          <cell r="D8008" t="str">
            <v>STA156KA</v>
          </cell>
          <cell r="E8008">
            <v>46204</v>
          </cell>
        </row>
        <row r="8009">
          <cell r="A8009" t="str">
            <v>2625IG37</v>
          </cell>
          <cell r="D8009" t="str">
            <v>KBP76</v>
          </cell>
          <cell r="E8009">
            <v>46204</v>
          </cell>
        </row>
        <row r="8010">
          <cell r="A8010" t="str">
            <v>2624H267</v>
          </cell>
          <cell r="D8010" t="str">
            <v>STA156KA</v>
          </cell>
          <cell r="E8010">
            <v>46204</v>
          </cell>
        </row>
        <row r="8011">
          <cell r="A8011" t="str">
            <v>2624JV27</v>
          </cell>
          <cell r="D8011" t="str">
            <v>FTW121KR</v>
          </cell>
          <cell r="E8011">
            <v>46204</v>
          </cell>
        </row>
        <row r="8012">
          <cell r="A8012" t="str">
            <v>2624K327</v>
          </cell>
          <cell r="D8012" t="str">
            <v>KBP86</v>
          </cell>
          <cell r="E8012">
            <v>46204</v>
          </cell>
        </row>
        <row r="8013">
          <cell r="A8013" t="str">
            <v>2625QL27</v>
          </cell>
          <cell r="D8013" t="str">
            <v>TTS50</v>
          </cell>
          <cell r="E8013">
            <v>46204</v>
          </cell>
        </row>
        <row r="8014">
          <cell r="A8014" t="str">
            <v>2622V457</v>
          </cell>
          <cell r="D8014" t="str">
            <v>KBP76</v>
          </cell>
          <cell r="E8014">
            <v>46204</v>
          </cell>
        </row>
        <row r="8015">
          <cell r="A8015" t="str">
            <v>2624KP47</v>
          </cell>
          <cell r="D8015" t="str">
            <v>FTW503</v>
          </cell>
          <cell r="E8015">
            <v>46204</v>
          </cell>
        </row>
        <row r="8016">
          <cell r="A8016" t="str">
            <v>2624EJ67</v>
          </cell>
          <cell r="D8016" t="str">
            <v>FTW700</v>
          </cell>
          <cell r="E8016">
            <v>46204</v>
          </cell>
        </row>
        <row r="8017">
          <cell r="A8017" t="str">
            <v>2625OL27</v>
          </cell>
          <cell r="D8017" t="str">
            <v>FTW121KR</v>
          </cell>
          <cell r="E8017">
            <v>46204</v>
          </cell>
        </row>
        <row r="8018">
          <cell r="A8018" t="str">
            <v>2623KF17</v>
          </cell>
          <cell r="D8018" t="str">
            <v>FTW700</v>
          </cell>
          <cell r="E8018">
            <v>46204</v>
          </cell>
        </row>
        <row r="8019">
          <cell r="A8019" t="str">
            <v>2624LM57</v>
          </cell>
          <cell r="D8019" t="str">
            <v>TTS50</v>
          </cell>
          <cell r="E8019">
            <v>46204</v>
          </cell>
        </row>
        <row r="8020">
          <cell r="A8020" t="str">
            <v>2625JD37</v>
          </cell>
          <cell r="D8020" t="str">
            <v>KBP126</v>
          </cell>
          <cell r="E8020">
            <v>46204</v>
          </cell>
        </row>
        <row r="8021">
          <cell r="A8021" t="str">
            <v>2624HN27</v>
          </cell>
          <cell r="D8021" t="str">
            <v>KBP76</v>
          </cell>
          <cell r="E8021">
            <v>46204</v>
          </cell>
        </row>
        <row r="8022">
          <cell r="A8022" t="str">
            <v>2623IR27</v>
          </cell>
          <cell r="D8022" t="str">
            <v>KBP76</v>
          </cell>
          <cell r="E8022">
            <v>46204</v>
          </cell>
        </row>
        <row r="8023">
          <cell r="A8023" t="str">
            <v>2624HH67</v>
          </cell>
          <cell r="D8023" t="str">
            <v>KBP55</v>
          </cell>
          <cell r="E8023">
            <v>46204</v>
          </cell>
        </row>
        <row r="8024">
          <cell r="A8024" t="str">
            <v>2624XY57</v>
          </cell>
          <cell r="D8024" t="str">
            <v>FTW121KR</v>
          </cell>
          <cell r="E8024">
            <v>46204</v>
          </cell>
        </row>
        <row r="8025">
          <cell r="A8025" t="str">
            <v>2624QW37</v>
          </cell>
          <cell r="D8025" t="str">
            <v>KBP55</v>
          </cell>
          <cell r="E8025">
            <v>46204</v>
          </cell>
        </row>
        <row r="8026">
          <cell r="A8026" t="str">
            <v>2625JP37</v>
          </cell>
          <cell r="D8026" t="str">
            <v>FTW121KR</v>
          </cell>
          <cell r="E8026">
            <v>46204</v>
          </cell>
        </row>
        <row r="8027">
          <cell r="A8027" t="str">
            <v>2624DQ67</v>
          </cell>
          <cell r="D8027" t="str">
            <v>KBP86</v>
          </cell>
          <cell r="E8027">
            <v>46204</v>
          </cell>
        </row>
        <row r="8028">
          <cell r="A8028" t="str">
            <v>2625SU27</v>
          </cell>
          <cell r="D8028" t="str">
            <v>TTS80</v>
          </cell>
          <cell r="E8028">
            <v>46204</v>
          </cell>
        </row>
        <row r="8029">
          <cell r="A8029" t="str">
            <v>2624FB67</v>
          </cell>
          <cell r="D8029" t="str">
            <v>TTS50</v>
          </cell>
          <cell r="E8029">
            <v>46204</v>
          </cell>
        </row>
        <row r="8030">
          <cell r="A8030" t="str">
            <v>2625IH47</v>
          </cell>
          <cell r="D8030" t="str">
            <v>FTP150</v>
          </cell>
          <cell r="E8030">
            <v>46204</v>
          </cell>
        </row>
        <row r="8031">
          <cell r="A8031" t="str">
            <v>2625QF17</v>
          </cell>
          <cell r="D8031" t="str">
            <v>KBP55</v>
          </cell>
          <cell r="E8031">
            <v>46204</v>
          </cell>
        </row>
        <row r="8032">
          <cell r="A8032" t="str">
            <v>2625IQ57</v>
          </cell>
          <cell r="D8032" t="str">
            <v>FTP150</v>
          </cell>
          <cell r="E8032">
            <v>46204</v>
          </cell>
        </row>
        <row r="8033">
          <cell r="A8033" t="str">
            <v>2625LU37</v>
          </cell>
          <cell r="D8033" t="str">
            <v>TTS80</v>
          </cell>
          <cell r="E8033">
            <v>46204</v>
          </cell>
        </row>
        <row r="8034">
          <cell r="A8034" t="str">
            <v>2625J837</v>
          </cell>
          <cell r="D8034" t="str">
            <v>FTW503</v>
          </cell>
          <cell r="E8034">
            <v>46204</v>
          </cell>
        </row>
        <row r="8035">
          <cell r="A8035" t="str">
            <v>2625JY37</v>
          </cell>
          <cell r="D8035" t="str">
            <v>KBP86</v>
          </cell>
          <cell r="E8035">
            <v>46204</v>
          </cell>
        </row>
        <row r="8036">
          <cell r="A8036" t="str">
            <v>2624J657</v>
          </cell>
          <cell r="D8036" t="str">
            <v>FTW102K</v>
          </cell>
          <cell r="E8036">
            <v>46204</v>
          </cell>
        </row>
        <row r="8037">
          <cell r="A8037" t="str">
            <v>2624AQ67</v>
          </cell>
          <cell r="D8037" t="str">
            <v>FTW121KR</v>
          </cell>
          <cell r="E8037">
            <v>46204</v>
          </cell>
        </row>
        <row r="8038">
          <cell r="A8038" t="str">
            <v>2625KD27</v>
          </cell>
          <cell r="D8038" t="str">
            <v>KBP76</v>
          </cell>
          <cell r="E8038">
            <v>46204</v>
          </cell>
        </row>
        <row r="8039">
          <cell r="A8039" t="str">
            <v>2624CT67</v>
          </cell>
          <cell r="D8039" t="str">
            <v>KBP86</v>
          </cell>
          <cell r="E8039">
            <v>46204</v>
          </cell>
        </row>
        <row r="8040">
          <cell r="A8040" t="str">
            <v>2624XQ57</v>
          </cell>
          <cell r="D8040" t="str">
            <v>FTW503</v>
          </cell>
          <cell r="E8040">
            <v>46204</v>
          </cell>
        </row>
        <row r="8041">
          <cell r="A8041" t="str">
            <v>2624C717</v>
          </cell>
          <cell r="D8041" t="str">
            <v>STA156KA</v>
          </cell>
          <cell r="E8041">
            <v>46204</v>
          </cell>
        </row>
        <row r="8042">
          <cell r="A8042" t="str">
            <v>2625JT17</v>
          </cell>
          <cell r="D8042" t="str">
            <v>FTW503</v>
          </cell>
          <cell r="E8042">
            <v>46204</v>
          </cell>
        </row>
        <row r="8043">
          <cell r="A8043" t="str">
            <v>2625PK27</v>
          </cell>
          <cell r="D8043" t="str">
            <v>KBP34</v>
          </cell>
          <cell r="E8043">
            <v>46204</v>
          </cell>
        </row>
        <row r="8044">
          <cell r="A8044" t="str">
            <v>2625SF27</v>
          </cell>
          <cell r="D8044" t="str">
            <v>KBP55</v>
          </cell>
          <cell r="E8044">
            <v>46204</v>
          </cell>
        </row>
        <row r="8045">
          <cell r="A8045" t="str">
            <v>2624K827</v>
          </cell>
          <cell r="D8045" t="str">
            <v>KBP86</v>
          </cell>
          <cell r="E8045">
            <v>46204</v>
          </cell>
        </row>
        <row r="8046">
          <cell r="A8046" t="str">
            <v>2625LC27</v>
          </cell>
          <cell r="D8046" t="str">
            <v>FTW503</v>
          </cell>
          <cell r="E8046">
            <v>46204</v>
          </cell>
        </row>
        <row r="8047">
          <cell r="A8047" t="str">
            <v>2624KL47</v>
          </cell>
          <cell r="D8047" t="str">
            <v>FTW503</v>
          </cell>
          <cell r="E8047">
            <v>46204</v>
          </cell>
        </row>
        <row r="8048">
          <cell r="A8048" t="str">
            <v>2625Q717</v>
          </cell>
          <cell r="D8048" t="str">
            <v>STA156KA</v>
          </cell>
          <cell r="E8048">
            <v>46204</v>
          </cell>
        </row>
        <row r="8049">
          <cell r="A8049" t="str">
            <v>2622DD57</v>
          </cell>
          <cell r="D8049" t="str">
            <v>FTW700</v>
          </cell>
          <cell r="E8049">
            <v>46204</v>
          </cell>
        </row>
        <row r="8050">
          <cell r="A8050" t="str">
            <v>2624WP57</v>
          </cell>
          <cell r="D8050" t="str">
            <v>KBP86</v>
          </cell>
          <cell r="E8050">
            <v>46204</v>
          </cell>
        </row>
        <row r="8051">
          <cell r="A8051" t="str">
            <v>2625LD27</v>
          </cell>
          <cell r="D8051" t="str">
            <v>FTW503</v>
          </cell>
          <cell r="E8051">
            <v>46204</v>
          </cell>
        </row>
        <row r="8052">
          <cell r="A8052" t="str">
            <v>2625JW17</v>
          </cell>
          <cell r="D8052" t="str">
            <v>FTW503</v>
          </cell>
          <cell r="E8052">
            <v>46204</v>
          </cell>
        </row>
        <row r="8053">
          <cell r="A8053" t="str">
            <v>2624PC27</v>
          </cell>
          <cell r="D8053" t="str">
            <v>KBP76</v>
          </cell>
          <cell r="E8053">
            <v>46204</v>
          </cell>
        </row>
        <row r="8054">
          <cell r="A8054" t="str">
            <v>2625IE47</v>
          </cell>
          <cell r="D8054" t="str">
            <v>FTP150</v>
          </cell>
          <cell r="E8054">
            <v>46204</v>
          </cell>
        </row>
        <row r="8055">
          <cell r="A8055" t="str">
            <v>2619OU57</v>
          </cell>
          <cell r="D8055" t="str">
            <v>TTS50</v>
          </cell>
          <cell r="E8055">
            <v>46204</v>
          </cell>
        </row>
        <row r="8056">
          <cell r="A8056" t="str">
            <v>2623LL47</v>
          </cell>
          <cell r="D8056" t="str">
            <v>KBP76</v>
          </cell>
          <cell r="E8056">
            <v>46204</v>
          </cell>
        </row>
        <row r="8057">
          <cell r="A8057" t="str">
            <v>2624CO67</v>
          </cell>
          <cell r="D8057" t="str">
            <v>KBP86</v>
          </cell>
          <cell r="E8057">
            <v>46204</v>
          </cell>
        </row>
        <row r="8058">
          <cell r="A8058" t="str">
            <v>2625U227</v>
          </cell>
          <cell r="D8058" t="str">
            <v>TTS80</v>
          </cell>
          <cell r="E8058">
            <v>46204</v>
          </cell>
        </row>
        <row r="8059">
          <cell r="A8059" t="str">
            <v>2624S437</v>
          </cell>
          <cell r="D8059" t="str">
            <v>KBP55</v>
          </cell>
          <cell r="E8059">
            <v>46204</v>
          </cell>
        </row>
        <row r="8060">
          <cell r="A8060" t="str">
            <v>2625KT37</v>
          </cell>
          <cell r="D8060" t="str">
            <v>TTS50</v>
          </cell>
          <cell r="E8060">
            <v>46204</v>
          </cell>
        </row>
        <row r="8061">
          <cell r="A8061" t="str">
            <v>2624IO57</v>
          </cell>
          <cell r="D8061" t="str">
            <v>FTW503</v>
          </cell>
          <cell r="E8061">
            <v>46204</v>
          </cell>
        </row>
        <row r="8062">
          <cell r="A8062" t="str">
            <v>2624H167</v>
          </cell>
          <cell r="D8062" t="str">
            <v>STA156KA</v>
          </cell>
          <cell r="E8062">
            <v>46204</v>
          </cell>
        </row>
        <row r="8063">
          <cell r="A8063" t="str">
            <v>2625P817</v>
          </cell>
          <cell r="D8063" t="str">
            <v>TTS50</v>
          </cell>
          <cell r="E8063">
            <v>46204</v>
          </cell>
        </row>
        <row r="8064">
          <cell r="A8064" t="str">
            <v>2624IY57</v>
          </cell>
          <cell r="D8064" t="str">
            <v>KBP126</v>
          </cell>
          <cell r="E8064">
            <v>46204</v>
          </cell>
        </row>
        <row r="8065">
          <cell r="A8065" t="str">
            <v>2622QS47</v>
          </cell>
          <cell r="D8065" t="str">
            <v>FTW121KR</v>
          </cell>
          <cell r="E8065">
            <v>46204</v>
          </cell>
        </row>
        <row r="8066">
          <cell r="A8066" t="str">
            <v>2623EY67</v>
          </cell>
          <cell r="D8066" t="str">
            <v>FTW102K</v>
          </cell>
          <cell r="E8066">
            <v>46204</v>
          </cell>
        </row>
        <row r="8067">
          <cell r="A8067" t="str">
            <v>2623PY27</v>
          </cell>
          <cell r="D8067" t="str">
            <v>KBP86</v>
          </cell>
          <cell r="E8067">
            <v>46204</v>
          </cell>
        </row>
        <row r="8068">
          <cell r="A8068" t="str">
            <v>2624KX47</v>
          </cell>
          <cell r="D8068" t="str">
            <v>FTW503</v>
          </cell>
          <cell r="E8068">
            <v>46204</v>
          </cell>
        </row>
        <row r="8069">
          <cell r="A8069" t="str">
            <v>2624IA67</v>
          </cell>
          <cell r="D8069" t="str">
            <v>TTS80</v>
          </cell>
          <cell r="E8069">
            <v>46204</v>
          </cell>
        </row>
        <row r="8070">
          <cell r="A8070" t="str">
            <v>2621Y247</v>
          </cell>
          <cell r="D8070" t="str">
            <v>S706</v>
          </cell>
          <cell r="E8070">
            <v>46203</v>
          </cell>
        </row>
        <row r="8071">
          <cell r="A8071" t="str">
            <v>2624IW67</v>
          </cell>
          <cell r="D8071" t="str">
            <v>TTS80</v>
          </cell>
          <cell r="E8071">
            <v>46203</v>
          </cell>
        </row>
        <row r="8072">
          <cell r="A8072" t="str">
            <v>2625ST27</v>
          </cell>
          <cell r="D8072" t="str">
            <v>FTP200</v>
          </cell>
          <cell r="E8072">
            <v>46203</v>
          </cell>
        </row>
        <row r="8073">
          <cell r="A8073" t="str">
            <v>2625J547</v>
          </cell>
          <cell r="D8073" t="str">
            <v>KBP126</v>
          </cell>
          <cell r="E8073">
            <v>46203</v>
          </cell>
        </row>
        <row r="8074">
          <cell r="A8074" t="str">
            <v>2621Y447</v>
          </cell>
          <cell r="D8074" t="str">
            <v>S706</v>
          </cell>
          <cell r="E8074">
            <v>46203</v>
          </cell>
        </row>
        <row r="8075">
          <cell r="A8075" t="str">
            <v>2625KB17</v>
          </cell>
          <cell r="D8075" t="str">
            <v>FTW503</v>
          </cell>
          <cell r="E8075">
            <v>46203</v>
          </cell>
        </row>
        <row r="8076">
          <cell r="A8076" t="str">
            <v>2625SS27</v>
          </cell>
          <cell r="D8076" t="str">
            <v>FTP200</v>
          </cell>
          <cell r="E8076">
            <v>46203</v>
          </cell>
        </row>
        <row r="8077">
          <cell r="A8077" t="str">
            <v>2624IY37</v>
          </cell>
          <cell r="D8077" t="str">
            <v>FTW503</v>
          </cell>
          <cell r="E8077">
            <v>46203</v>
          </cell>
        </row>
        <row r="8078">
          <cell r="A8078" t="str">
            <v>2625SS27</v>
          </cell>
          <cell r="D8078" t="str">
            <v>FTP200</v>
          </cell>
          <cell r="E8078">
            <v>46203</v>
          </cell>
        </row>
        <row r="8079">
          <cell r="A8079" t="str">
            <v>2623DE17</v>
          </cell>
          <cell r="D8079" t="str">
            <v>KBP126</v>
          </cell>
          <cell r="E8079">
            <v>46203</v>
          </cell>
        </row>
        <row r="8080">
          <cell r="A8080" t="str">
            <v>2623HW67</v>
          </cell>
          <cell r="D8080" t="str">
            <v>KBP52</v>
          </cell>
          <cell r="E8080">
            <v>46203</v>
          </cell>
        </row>
        <row r="8081">
          <cell r="A8081" t="str">
            <v>2623JI67</v>
          </cell>
          <cell r="D8081" t="str">
            <v>KBP76</v>
          </cell>
          <cell r="E8081">
            <v>46203</v>
          </cell>
        </row>
        <row r="8082">
          <cell r="A8082" t="str">
            <v>2623HD67</v>
          </cell>
          <cell r="D8082" t="str">
            <v>KBP76</v>
          </cell>
          <cell r="E8082">
            <v>46203</v>
          </cell>
        </row>
        <row r="8083">
          <cell r="A8083" t="str">
            <v>2624HX67</v>
          </cell>
          <cell r="D8083" t="str">
            <v>TTS80</v>
          </cell>
          <cell r="E8083">
            <v>46203</v>
          </cell>
        </row>
        <row r="8084">
          <cell r="A8084" t="str">
            <v>2625JM37</v>
          </cell>
          <cell r="D8084" t="str">
            <v>FTW121KR</v>
          </cell>
          <cell r="E8084">
            <v>46203</v>
          </cell>
        </row>
        <row r="8085">
          <cell r="A8085" t="str">
            <v>2620ZA57</v>
          </cell>
          <cell r="D8085" t="str">
            <v>KBP76</v>
          </cell>
          <cell r="E8085">
            <v>46203</v>
          </cell>
        </row>
        <row r="8086">
          <cell r="A8086" t="str">
            <v>2625LX37</v>
          </cell>
          <cell r="D8086" t="str">
            <v>FTP200</v>
          </cell>
          <cell r="E8086">
            <v>46203</v>
          </cell>
        </row>
        <row r="8087">
          <cell r="A8087" t="str">
            <v>2621S517</v>
          </cell>
          <cell r="D8087" t="str">
            <v>KBP76</v>
          </cell>
          <cell r="E8087">
            <v>46203</v>
          </cell>
        </row>
        <row r="8088">
          <cell r="A8088" t="str">
            <v>2624O547</v>
          </cell>
          <cell r="D8088" t="str">
            <v>KBP86</v>
          </cell>
          <cell r="E8088">
            <v>46203</v>
          </cell>
        </row>
        <row r="8089">
          <cell r="A8089" t="str">
            <v>2624KO47</v>
          </cell>
          <cell r="D8089" t="str">
            <v>FTW503</v>
          </cell>
          <cell r="E8089">
            <v>46203</v>
          </cell>
        </row>
        <row r="8090">
          <cell r="A8090" t="str">
            <v>2625ON27</v>
          </cell>
          <cell r="D8090" t="str">
            <v>FTW121KR</v>
          </cell>
          <cell r="E8090">
            <v>46203</v>
          </cell>
        </row>
        <row r="8091">
          <cell r="A8091" t="str">
            <v>2624B557</v>
          </cell>
          <cell r="D8091" t="str">
            <v>S15MB</v>
          </cell>
          <cell r="E8091">
            <v>46203</v>
          </cell>
        </row>
        <row r="8092">
          <cell r="A8092" t="str">
            <v>2624OC57</v>
          </cell>
          <cell r="D8092" t="str">
            <v>FTP150</v>
          </cell>
          <cell r="E8092">
            <v>46203</v>
          </cell>
        </row>
        <row r="8093">
          <cell r="A8093" t="str">
            <v>2625KA17</v>
          </cell>
          <cell r="D8093" t="str">
            <v>FTW503</v>
          </cell>
          <cell r="E8093">
            <v>46203</v>
          </cell>
        </row>
        <row r="8094">
          <cell r="A8094" t="str">
            <v>2625IT37</v>
          </cell>
          <cell r="D8094" t="str">
            <v>FTP150</v>
          </cell>
          <cell r="E8094">
            <v>46203</v>
          </cell>
        </row>
        <row r="8095">
          <cell r="A8095" t="str">
            <v>2625LZ27</v>
          </cell>
          <cell r="D8095" t="str">
            <v>KBP126</v>
          </cell>
          <cell r="E8095">
            <v>46203</v>
          </cell>
        </row>
        <row r="8096">
          <cell r="A8096" t="str">
            <v>2624GT17</v>
          </cell>
          <cell r="D8096" t="str">
            <v>KBP52</v>
          </cell>
          <cell r="E8096">
            <v>46203</v>
          </cell>
        </row>
        <row r="8097">
          <cell r="A8097" t="str">
            <v>2625IX17</v>
          </cell>
          <cell r="D8097" t="str">
            <v>KBP76</v>
          </cell>
          <cell r="E8097">
            <v>46203</v>
          </cell>
        </row>
        <row r="8098">
          <cell r="A8098" t="str">
            <v>2625JS17</v>
          </cell>
          <cell r="D8098" t="str">
            <v>FTW503</v>
          </cell>
          <cell r="E8098">
            <v>46203</v>
          </cell>
        </row>
        <row r="8099">
          <cell r="A8099" t="str">
            <v>2624LJ57</v>
          </cell>
          <cell r="D8099" t="str">
            <v>TTS50</v>
          </cell>
          <cell r="E8099">
            <v>46203</v>
          </cell>
        </row>
        <row r="8100">
          <cell r="A8100" t="str">
            <v>2625F117</v>
          </cell>
          <cell r="D8100" t="str">
            <v>STA156KA</v>
          </cell>
          <cell r="E8100">
            <v>46203</v>
          </cell>
        </row>
        <row r="8101">
          <cell r="A8101" t="str">
            <v>2625SB27</v>
          </cell>
          <cell r="D8101" t="str">
            <v>STA156KA</v>
          </cell>
          <cell r="E8101">
            <v>46203</v>
          </cell>
        </row>
        <row r="8102">
          <cell r="A8102" t="str">
            <v>2625EM17</v>
          </cell>
          <cell r="D8102" t="str">
            <v>KBP126</v>
          </cell>
          <cell r="E8102">
            <v>46203</v>
          </cell>
        </row>
        <row r="8103">
          <cell r="A8103" t="str">
            <v>2625IS37</v>
          </cell>
          <cell r="D8103" t="str">
            <v>FTP150</v>
          </cell>
          <cell r="E8103">
            <v>46203</v>
          </cell>
        </row>
        <row r="8104">
          <cell r="A8104" t="str">
            <v>2624PT47</v>
          </cell>
          <cell r="D8104" t="str">
            <v>KBP55</v>
          </cell>
          <cell r="E8104">
            <v>46203</v>
          </cell>
        </row>
        <row r="8105">
          <cell r="A8105" t="str">
            <v>2625OE27</v>
          </cell>
          <cell r="D8105" t="str">
            <v>FTW121KR</v>
          </cell>
          <cell r="E8105">
            <v>46203</v>
          </cell>
        </row>
        <row r="8106">
          <cell r="A8106" t="str">
            <v>2622LU57</v>
          </cell>
          <cell r="D8106" t="str">
            <v>KBP126</v>
          </cell>
          <cell r="E8106">
            <v>46203</v>
          </cell>
        </row>
        <row r="8107">
          <cell r="A8107" t="str">
            <v>2625QJ27</v>
          </cell>
          <cell r="D8107" t="str">
            <v>TTS50</v>
          </cell>
          <cell r="E8107">
            <v>46203</v>
          </cell>
        </row>
        <row r="8108">
          <cell r="A8108" t="str">
            <v>2624WI57</v>
          </cell>
          <cell r="D8108" t="str">
            <v>KBP86</v>
          </cell>
          <cell r="E8108">
            <v>46203</v>
          </cell>
        </row>
        <row r="8109">
          <cell r="A8109" t="str">
            <v>2624H467</v>
          </cell>
          <cell r="D8109" t="str">
            <v>STA156KA</v>
          </cell>
          <cell r="E8109">
            <v>46203</v>
          </cell>
        </row>
        <row r="8110">
          <cell r="A8110" t="str">
            <v>2625ST27</v>
          </cell>
          <cell r="D8110" t="str">
            <v>FTP200</v>
          </cell>
          <cell r="E8110">
            <v>46203</v>
          </cell>
        </row>
        <row r="8111">
          <cell r="A8111" t="str">
            <v>2625QM27</v>
          </cell>
          <cell r="D8111" t="str">
            <v>TTS50</v>
          </cell>
          <cell r="E8111">
            <v>46203</v>
          </cell>
        </row>
        <row r="8112">
          <cell r="A8112" t="str">
            <v>2625KS37</v>
          </cell>
          <cell r="D8112" t="str">
            <v>TTS50</v>
          </cell>
          <cell r="E8112">
            <v>46203</v>
          </cell>
        </row>
        <row r="8113">
          <cell r="A8113" t="str">
            <v>2625OG27</v>
          </cell>
          <cell r="D8113" t="str">
            <v>FTW121KR</v>
          </cell>
          <cell r="E8113">
            <v>46203</v>
          </cell>
        </row>
        <row r="8114">
          <cell r="A8114" t="str">
            <v>2624FM17</v>
          </cell>
          <cell r="D8114" t="str">
            <v>KBP86</v>
          </cell>
          <cell r="E8114">
            <v>46203</v>
          </cell>
        </row>
        <row r="8115">
          <cell r="A8115" t="str">
            <v>2625P927</v>
          </cell>
          <cell r="D8115" t="str">
            <v>KBP86</v>
          </cell>
          <cell r="E8115">
            <v>46203</v>
          </cell>
        </row>
        <row r="8116">
          <cell r="A8116" t="str">
            <v>2625OP27</v>
          </cell>
          <cell r="D8116" t="str">
            <v>FTW121KR</v>
          </cell>
          <cell r="E8116">
            <v>46203</v>
          </cell>
        </row>
        <row r="8117">
          <cell r="A8117" t="str">
            <v>2625L517</v>
          </cell>
          <cell r="D8117" t="str">
            <v>KBP126</v>
          </cell>
          <cell r="E8117">
            <v>46203</v>
          </cell>
        </row>
        <row r="8118">
          <cell r="A8118" t="str">
            <v>2625QK27</v>
          </cell>
          <cell r="D8118" t="str">
            <v>TTS50</v>
          </cell>
          <cell r="E8118">
            <v>46203</v>
          </cell>
        </row>
        <row r="8119">
          <cell r="A8119" t="str">
            <v>2624KR47</v>
          </cell>
          <cell r="D8119" t="str">
            <v>FTW503</v>
          </cell>
          <cell r="E8119">
            <v>46203</v>
          </cell>
        </row>
        <row r="8120">
          <cell r="A8120" t="str">
            <v>2625IG47</v>
          </cell>
          <cell r="D8120" t="str">
            <v>FTP150</v>
          </cell>
          <cell r="E8120">
            <v>46203</v>
          </cell>
        </row>
        <row r="8121">
          <cell r="A8121" t="str">
            <v>2625QW17</v>
          </cell>
          <cell r="D8121" t="str">
            <v>TTS80</v>
          </cell>
          <cell r="E8121">
            <v>46203</v>
          </cell>
        </row>
        <row r="8122">
          <cell r="A8122" t="str">
            <v>2625LO27</v>
          </cell>
          <cell r="D8122" t="str">
            <v>FTW503</v>
          </cell>
          <cell r="E8122">
            <v>46203</v>
          </cell>
        </row>
        <row r="8123">
          <cell r="A8123" t="str">
            <v>2625SY27</v>
          </cell>
          <cell r="D8123" t="str">
            <v>TTS80</v>
          </cell>
          <cell r="E8123">
            <v>46203</v>
          </cell>
        </row>
        <row r="8124">
          <cell r="A8124" t="str">
            <v>2624QK37</v>
          </cell>
          <cell r="D8124" t="str">
            <v>STA156KA</v>
          </cell>
          <cell r="E8124">
            <v>46203</v>
          </cell>
        </row>
        <row r="8125">
          <cell r="A8125" t="str">
            <v>2625EN17</v>
          </cell>
          <cell r="D8125" t="str">
            <v>KBP126</v>
          </cell>
          <cell r="E8125">
            <v>46203</v>
          </cell>
        </row>
        <row r="8126">
          <cell r="A8126" t="str">
            <v>2624H967</v>
          </cell>
          <cell r="D8126" t="str">
            <v>KBP74</v>
          </cell>
          <cell r="E8126">
            <v>46203</v>
          </cell>
        </row>
        <row r="8127">
          <cell r="A8127" t="str">
            <v>2625JU17</v>
          </cell>
          <cell r="D8127" t="str">
            <v>FTW503</v>
          </cell>
          <cell r="E8127">
            <v>46203</v>
          </cell>
        </row>
        <row r="8128">
          <cell r="A8128" t="str">
            <v>2624IU57</v>
          </cell>
          <cell r="D8128" t="str">
            <v>KBP126</v>
          </cell>
          <cell r="E8128">
            <v>46203</v>
          </cell>
        </row>
        <row r="8129">
          <cell r="A8129" t="str">
            <v>2625KR37</v>
          </cell>
          <cell r="D8129" t="str">
            <v>TTS50</v>
          </cell>
          <cell r="E8129">
            <v>46203</v>
          </cell>
        </row>
        <row r="8130">
          <cell r="A8130" t="str">
            <v>2624KN37</v>
          </cell>
          <cell r="D8130" t="str">
            <v>KBP86</v>
          </cell>
          <cell r="E8130">
            <v>46203</v>
          </cell>
        </row>
        <row r="8131">
          <cell r="A8131" t="str">
            <v>2624JW27</v>
          </cell>
          <cell r="D8131" t="str">
            <v>KBP86</v>
          </cell>
          <cell r="E8131">
            <v>46203</v>
          </cell>
        </row>
        <row r="8132">
          <cell r="A8132" t="str">
            <v>2625LF27</v>
          </cell>
          <cell r="D8132" t="str">
            <v>FTW503</v>
          </cell>
          <cell r="E8132">
            <v>46203</v>
          </cell>
        </row>
        <row r="8133">
          <cell r="A8133" t="str">
            <v>2625LS37</v>
          </cell>
          <cell r="D8133" t="str">
            <v>TTS80</v>
          </cell>
          <cell r="E8133">
            <v>46203</v>
          </cell>
        </row>
        <row r="8134">
          <cell r="A8134" t="str">
            <v>2624AF67</v>
          </cell>
          <cell r="D8134" t="str">
            <v>FTW121KR</v>
          </cell>
          <cell r="E8134">
            <v>46203</v>
          </cell>
        </row>
        <row r="8135">
          <cell r="A8135" t="str">
            <v>2625P917</v>
          </cell>
          <cell r="D8135" t="str">
            <v>TTS50</v>
          </cell>
          <cell r="E8135">
            <v>46203</v>
          </cell>
        </row>
        <row r="8136">
          <cell r="A8136" t="str">
            <v>2624LQ57</v>
          </cell>
          <cell r="D8136" t="str">
            <v>TTS50</v>
          </cell>
          <cell r="E8136">
            <v>46203</v>
          </cell>
        </row>
        <row r="8137">
          <cell r="A8137" t="str">
            <v>2624AO67</v>
          </cell>
          <cell r="D8137" t="str">
            <v>FTW121KR</v>
          </cell>
          <cell r="E8137">
            <v>46203</v>
          </cell>
        </row>
        <row r="8138">
          <cell r="A8138" t="str">
            <v>2625QU17</v>
          </cell>
          <cell r="D8138" t="str">
            <v>TTS80</v>
          </cell>
          <cell r="E8138">
            <v>46203</v>
          </cell>
        </row>
        <row r="8139">
          <cell r="A8139" t="str">
            <v>2625JO37</v>
          </cell>
          <cell r="D8139" t="str">
            <v>FTW121KR</v>
          </cell>
          <cell r="E8139">
            <v>46203</v>
          </cell>
        </row>
        <row r="8140">
          <cell r="A8140" t="str">
            <v>2625SS27</v>
          </cell>
          <cell r="D8140" t="str">
            <v>FTP200</v>
          </cell>
          <cell r="E8140">
            <v>46203</v>
          </cell>
        </row>
        <row r="8141">
          <cell r="A8141" t="str">
            <v>2624PV47</v>
          </cell>
          <cell r="D8141" t="str">
            <v>TTS80</v>
          </cell>
          <cell r="E8141">
            <v>46203</v>
          </cell>
        </row>
        <row r="8142">
          <cell r="A8142" t="str">
            <v>2623C537</v>
          </cell>
          <cell r="D8142" t="str">
            <v>KBP126</v>
          </cell>
          <cell r="E8142">
            <v>46203</v>
          </cell>
        </row>
        <row r="8143">
          <cell r="A8143" t="str">
            <v>2625LB27</v>
          </cell>
          <cell r="D8143" t="str">
            <v>FTW503</v>
          </cell>
          <cell r="E8143">
            <v>46203</v>
          </cell>
        </row>
        <row r="8144">
          <cell r="A8144" t="str">
            <v>2625KG37</v>
          </cell>
          <cell r="D8144" t="str">
            <v>KBP52</v>
          </cell>
          <cell r="E8144">
            <v>46203</v>
          </cell>
        </row>
        <row r="8145">
          <cell r="A8145" t="str">
            <v>2614HZ27</v>
          </cell>
          <cell r="D8145" t="str">
            <v>STA156KA</v>
          </cell>
          <cell r="E8145">
            <v>46203</v>
          </cell>
        </row>
        <row r="8146">
          <cell r="A8146" t="str">
            <v>2624IO37</v>
          </cell>
          <cell r="D8146" t="str">
            <v>FTW503</v>
          </cell>
          <cell r="E8146">
            <v>46203</v>
          </cell>
        </row>
        <row r="8147">
          <cell r="A8147" t="str">
            <v>2625K117</v>
          </cell>
          <cell r="D8147" t="str">
            <v>FTW503</v>
          </cell>
          <cell r="E8147">
            <v>46203</v>
          </cell>
        </row>
        <row r="8148">
          <cell r="A8148" t="str">
            <v>2625KC17</v>
          </cell>
          <cell r="D8148" t="str">
            <v>FTW503</v>
          </cell>
          <cell r="E8148">
            <v>46203</v>
          </cell>
        </row>
        <row r="8149">
          <cell r="A8149" t="str">
            <v>2624B457</v>
          </cell>
          <cell r="D8149" t="str">
            <v>S15MB</v>
          </cell>
          <cell r="E8149">
            <v>46203</v>
          </cell>
        </row>
        <row r="8150">
          <cell r="A8150" t="str">
            <v>2625S927</v>
          </cell>
          <cell r="D8150" t="str">
            <v>KBP76</v>
          </cell>
          <cell r="E8150">
            <v>46203</v>
          </cell>
        </row>
        <row r="8151">
          <cell r="A8151" t="str">
            <v>2625U827</v>
          </cell>
          <cell r="D8151" t="str">
            <v>TTS80</v>
          </cell>
          <cell r="E8151">
            <v>46203</v>
          </cell>
        </row>
        <row r="8152">
          <cell r="A8152" t="str">
            <v>2625QV17</v>
          </cell>
          <cell r="D8152" t="str">
            <v>TTS80</v>
          </cell>
          <cell r="E8152">
            <v>46203</v>
          </cell>
        </row>
        <row r="8153">
          <cell r="A8153" t="str">
            <v>2625L617</v>
          </cell>
          <cell r="D8153" t="str">
            <v>KBP126</v>
          </cell>
          <cell r="E8153">
            <v>46203</v>
          </cell>
        </row>
        <row r="8154">
          <cell r="A8154" t="str">
            <v>2624XN57</v>
          </cell>
          <cell r="D8154" t="str">
            <v>FTW503</v>
          </cell>
          <cell r="E8154">
            <v>46203</v>
          </cell>
        </row>
        <row r="8155">
          <cell r="A8155" t="str">
            <v>2623D247</v>
          </cell>
          <cell r="D8155" t="str">
            <v>KBP126</v>
          </cell>
          <cell r="E8155">
            <v>46203</v>
          </cell>
        </row>
        <row r="8156">
          <cell r="A8156" t="str">
            <v>2624IH67</v>
          </cell>
          <cell r="D8156" t="str">
            <v>TTS80</v>
          </cell>
          <cell r="E8156">
            <v>46203</v>
          </cell>
        </row>
        <row r="8157">
          <cell r="A8157" t="str">
            <v>2624S237</v>
          </cell>
          <cell r="D8157" t="str">
            <v>TTS50</v>
          </cell>
          <cell r="E8157">
            <v>46203</v>
          </cell>
        </row>
        <row r="8158">
          <cell r="A8158" t="str">
            <v>2624AH67</v>
          </cell>
          <cell r="D8158" t="str">
            <v>FTW121KR</v>
          </cell>
          <cell r="E8158">
            <v>46203</v>
          </cell>
        </row>
        <row r="8159">
          <cell r="A8159" t="str">
            <v>2624LI57</v>
          </cell>
          <cell r="D8159" t="str">
            <v>TTS50</v>
          </cell>
          <cell r="E8159">
            <v>46203</v>
          </cell>
        </row>
        <row r="8160">
          <cell r="A8160" t="str">
            <v>2623I947</v>
          </cell>
          <cell r="D8160" t="str">
            <v>STA156KA</v>
          </cell>
          <cell r="E8160">
            <v>46203</v>
          </cell>
        </row>
        <row r="8161">
          <cell r="A8161" t="str">
            <v>2624J337</v>
          </cell>
          <cell r="D8161" t="str">
            <v>FTW503</v>
          </cell>
          <cell r="E8161">
            <v>46203</v>
          </cell>
        </row>
        <row r="8162">
          <cell r="A8162" t="str">
            <v>2624CG67</v>
          </cell>
          <cell r="D8162" t="str">
            <v>KBP126</v>
          </cell>
          <cell r="E8162">
            <v>46203</v>
          </cell>
        </row>
        <row r="8163">
          <cell r="A8163" t="str">
            <v>2625PB17</v>
          </cell>
          <cell r="D8163" t="str">
            <v>TTS50</v>
          </cell>
          <cell r="E8163">
            <v>46203</v>
          </cell>
        </row>
        <row r="8164">
          <cell r="A8164" t="str">
            <v>2625OB17</v>
          </cell>
          <cell r="D8164" t="str">
            <v>FTW700</v>
          </cell>
          <cell r="E8164">
            <v>46203</v>
          </cell>
        </row>
        <row r="8165">
          <cell r="A8165" t="str">
            <v>2624EN67</v>
          </cell>
          <cell r="D8165" t="str">
            <v>FTW700</v>
          </cell>
          <cell r="E8165">
            <v>46203</v>
          </cell>
        </row>
        <row r="8166">
          <cell r="A8166" t="str">
            <v>2624DA67</v>
          </cell>
          <cell r="D8166" t="str">
            <v>KBP86</v>
          </cell>
          <cell r="E8166">
            <v>46203</v>
          </cell>
        </row>
        <row r="8167">
          <cell r="A8167" t="str">
            <v>2619JB17</v>
          </cell>
          <cell r="D8167" t="str">
            <v>TTS50</v>
          </cell>
          <cell r="E8167">
            <v>46203</v>
          </cell>
        </row>
        <row r="8168">
          <cell r="A8168" t="str">
            <v>2622XY57</v>
          </cell>
          <cell r="D8168" t="str">
            <v>KBP86</v>
          </cell>
          <cell r="E8168">
            <v>46203</v>
          </cell>
        </row>
        <row r="8169">
          <cell r="A8169" t="str">
            <v>2624HI37</v>
          </cell>
          <cell r="D8169" t="str">
            <v>KBP76</v>
          </cell>
          <cell r="E8169">
            <v>46203</v>
          </cell>
        </row>
        <row r="8170">
          <cell r="A8170" t="str">
            <v>2625Q417</v>
          </cell>
          <cell r="D8170" t="str">
            <v>KBP76</v>
          </cell>
          <cell r="E8170">
            <v>46203</v>
          </cell>
        </row>
        <row r="8171">
          <cell r="A8171" t="str">
            <v>2623C727</v>
          </cell>
          <cell r="D8171" t="str">
            <v>KBP126</v>
          </cell>
          <cell r="E8171">
            <v>46203</v>
          </cell>
        </row>
        <row r="8172">
          <cell r="A8172" t="str">
            <v>2623HA27</v>
          </cell>
          <cell r="D8172" t="str">
            <v>KBP86</v>
          </cell>
          <cell r="E8172">
            <v>46203</v>
          </cell>
        </row>
        <row r="8173">
          <cell r="A8173" t="str">
            <v>2624PB47</v>
          </cell>
          <cell r="D8173" t="str">
            <v>KBP76</v>
          </cell>
          <cell r="E8173">
            <v>46203</v>
          </cell>
        </row>
        <row r="8174">
          <cell r="A8174" t="str">
            <v>2624LL57</v>
          </cell>
          <cell r="D8174" t="str">
            <v>TTS50</v>
          </cell>
          <cell r="E8174">
            <v>46203</v>
          </cell>
        </row>
        <row r="8175">
          <cell r="A8175" t="str">
            <v>2625LU27</v>
          </cell>
          <cell r="D8175" t="str">
            <v>FTW503</v>
          </cell>
          <cell r="E8175">
            <v>46203</v>
          </cell>
        </row>
        <row r="8176">
          <cell r="A8176" t="str">
            <v>2624IK57</v>
          </cell>
          <cell r="D8176" t="str">
            <v>FTW503</v>
          </cell>
          <cell r="E8176">
            <v>46203</v>
          </cell>
        </row>
        <row r="8177">
          <cell r="A8177" t="str">
            <v>2625KU37</v>
          </cell>
          <cell r="D8177" t="str">
            <v>TTS50</v>
          </cell>
          <cell r="E8177">
            <v>46203</v>
          </cell>
        </row>
        <row r="8178">
          <cell r="A8178" t="str">
            <v>2624DD67</v>
          </cell>
          <cell r="D8178" t="str">
            <v>KBP86</v>
          </cell>
          <cell r="E8178">
            <v>46203</v>
          </cell>
        </row>
        <row r="8179">
          <cell r="A8179" t="str">
            <v>2622LX57</v>
          </cell>
          <cell r="D8179" t="str">
            <v>KBP126</v>
          </cell>
          <cell r="E8179">
            <v>46203</v>
          </cell>
        </row>
        <row r="8180">
          <cell r="A8180" t="str">
            <v>2625FD67</v>
          </cell>
          <cell r="D8180" t="str">
            <v>FTP200</v>
          </cell>
          <cell r="E8180">
            <v>46203</v>
          </cell>
        </row>
        <row r="8181">
          <cell r="A8181" t="str">
            <v>2624WO57</v>
          </cell>
          <cell r="D8181" t="str">
            <v>KBP86</v>
          </cell>
          <cell r="E8181">
            <v>46203</v>
          </cell>
        </row>
        <row r="8182">
          <cell r="A8182" t="str">
            <v>2625JA37</v>
          </cell>
          <cell r="D8182" t="str">
            <v>FTW700</v>
          </cell>
          <cell r="E8182">
            <v>46203</v>
          </cell>
        </row>
        <row r="8183">
          <cell r="A8183" t="str">
            <v>2623IZ27</v>
          </cell>
          <cell r="D8183" t="str">
            <v>KBP76</v>
          </cell>
          <cell r="E8183">
            <v>46203</v>
          </cell>
        </row>
        <row r="8184">
          <cell r="A8184" t="str">
            <v>2624IR67</v>
          </cell>
          <cell r="D8184" t="str">
            <v>TTS80</v>
          </cell>
          <cell r="E8184">
            <v>46203</v>
          </cell>
        </row>
        <row r="8185">
          <cell r="A8185" t="str">
            <v>2625JX17</v>
          </cell>
          <cell r="D8185" t="str">
            <v>FTW503</v>
          </cell>
          <cell r="E8185">
            <v>46203</v>
          </cell>
        </row>
        <row r="8186">
          <cell r="A8186" t="str">
            <v>2625S527</v>
          </cell>
          <cell r="D8186" t="str">
            <v>KBP76</v>
          </cell>
          <cell r="E8186">
            <v>46203</v>
          </cell>
        </row>
        <row r="8187">
          <cell r="A8187" t="str">
            <v>2624ID67</v>
          </cell>
          <cell r="D8187" t="str">
            <v>TTS80</v>
          </cell>
          <cell r="E8187">
            <v>46203</v>
          </cell>
        </row>
        <row r="8188">
          <cell r="A8188" t="str">
            <v>2624B857</v>
          </cell>
          <cell r="D8188" t="str">
            <v>STA156KA</v>
          </cell>
          <cell r="E8188">
            <v>46203</v>
          </cell>
        </row>
        <row r="8189">
          <cell r="A8189" t="str">
            <v>2624AB67</v>
          </cell>
          <cell r="D8189" t="str">
            <v>FTW121KR</v>
          </cell>
          <cell r="E8189">
            <v>46203</v>
          </cell>
        </row>
        <row r="8190">
          <cell r="A8190" t="str">
            <v>2624E767</v>
          </cell>
          <cell r="D8190" t="str">
            <v>KBP86</v>
          </cell>
          <cell r="E8190">
            <v>46203</v>
          </cell>
        </row>
        <row r="8191">
          <cell r="A8191" t="str">
            <v>2624FR17</v>
          </cell>
          <cell r="D8191" t="str">
            <v>KBP86</v>
          </cell>
          <cell r="E8191">
            <v>46203</v>
          </cell>
        </row>
        <row r="8192">
          <cell r="A8192" t="str">
            <v>2625IL57</v>
          </cell>
          <cell r="D8192" t="str">
            <v>FTP150</v>
          </cell>
          <cell r="E8192">
            <v>46203</v>
          </cell>
        </row>
        <row r="8193">
          <cell r="A8193" t="str">
            <v>2625OC27</v>
          </cell>
          <cell r="D8193" t="str">
            <v>FTW121KR</v>
          </cell>
          <cell r="E8193">
            <v>46203</v>
          </cell>
        </row>
        <row r="8194">
          <cell r="A8194" t="str">
            <v>2624CH67</v>
          </cell>
          <cell r="D8194" t="str">
            <v>KBP126</v>
          </cell>
          <cell r="E8194">
            <v>46203</v>
          </cell>
        </row>
        <row r="8195">
          <cell r="A8195" t="str">
            <v>2625L117</v>
          </cell>
          <cell r="D8195" t="str">
            <v>FTW700</v>
          </cell>
          <cell r="E8195">
            <v>46203</v>
          </cell>
        </row>
        <row r="8196">
          <cell r="A8196" t="str">
            <v>2625PD17</v>
          </cell>
          <cell r="D8196" t="str">
            <v>TTS50</v>
          </cell>
          <cell r="E8196">
            <v>46203</v>
          </cell>
        </row>
        <row r="8197">
          <cell r="A8197" t="str">
            <v>2624A367</v>
          </cell>
          <cell r="D8197" t="str">
            <v>FTW121KR</v>
          </cell>
          <cell r="E8197">
            <v>46203</v>
          </cell>
        </row>
        <row r="8198">
          <cell r="A8198" t="str">
            <v>2623FX67</v>
          </cell>
          <cell r="D8198" t="str">
            <v>KBP86</v>
          </cell>
          <cell r="E8198">
            <v>46203</v>
          </cell>
        </row>
        <row r="8199">
          <cell r="A8199" t="str">
            <v>2624I467</v>
          </cell>
          <cell r="D8199" t="str">
            <v>TTS80</v>
          </cell>
          <cell r="E8199">
            <v>46203</v>
          </cell>
        </row>
        <row r="8200">
          <cell r="A8200" t="str">
            <v>2624OZ47</v>
          </cell>
          <cell r="D8200" t="str">
            <v>TTS50</v>
          </cell>
          <cell r="E8200">
            <v>46203</v>
          </cell>
        </row>
        <row r="8201">
          <cell r="A8201" t="str">
            <v>2625IM17</v>
          </cell>
          <cell r="D8201" t="str">
            <v>KBP86</v>
          </cell>
          <cell r="E8201">
            <v>46203</v>
          </cell>
        </row>
        <row r="8202">
          <cell r="A8202" t="str">
            <v>2624KM37</v>
          </cell>
          <cell r="D8202" t="str">
            <v>KBP86</v>
          </cell>
          <cell r="E8202">
            <v>46203</v>
          </cell>
        </row>
        <row r="8203">
          <cell r="A8203" t="str">
            <v>2624IP57</v>
          </cell>
          <cell r="D8203" t="str">
            <v>FTW503</v>
          </cell>
          <cell r="E8203">
            <v>46203</v>
          </cell>
        </row>
        <row r="8204">
          <cell r="A8204" t="str">
            <v>2625S627</v>
          </cell>
          <cell r="D8204" t="str">
            <v>KBP76</v>
          </cell>
          <cell r="E8204">
            <v>46203</v>
          </cell>
        </row>
        <row r="8205">
          <cell r="A8205" t="str">
            <v>2619DI37</v>
          </cell>
          <cell r="D8205" t="str">
            <v>TTS50</v>
          </cell>
          <cell r="E8205">
            <v>46203</v>
          </cell>
        </row>
        <row r="8206">
          <cell r="A8206" t="str">
            <v>2625U627</v>
          </cell>
          <cell r="D8206" t="str">
            <v>TTS80</v>
          </cell>
          <cell r="E8206">
            <v>46203</v>
          </cell>
        </row>
        <row r="8207">
          <cell r="A8207" t="str">
            <v>2624IN57</v>
          </cell>
          <cell r="D8207" t="str">
            <v>FTW503</v>
          </cell>
          <cell r="E8207">
            <v>46203</v>
          </cell>
        </row>
        <row r="8208">
          <cell r="A8208" t="str">
            <v>2625K317</v>
          </cell>
          <cell r="D8208" t="str">
            <v>FTW503</v>
          </cell>
          <cell r="E8208">
            <v>46203</v>
          </cell>
        </row>
        <row r="8209">
          <cell r="A8209" t="str">
            <v>2624O637</v>
          </cell>
          <cell r="D8209" t="str">
            <v>KBP52</v>
          </cell>
          <cell r="E8209">
            <v>46203</v>
          </cell>
        </row>
        <row r="8210">
          <cell r="A8210" t="str">
            <v>2625LH17</v>
          </cell>
          <cell r="D8210" t="str">
            <v>FTW121KR</v>
          </cell>
          <cell r="E8210">
            <v>46203</v>
          </cell>
        </row>
        <row r="8211">
          <cell r="A8211" t="str">
            <v>2625LL17</v>
          </cell>
          <cell r="D8211" t="str">
            <v>FTW121KR</v>
          </cell>
          <cell r="E8211">
            <v>46203</v>
          </cell>
        </row>
        <row r="8212">
          <cell r="A8212" t="str">
            <v>2624A967</v>
          </cell>
          <cell r="D8212" t="str">
            <v>FTW121KR</v>
          </cell>
          <cell r="E8212">
            <v>46203</v>
          </cell>
        </row>
        <row r="8213">
          <cell r="A8213" t="str">
            <v>2624B757</v>
          </cell>
          <cell r="D8213" t="str">
            <v>S15MB</v>
          </cell>
          <cell r="E8213">
            <v>46203</v>
          </cell>
        </row>
        <row r="8214">
          <cell r="A8214" t="str">
            <v>2625K817</v>
          </cell>
          <cell r="D8214" t="str">
            <v>FTW503</v>
          </cell>
          <cell r="E8214">
            <v>46203</v>
          </cell>
        </row>
        <row r="8215">
          <cell r="A8215" t="str">
            <v>2624PW37</v>
          </cell>
          <cell r="D8215" t="str">
            <v>KBP76</v>
          </cell>
          <cell r="E8215">
            <v>46203</v>
          </cell>
        </row>
        <row r="8216">
          <cell r="A8216" t="str">
            <v>2624GW67</v>
          </cell>
          <cell r="D8216" t="str">
            <v>KBP76</v>
          </cell>
          <cell r="E8216">
            <v>46203</v>
          </cell>
        </row>
        <row r="8217">
          <cell r="A8217" t="str">
            <v>2625QQ17</v>
          </cell>
          <cell r="D8217" t="str">
            <v>TTS80</v>
          </cell>
          <cell r="E8217">
            <v>46203</v>
          </cell>
        </row>
        <row r="8218">
          <cell r="A8218" t="str">
            <v>2624Z157</v>
          </cell>
          <cell r="D8218" t="str">
            <v>S706E</v>
          </cell>
          <cell r="E8218">
            <v>46203</v>
          </cell>
        </row>
        <row r="8219">
          <cell r="A8219" t="str">
            <v>2625Z217</v>
          </cell>
          <cell r="D8219" t="str">
            <v>S706E</v>
          </cell>
          <cell r="E8219">
            <v>46203</v>
          </cell>
        </row>
        <row r="8220">
          <cell r="A8220" t="str">
            <v>2624EQ17</v>
          </cell>
          <cell r="D8220" t="str">
            <v>KBP44</v>
          </cell>
          <cell r="E8220">
            <v>46203</v>
          </cell>
        </row>
        <row r="8221">
          <cell r="A8221" t="str">
            <v>2623DN57</v>
          </cell>
          <cell r="D8221" t="str">
            <v>KBP86</v>
          </cell>
          <cell r="E8221">
            <v>46203</v>
          </cell>
        </row>
        <row r="8222">
          <cell r="A8222" t="str">
            <v>2624GH47</v>
          </cell>
          <cell r="D8222" t="str">
            <v>KBP86</v>
          </cell>
          <cell r="E8222">
            <v>46203</v>
          </cell>
        </row>
        <row r="8223">
          <cell r="A8223" t="str">
            <v>2625HZ37</v>
          </cell>
          <cell r="D8223" t="str">
            <v>KBP76</v>
          </cell>
          <cell r="E8223">
            <v>46203</v>
          </cell>
        </row>
        <row r="8224">
          <cell r="A8224" t="str">
            <v>2624GK47</v>
          </cell>
          <cell r="D8224" t="str">
            <v>KBP86</v>
          </cell>
          <cell r="E8224">
            <v>46203</v>
          </cell>
        </row>
        <row r="8225">
          <cell r="A8225" t="str">
            <v>2624LG57</v>
          </cell>
          <cell r="D8225" t="str">
            <v>HV80</v>
          </cell>
          <cell r="E8225">
            <v>46203</v>
          </cell>
        </row>
        <row r="8226">
          <cell r="A8226" t="str">
            <v>2624OV37</v>
          </cell>
          <cell r="D8226" t="str">
            <v>HV80</v>
          </cell>
          <cell r="E8226">
            <v>46203</v>
          </cell>
        </row>
        <row r="8227">
          <cell r="A8227" t="str">
            <v>2624OJ47</v>
          </cell>
          <cell r="D8227" t="str">
            <v>HV80</v>
          </cell>
          <cell r="E8227">
            <v>46203</v>
          </cell>
        </row>
        <row r="8228">
          <cell r="A8228" t="str">
            <v>2624L757</v>
          </cell>
          <cell r="D8228" t="str">
            <v>HV80</v>
          </cell>
          <cell r="E8228">
            <v>46203</v>
          </cell>
        </row>
        <row r="8229">
          <cell r="A8229" t="str">
            <v>2624F467</v>
          </cell>
          <cell r="D8229" t="str">
            <v>TTS80</v>
          </cell>
          <cell r="E8229">
            <v>46203</v>
          </cell>
        </row>
        <row r="8230">
          <cell r="A8230" t="str">
            <v>2624F767</v>
          </cell>
          <cell r="D8230" t="str">
            <v>TTS80</v>
          </cell>
          <cell r="E8230">
            <v>46203</v>
          </cell>
        </row>
        <row r="8231">
          <cell r="A8231" t="str">
            <v>2625L217</v>
          </cell>
          <cell r="D8231" t="str">
            <v>FTW700</v>
          </cell>
          <cell r="E8231">
            <v>46203</v>
          </cell>
        </row>
        <row r="8232">
          <cell r="A8232" t="str">
            <v>2625K417</v>
          </cell>
          <cell r="D8232" t="str">
            <v>FTW503</v>
          </cell>
          <cell r="E8232">
            <v>46203</v>
          </cell>
        </row>
        <row r="8233">
          <cell r="A8233" t="str">
            <v>2625O917</v>
          </cell>
          <cell r="D8233" t="str">
            <v>FTW700</v>
          </cell>
          <cell r="E8233">
            <v>46203</v>
          </cell>
        </row>
        <row r="8234">
          <cell r="A8234" t="str">
            <v>2625K617</v>
          </cell>
          <cell r="D8234" t="str">
            <v>FTW503</v>
          </cell>
          <cell r="E8234">
            <v>46203</v>
          </cell>
        </row>
        <row r="8235">
          <cell r="A8235" t="str">
            <v>2624H537</v>
          </cell>
          <cell r="D8235" t="str">
            <v>KBP86</v>
          </cell>
          <cell r="E8235">
            <v>46203</v>
          </cell>
        </row>
        <row r="8236">
          <cell r="A8236" t="str">
            <v>2624XX57</v>
          </cell>
          <cell r="D8236" t="str">
            <v>FTW121KR</v>
          </cell>
          <cell r="E8236">
            <v>46203</v>
          </cell>
        </row>
        <row r="8237">
          <cell r="A8237" t="str">
            <v>2625FE67</v>
          </cell>
          <cell r="D8237" t="str">
            <v>FTP200</v>
          </cell>
          <cell r="E8237">
            <v>46203</v>
          </cell>
        </row>
        <row r="8238">
          <cell r="A8238" t="str">
            <v>2625K627</v>
          </cell>
          <cell r="D8238" t="str">
            <v>KBP86</v>
          </cell>
          <cell r="E8238">
            <v>46203</v>
          </cell>
        </row>
        <row r="8239">
          <cell r="A8239" t="str">
            <v>2625JK37</v>
          </cell>
          <cell r="D8239" t="str">
            <v>FTW121KR</v>
          </cell>
          <cell r="E8239">
            <v>46203</v>
          </cell>
        </row>
        <row r="8240">
          <cell r="A8240" t="str">
            <v>2624L747</v>
          </cell>
          <cell r="D8240" t="str">
            <v>FTW503</v>
          </cell>
          <cell r="E8240">
            <v>46203</v>
          </cell>
        </row>
        <row r="8241">
          <cell r="A8241" t="str">
            <v>2624AP67</v>
          </cell>
          <cell r="D8241" t="str">
            <v>FTW121KR</v>
          </cell>
          <cell r="E8241">
            <v>46203</v>
          </cell>
        </row>
        <row r="8242">
          <cell r="A8242" t="str">
            <v>2625LO47</v>
          </cell>
          <cell r="D8242" t="str">
            <v>KBP55</v>
          </cell>
          <cell r="E8242">
            <v>46203</v>
          </cell>
        </row>
        <row r="8243">
          <cell r="A8243" t="str">
            <v>2624AE67</v>
          </cell>
          <cell r="D8243" t="str">
            <v>FTW121KR</v>
          </cell>
          <cell r="E8243">
            <v>46203</v>
          </cell>
        </row>
        <row r="8244">
          <cell r="A8244" t="str">
            <v>2625LE27</v>
          </cell>
          <cell r="D8244" t="str">
            <v>FTW503</v>
          </cell>
          <cell r="E8244">
            <v>46203</v>
          </cell>
        </row>
        <row r="8245">
          <cell r="A8245" t="str">
            <v>2624FE30</v>
          </cell>
          <cell r="D8245" t="str">
            <v>STA200KA</v>
          </cell>
          <cell r="E8245">
            <v>46203</v>
          </cell>
        </row>
        <row r="8246">
          <cell r="A8246" t="str">
            <v>2625KG27</v>
          </cell>
          <cell r="D8246" t="str">
            <v>KBP76</v>
          </cell>
          <cell r="E8246">
            <v>46203</v>
          </cell>
        </row>
        <row r="8247">
          <cell r="A8247" t="str">
            <v>2624HS57</v>
          </cell>
          <cell r="D8247" t="str">
            <v>KBP76</v>
          </cell>
          <cell r="E8247">
            <v>46203</v>
          </cell>
        </row>
        <row r="8248">
          <cell r="A8248" t="str">
            <v>2624O457</v>
          </cell>
          <cell r="D8248" t="str">
            <v>KBP76</v>
          </cell>
          <cell r="E8248">
            <v>46203</v>
          </cell>
        </row>
        <row r="8249">
          <cell r="A8249" t="str">
            <v>2625OH27</v>
          </cell>
          <cell r="D8249" t="str">
            <v>FTW121KR</v>
          </cell>
          <cell r="E8249">
            <v>46203</v>
          </cell>
        </row>
        <row r="8250">
          <cell r="A8250" t="str">
            <v>2624LG57</v>
          </cell>
          <cell r="D8250" t="str">
            <v>HV80</v>
          </cell>
          <cell r="E8250">
            <v>46203</v>
          </cell>
        </row>
        <row r="8251">
          <cell r="A8251" t="str">
            <v>2624OJ47</v>
          </cell>
          <cell r="D8251" t="str">
            <v>HV80</v>
          </cell>
          <cell r="E8251">
            <v>46203</v>
          </cell>
        </row>
        <row r="8252">
          <cell r="A8252" t="str">
            <v>2625ST27</v>
          </cell>
          <cell r="D8252" t="str">
            <v>FTP200</v>
          </cell>
          <cell r="E8252">
            <v>46203</v>
          </cell>
        </row>
        <row r="8253">
          <cell r="A8253" t="str">
            <v>2625SS27</v>
          </cell>
          <cell r="D8253" t="str">
            <v>FTP200</v>
          </cell>
          <cell r="E8253">
            <v>46203</v>
          </cell>
        </row>
        <row r="8254">
          <cell r="A8254" t="str">
            <v>2619DB47</v>
          </cell>
          <cell r="D8254" t="str">
            <v>TTS80</v>
          </cell>
          <cell r="E8254">
            <v>46202</v>
          </cell>
        </row>
        <row r="8255">
          <cell r="A8255" t="str">
            <v>2625KF27</v>
          </cell>
          <cell r="D8255" t="str">
            <v>KBP76</v>
          </cell>
          <cell r="E8255">
            <v>46202</v>
          </cell>
        </row>
        <row r="8256">
          <cell r="A8256" t="str">
            <v>2621Y347</v>
          </cell>
          <cell r="D8256" t="str">
            <v>S706</v>
          </cell>
          <cell r="E8256">
            <v>46202</v>
          </cell>
        </row>
        <row r="8257">
          <cell r="A8257" t="str">
            <v>2624O627</v>
          </cell>
          <cell r="D8257" t="str">
            <v>HV80</v>
          </cell>
          <cell r="E8257">
            <v>46202</v>
          </cell>
        </row>
        <row r="8258">
          <cell r="A8258" t="str">
            <v>2623DF67</v>
          </cell>
          <cell r="D8258" t="str">
            <v>S805</v>
          </cell>
          <cell r="E8258">
            <v>46202</v>
          </cell>
        </row>
        <row r="8259">
          <cell r="A8259" t="str">
            <v>2625B367</v>
          </cell>
          <cell r="D8259" t="str">
            <v>FTW121KR</v>
          </cell>
          <cell r="E8259">
            <v>46202</v>
          </cell>
        </row>
        <row r="8260">
          <cell r="A8260" t="str">
            <v>2623KM67</v>
          </cell>
          <cell r="D8260" t="str">
            <v>FTP200</v>
          </cell>
          <cell r="E8260">
            <v>46202</v>
          </cell>
        </row>
        <row r="8261">
          <cell r="A8261" t="str">
            <v>2624P237</v>
          </cell>
          <cell r="D8261" t="str">
            <v>HV80</v>
          </cell>
          <cell r="E8261">
            <v>46202</v>
          </cell>
        </row>
        <row r="8262">
          <cell r="A8262" t="str">
            <v>2624F167</v>
          </cell>
          <cell r="D8262" t="str">
            <v>TTS80</v>
          </cell>
          <cell r="E8262">
            <v>46202</v>
          </cell>
        </row>
        <row r="8263">
          <cell r="A8263" t="str">
            <v>2624P137</v>
          </cell>
          <cell r="D8263" t="str">
            <v>HV80</v>
          </cell>
          <cell r="E8263">
            <v>46202</v>
          </cell>
        </row>
        <row r="8264">
          <cell r="A8264" t="str">
            <v>2617Z727</v>
          </cell>
          <cell r="D8264" t="str">
            <v>KBP86</v>
          </cell>
          <cell r="E8264">
            <v>46202</v>
          </cell>
        </row>
        <row r="8265">
          <cell r="A8265" t="str">
            <v>2623DF17</v>
          </cell>
          <cell r="D8265" t="str">
            <v>KBP126</v>
          </cell>
          <cell r="E8265">
            <v>46202</v>
          </cell>
        </row>
        <row r="8266">
          <cell r="A8266" t="str">
            <v>2624P337</v>
          </cell>
          <cell r="D8266" t="str">
            <v>HV80</v>
          </cell>
          <cell r="E8266">
            <v>46202</v>
          </cell>
        </row>
        <row r="8267">
          <cell r="A8267" t="str">
            <v>2624H667</v>
          </cell>
          <cell r="D8267" t="str">
            <v>STA156KA</v>
          </cell>
          <cell r="E8267">
            <v>46202</v>
          </cell>
        </row>
        <row r="8268">
          <cell r="A8268" t="str">
            <v>2624O627</v>
          </cell>
          <cell r="D8268" t="str">
            <v>HV80</v>
          </cell>
          <cell r="E8268">
            <v>46202</v>
          </cell>
        </row>
        <row r="8269">
          <cell r="A8269" t="str">
            <v>2625LN17</v>
          </cell>
          <cell r="D8269" t="str">
            <v>FTP200</v>
          </cell>
          <cell r="E8269">
            <v>46202</v>
          </cell>
        </row>
        <row r="8270">
          <cell r="A8270" t="str">
            <v>2624P137</v>
          </cell>
          <cell r="D8270" t="str">
            <v>HV80</v>
          </cell>
          <cell r="E8270">
            <v>46202</v>
          </cell>
        </row>
        <row r="8271">
          <cell r="A8271" t="str">
            <v>2623KM67</v>
          </cell>
          <cell r="D8271" t="str">
            <v>FTP200</v>
          </cell>
          <cell r="E8271">
            <v>46202</v>
          </cell>
        </row>
        <row r="8272">
          <cell r="A8272" t="str">
            <v>2624HB17</v>
          </cell>
          <cell r="D8272" t="str">
            <v>HV80</v>
          </cell>
          <cell r="E8272">
            <v>46202</v>
          </cell>
        </row>
        <row r="8273">
          <cell r="A8273" t="str">
            <v>2624P237</v>
          </cell>
          <cell r="D8273" t="str">
            <v>HV80</v>
          </cell>
          <cell r="E8273">
            <v>46202</v>
          </cell>
        </row>
        <row r="8274">
          <cell r="A8274" t="str">
            <v>2624LY27</v>
          </cell>
          <cell r="D8274" t="str">
            <v>HV80</v>
          </cell>
          <cell r="E8274">
            <v>46202</v>
          </cell>
        </row>
        <row r="8275">
          <cell r="A8275" t="str">
            <v>2624O627</v>
          </cell>
          <cell r="D8275" t="str">
            <v>HV80</v>
          </cell>
          <cell r="E8275">
            <v>46202</v>
          </cell>
        </row>
        <row r="8276">
          <cell r="A8276" t="str">
            <v>2624ON47</v>
          </cell>
          <cell r="D8276" t="str">
            <v>HV80</v>
          </cell>
          <cell r="E8276">
            <v>46202</v>
          </cell>
        </row>
        <row r="8277">
          <cell r="A8277" t="str">
            <v>2624OW37</v>
          </cell>
          <cell r="D8277" t="str">
            <v>HV80</v>
          </cell>
          <cell r="E8277">
            <v>46202</v>
          </cell>
        </row>
        <row r="8278">
          <cell r="A8278" t="str">
            <v>2625OI17</v>
          </cell>
          <cell r="D8278" t="str">
            <v>S706</v>
          </cell>
          <cell r="E8278">
            <v>46202</v>
          </cell>
        </row>
        <row r="8279">
          <cell r="A8279" t="str">
            <v>2624IZ57</v>
          </cell>
          <cell r="D8279" t="str">
            <v>FTW102K</v>
          </cell>
          <cell r="E8279">
            <v>46202</v>
          </cell>
        </row>
        <row r="8280">
          <cell r="A8280" t="str">
            <v>2624IJ37</v>
          </cell>
          <cell r="D8280" t="str">
            <v>FTW503</v>
          </cell>
          <cell r="E8280">
            <v>46202</v>
          </cell>
        </row>
        <row r="8281">
          <cell r="A8281" t="str">
            <v>2621HK47</v>
          </cell>
          <cell r="D8281" t="str">
            <v>KBP126</v>
          </cell>
          <cell r="E8281">
            <v>46202</v>
          </cell>
        </row>
        <row r="8282">
          <cell r="A8282" t="str">
            <v>2623I117</v>
          </cell>
          <cell r="D8282" t="str">
            <v>KBP86</v>
          </cell>
          <cell r="E8282">
            <v>46202</v>
          </cell>
        </row>
        <row r="8283">
          <cell r="A8283" t="str">
            <v>2623IQ57</v>
          </cell>
          <cell r="D8283" t="str">
            <v>FTW121KE</v>
          </cell>
          <cell r="E8283">
            <v>46202</v>
          </cell>
        </row>
        <row r="8284">
          <cell r="A8284" t="str">
            <v>2625Q317</v>
          </cell>
          <cell r="D8284" t="str">
            <v>KBP76</v>
          </cell>
          <cell r="E8284">
            <v>46202</v>
          </cell>
        </row>
        <row r="8285">
          <cell r="A8285" t="str">
            <v>2623LF67</v>
          </cell>
          <cell r="D8285" t="str">
            <v>TTS80</v>
          </cell>
          <cell r="E8285">
            <v>46202</v>
          </cell>
        </row>
        <row r="8286">
          <cell r="A8286" t="str">
            <v>2624S137</v>
          </cell>
          <cell r="D8286" t="str">
            <v>TTS50</v>
          </cell>
          <cell r="E8286">
            <v>46202</v>
          </cell>
        </row>
        <row r="8287">
          <cell r="A8287" t="str">
            <v>2625Q117</v>
          </cell>
          <cell r="D8287" t="str">
            <v>KBP76</v>
          </cell>
          <cell r="E8287">
            <v>46202</v>
          </cell>
        </row>
        <row r="8288">
          <cell r="A8288" t="str">
            <v>2625OH17</v>
          </cell>
          <cell r="D8288" t="str">
            <v>S706</v>
          </cell>
          <cell r="E8288">
            <v>46202</v>
          </cell>
        </row>
        <row r="8289">
          <cell r="A8289" t="str">
            <v>2625K217</v>
          </cell>
          <cell r="D8289" t="str">
            <v>FTW503</v>
          </cell>
          <cell r="E8289">
            <v>46202</v>
          </cell>
        </row>
        <row r="8290">
          <cell r="A8290" t="str">
            <v>2624H627</v>
          </cell>
          <cell r="D8290" t="str">
            <v>KBP86</v>
          </cell>
          <cell r="E8290">
            <v>46202</v>
          </cell>
        </row>
        <row r="8291">
          <cell r="A8291" t="str">
            <v>2624XT57</v>
          </cell>
          <cell r="D8291" t="str">
            <v>FTW503</v>
          </cell>
          <cell r="E8291">
            <v>46202</v>
          </cell>
        </row>
        <row r="8292">
          <cell r="A8292" t="str">
            <v>2624PR17</v>
          </cell>
          <cell r="D8292" t="str">
            <v>TTS80</v>
          </cell>
          <cell r="E8292">
            <v>46202</v>
          </cell>
        </row>
        <row r="8293">
          <cell r="A8293" t="str">
            <v>2624PD27</v>
          </cell>
          <cell r="D8293" t="str">
            <v>KBP76</v>
          </cell>
          <cell r="E8293">
            <v>46202</v>
          </cell>
        </row>
        <row r="8294">
          <cell r="A8294" t="str">
            <v>2623LK67</v>
          </cell>
          <cell r="D8294" t="str">
            <v>TTS80</v>
          </cell>
          <cell r="E8294">
            <v>46202</v>
          </cell>
        </row>
        <row r="8295">
          <cell r="A8295" t="str">
            <v>2623FH67</v>
          </cell>
          <cell r="D8295" t="str">
            <v>FTW121KE</v>
          </cell>
          <cell r="E8295">
            <v>46202</v>
          </cell>
        </row>
        <row r="8296">
          <cell r="A8296" t="str">
            <v>2624KJ37</v>
          </cell>
          <cell r="D8296" t="str">
            <v>FTW121KE</v>
          </cell>
          <cell r="E8296">
            <v>46202</v>
          </cell>
        </row>
        <row r="8297">
          <cell r="A8297" t="str">
            <v>2623G727</v>
          </cell>
          <cell r="D8297" t="str">
            <v>KBP86</v>
          </cell>
          <cell r="E8297">
            <v>46202</v>
          </cell>
        </row>
        <row r="8298">
          <cell r="A8298" t="str">
            <v>2625K517</v>
          </cell>
          <cell r="D8298" t="str">
            <v>FTW503</v>
          </cell>
          <cell r="E8298">
            <v>46202</v>
          </cell>
        </row>
        <row r="8299">
          <cell r="A8299" t="str">
            <v>2623AB57</v>
          </cell>
          <cell r="D8299" t="str">
            <v>KBP126</v>
          </cell>
          <cell r="E8299">
            <v>46202</v>
          </cell>
        </row>
        <row r="8300">
          <cell r="A8300" t="str">
            <v>2624IK37</v>
          </cell>
          <cell r="D8300" t="str">
            <v>FTW503</v>
          </cell>
          <cell r="E8300">
            <v>46202</v>
          </cell>
        </row>
        <row r="8301">
          <cell r="A8301" t="str">
            <v>2624XO57</v>
          </cell>
          <cell r="D8301" t="str">
            <v>FTW503</v>
          </cell>
          <cell r="E8301">
            <v>46202</v>
          </cell>
        </row>
        <row r="8302">
          <cell r="A8302" t="str">
            <v>2623K347</v>
          </cell>
          <cell r="D8302" t="str">
            <v>FTW700</v>
          </cell>
          <cell r="E8302">
            <v>46202</v>
          </cell>
        </row>
        <row r="8303">
          <cell r="A8303" t="str">
            <v>2624I967</v>
          </cell>
          <cell r="D8303" t="str">
            <v>TTS80</v>
          </cell>
          <cell r="E8303">
            <v>46202</v>
          </cell>
        </row>
        <row r="8304">
          <cell r="A8304" t="str">
            <v>2621HI47</v>
          </cell>
          <cell r="D8304" t="str">
            <v>KBP126</v>
          </cell>
          <cell r="E8304">
            <v>46202</v>
          </cell>
        </row>
        <row r="8305">
          <cell r="A8305" t="str">
            <v>2622LA27</v>
          </cell>
          <cell r="D8305" t="str">
            <v>KBP86</v>
          </cell>
          <cell r="E8305">
            <v>46202</v>
          </cell>
        </row>
        <row r="8306">
          <cell r="A8306" t="str">
            <v>2624IV37</v>
          </cell>
          <cell r="D8306" t="str">
            <v>FTW503</v>
          </cell>
          <cell r="E8306">
            <v>46202</v>
          </cell>
        </row>
        <row r="8307">
          <cell r="A8307" t="str">
            <v>2624JP27</v>
          </cell>
          <cell r="D8307" t="str">
            <v>FTW121KE</v>
          </cell>
          <cell r="E8307">
            <v>46202</v>
          </cell>
        </row>
        <row r="8308">
          <cell r="A8308" t="str">
            <v>2620UP57</v>
          </cell>
          <cell r="D8308" t="str">
            <v>S805</v>
          </cell>
          <cell r="E8308">
            <v>46202</v>
          </cell>
        </row>
        <row r="8309">
          <cell r="A8309" t="str">
            <v>2624BJ67</v>
          </cell>
          <cell r="D8309" t="str">
            <v>S805</v>
          </cell>
          <cell r="E8309">
            <v>46202</v>
          </cell>
        </row>
        <row r="8310">
          <cell r="A8310" t="str">
            <v>2624XR57</v>
          </cell>
          <cell r="D8310" t="str">
            <v>FTW503</v>
          </cell>
          <cell r="E8310">
            <v>46202</v>
          </cell>
        </row>
        <row r="8311">
          <cell r="A8311" t="str">
            <v>2625PU17</v>
          </cell>
          <cell r="D8311" t="str">
            <v>KBP52</v>
          </cell>
          <cell r="E8311">
            <v>46202</v>
          </cell>
        </row>
        <row r="8312">
          <cell r="A8312" t="str">
            <v>2624IO27</v>
          </cell>
          <cell r="D8312" t="str">
            <v>FTW503</v>
          </cell>
          <cell r="E8312">
            <v>46202</v>
          </cell>
        </row>
        <row r="8313">
          <cell r="A8313" t="str">
            <v>2622WD57</v>
          </cell>
          <cell r="D8313" t="str">
            <v>TTS50</v>
          </cell>
          <cell r="E8313">
            <v>46202</v>
          </cell>
        </row>
        <row r="8314">
          <cell r="A8314" t="str">
            <v>2624PR27</v>
          </cell>
          <cell r="D8314" t="str">
            <v>TTS50</v>
          </cell>
          <cell r="E8314">
            <v>46202</v>
          </cell>
        </row>
        <row r="8315">
          <cell r="A8315" t="str">
            <v>2622L827</v>
          </cell>
          <cell r="D8315" t="str">
            <v>KBP86</v>
          </cell>
          <cell r="E8315">
            <v>46202</v>
          </cell>
        </row>
        <row r="8316">
          <cell r="A8316" t="str">
            <v>2624IS37</v>
          </cell>
          <cell r="D8316" t="str">
            <v>FTW503</v>
          </cell>
          <cell r="E8316">
            <v>46202</v>
          </cell>
        </row>
        <row r="8317">
          <cell r="A8317" t="str">
            <v>2623O267</v>
          </cell>
          <cell r="D8317" t="str">
            <v>TTS80</v>
          </cell>
          <cell r="E8317">
            <v>46202</v>
          </cell>
        </row>
        <row r="8318">
          <cell r="A8318" t="str">
            <v>2623KI47</v>
          </cell>
          <cell r="D8318" t="str">
            <v>FTW121KE</v>
          </cell>
          <cell r="E8318">
            <v>46202</v>
          </cell>
        </row>
        <row r="8319">
          <cell r="A8319" t="str">
            <v>2625OA17</v>
          </cell>
          <cell r="D8319" t="str">
            <v>FTW700</v>
          </cell>
          <cell r="E8319">
            <v>46202</v>
          </cell>
        </row>
        <row r="8320">
          <cell r="A8320" t="str">
            <v>2624Q827</v>
          </cell>
          <cell r="D8320" t="str">
            <v>TTS80</v>
          </cell>
          <cell r="E8320">
            <v>46202</v>
          </cell>
        </row>
        <row r="8321">
          <cell r="A8321" t="str">
            <v>2624Q737</v>
          </cell>
          <cell r="D8321" t="str">
            <v>KBP76</v>
          </cell>
          <cell r="E8321">
            <v>46202</v>
          </cell>
        </row>
        <row r="8322">
          <cell r="A8322" t="str">
            <v>2622AC67</v>
          </cell>
          <cell r="D8322" t="str">
            <v>KBP86</v>
          </cell>
          <cell r="E8322">
            <v>46202</v>
          </cell>
        </row>
        <row r="8323">
          <cell r="A8323" t="str">
            <v>2624Q437</v>
          </cell>
          <cell r="D8323" t="str">
            <v>KBP76</v>
          </cell>
          <cell r="E8323">
            <v>46202</v>
          </cell>
        </row>
        <row r="8324">
          <cell r="A8324" t="str">
            <v>2624JA27</v>
          </cell>
          <cell r="D8324" t="str">
            <v>FTW102K</v>
          </cell>
          <cell r="E8324">
            <v>46202</v>
          </cell>
        </row>
        <row r="8325">
          <cell r="A8325" t="str">
            <v>2625KD17</v>
          </cell>
          <cell r="D8325" t="str">
            <v>FTW503</v>
          </cell>
          <cell r="E8325">
            <v>46202</v>
          </cell>
        </row>
        <row r="8326">
          <cell r="A8326" t="str">
            <v>2623S937</v>
          </cell>
          <cell r="D8326" t="str">
            <v>FTP200</v>
          </cell>
          <cell r="E8326">
            <v>46202</v>
          </cell>
        </row>
        <row r="8327">
          <cell r="A8327" t="str">
            <v>2625G517</v>
          </cell>
          <cell r="D8327" t="str">
            <v>KBP76</v>
          </cell>
          <cell r="E8327">
            <v>46202</v>
          </cell>
        </row>
        <row r="8328">
          <cell r="A8328" t="str">
            <v>2624IN17</v>
          </cell>
          <cell r="D8328" t="str">
            <v>KBP76</v>
          </cell>
          <cell r="E8328">
            <v>46202</v>
          </cell>
        </row>
        <row r="8329">
          <cell r="A8329" t="str">
            <v>2624H867</v>
          </cell>
          <cell r="D8329" t="str">
            <v>KBP74</v>
          </cell>
          <cell r="E8329">
            <v>46202</v>
          </cell>
        </row>
        <row r="8330">
          <cell r="A8330" t="str">
            <v>2624JD27</v>
          </cell>
          <cell r="D8330" t="str">
            <v>FTW102K</v>
          </cell>
          <cell r="E8330">
            <v>46202</v>
          </cell>
        </row>
        <row r="8331">
          <cell r="A8331" t="str">
            <v>2623KC67</v>
          </cell>
          <cell r="D8331" t="str">
            <v>KBP74</v>
          </cell>
          <cell r="E8331">
            <v>46202</v>
          </cell>
        </row>
        <row r="8332">
          <cell r="A8332" t="str">
            <v>2623GD67</v>
          </cell>
          <cell r="D8332" t="str">
            <v>KBP86</v>
          </cell>
          <cell r="E8332">
            <v>46202</v>
          </cell>
        </row>
        <row r="8333">
          <cell r="A8333" t="str">
            <v>2622DI67</v>
          </cell>
          <cell r="D8333" t="str">
            <v>KBP76</v>
          </cell>
          <cell r="E8333">
            <v>46202</v>
          </cell>
        </row>
        <row r="8334">
          <cell r="A8334" t="str">
            <v>2624GY67</v>
          </cell>
          <cell r="D8334" t="str">
            <v>STA156KA</v>
          </cell>
          <cell r="E8334">
            <v>46202</v>
          </cell>
        </row>
        <row r="8335">
          <cell r="A8335" t="str">
            <v>2623KQ67</v>
          </cell>
          <cell r="D8335" t="str">
            <v>TTS80</v>
          </cell>
          <cell r="E8335">
            <v>46202</v>
          </cell>
        </row>
        <row r="8336">
          <cell r="A8336" t="str">
            <v>2623GZ67</v>
          </cell>
          <cell r="D8336" t="str">
            <v>KBP52</v>
          </cell>
          <cell r="E8336">
            <v>46202</v>
          </cell>
        </row>
        <row r="8337">
          <cell r="A8337" t="str">
            <v>2623FL67</v>
          </cell>
          <cell r="D8337" t="str">
            <v>FTW121KE</v>
          </cell>
          <cell r="E8337">
            <v>46202</v>
          </cell>
        </row>
        <row r="8338">
          <cell r="A8338" t="str">
            <v>2623O547</v>
          </cell>
          <cell r="D8338" t="str">
            <v>FTP200</v>
          </cell>
          <cell r="E8338">
            <v>46202</v>
          </cell>
        </row>
        <row r="8339">
          <cell r="A8339" t="str">
            <v>2624CR17</v>
          </cell>
          <cell r="D8339" t="str">
            <v>KBP86</v>
          </cell>
          <cell r="E8339">
            <v>46202</v>
          </cell>
        </row>
        <row r="8340">
          <cell r="A8340" t="str">
            <v>2619BA47</v>
          </cell>
          <cell r="D8340" t="str">
            <v>TTS50</v>
          </cell>
          <cell r="E8340">
            <v>46202</v>
          </cell>
        </row>
        <row r="8341">
          <cell r="A8341" t="str">
            <v>2624HV27</v>
          </cell>
          <cell r="D8341" t="str">
            <v>S805</v>
          </cell>
          <cell r="E8341">
            <v>46202</v>
          </cell>
        </row>
        <row r="8342">
          <cell r="A8342" t="str">
            <v>2623KE47</v>
          </cell>
          <cell r="D8342" t="str">
            <v>FTW121KE</v>
          </cell>
          <cell r="E8342">
            <v>46202</v>
          </cell>
        </row>
        <row r="8343">
          <cell r="A8343" t="str">
            <v>2622AO67</v>
          </cell>
          <cell r="D8343" t="str">
            <v>KBP86</v>
          </cell>
          <cell r="E8343">
            <v>46202</v>
          </cell>
        </row>
        <row r="8344">
          <cell r="A8344" t="str">
            <v>2621L237</v>
          </cell>
          <cell r="D8344" t="str">
            <v>KBP86</v>
          </cell>
          <cell r="E8344">
            <v>46202</v>
          </cell>
        </row>
        <row r="8345">
          <cell r="A8345" t="str">
            <v>2624H427</v>
          </cell>
          <cell r="D8345" t="str">
            <v>KBP86</v>
          </cell>
          <cell r="E8345">
            <v>46202</v>
          </cell>
        </row>
        <row r="8346">
          <cell r="A8346" t="str">
            <v>2624K237</v>
          </cell>
          <cell r="D8346" t="str">
            <v>FTW102K</v>
          </cell>
          <cell r="E8346">
            <v>46202</v>
          </cell>
        </row>
        <row r="8347">
          <cell r="A8347" t="str">
            <v>2609Q757</v>
          </cell>
          <cell r="D8347" t="str">
            <v>KBP76</v>
          </cell>
          <cell r="E8347">
            <v>46202</v>
          </cell>
        </row>
        <row r="8348">
          <cell r="A8348" t="str">
            <v>2624L337</v>
          </cell>
          <cell r="D8348" t="str">
            <v>KBP86</v>
          </cell>
          <cell r="E8348">
            <v>46202</v>
          </cell>
        </row>
        <row r="8349">
          <cell r="A8349" t="str">
            <v>2623DF67</v>
          </cell>
          <cell r="D8349" t="str">
            <v>S805</v>
          </cell>
          <cell r="E8349">
            <v>46202</v>
          </cell>
        </row>
        <row r="8350">
          <cell r="A8350" t="str">
            <v>2624HW67</v>
          </cell>
          <cell r="D8350" t="str">
            <v>TTS80</v>
          </cell>
          <cell r="E8350">
            <v>46202</v>
          </cell>
        </row>
        <row r="8351">
          <cell r="A8351" t="str">
            <v>2623OE17</v>
          </cell>
          <cell r="D8351" t="str">
            <v>KBP52</v>
          </cell>
          <cell r="E8351">
            <v>46202</v>
          </cell>
        </row>
        <row r="8352">
          <cell r="A8352" t="str">
            <v>2624LQ47</v>
          </cell>
          <cell r="D8352" t="str">
            <v>FTW102K</v>
          </cell>
          <cell r="E8352">
            <v>46202</v>
          </cell>
        </row>
        <row r="8353">
          <cell r="A8353" t="str">
            <v>2624IN27</v>
          </cell>
          <cell r="D8353" t="str">
            <v>FTW503</v>
          </cell>
          <cell r="E8353">
            <v>46202</v>
          </cell>
        </row>
        <row r="8354">
          <cell r="A8354" t="str">
            <v>2623JL67</v>
          </cell>
          <cell r="D8354" t="str">
            <v>KBP76</v>
          </cell>
          <cell r="E8354">
            <v>46202</v>
          </cell>
        </row>
        <row r="8355">
          <cell r="A8355" t="str">
            <v>2619J117</v>
          </cell>
          <cell r="D8355" t="str">
            <v>TTS50</v>
          </cell>
          <cell r="E8355">
            <v>46202</v>
          </cell>
        </row>
        <row r="8356">
          <cell r="A8356" t="str">
            <v>2624XM57</v>
          </cell>
          <cell r="D8356" t="str">
            <v>FTW503</v>
          </cell>
          <cell r="E8356">
            <v>46202</v>
          </cell>
        </row>
        <row r="8357">
          <cell r="A8357" t="str">
            <v>2624LO47</v>
          </cell>
          <cell r="D8357" t="str">
            <v>FTW102K</v>
          </cell>
          <cell r="E8357">
            <v>46202</v>
          </cell>
        </row>
        <row r="8358">
          <cell r="A8358" t="str">
            <v>2624F117</v>
          </cell>
          <cell r="D8358" t="str">
            <v>FTW700</v>
          </cell>
          <cell r="E8358">
            <v>46202</v>
          </cell>
        </row>
        <row r="8359">
          <cell r="A8359" t="str">
            <v>2623IO57</v>
          </cell>
          <cell r="D8359" t="str">
            <v>FTW102K</v>
          </cell>
          <cell r="E8359">
            <v>46202</v>
          </cell>
        </row>
        <row r="8360">
          <cell r="A8360" t="str">
            <v>2623C627</v>
          </cell>
          <cell r="D8360" t="str">
            <v>KBP126</v>
          </cell>
          <cell r="E8360">
            <v>46202</v>
          </cell>
        </row>
        <row r="8361">
          <cell r="A8361" t="str">
            <v>2623KM67</v>
          </cell>
          <cell r="D8361" t="str">
            <v>FTP200</v>
          </cell>
          <cell r="E8361">
            <v>46202</v>
          </cell>
        </row>
        <row r="8362">
          <cell r="A8362" t="str">
            <v>2623HJ57</v>
          </cell>
          <cell r="D8362" t="str">
            <v>S805</v>
          </cell>
          <cell r="E8362">
            <v>46202</v>
          </cell>
        </row>
        <row r="8363">
          <cell r="A8363" t="str">
            <v>2624FV17</v>
          </cell>
          <cell r="D8363" t="str">
            <v>KBP86</v>
          </cell>
          <cell r="E8363">
            <v>46202</v>
          </cell>
        </row>
        <row r="8364">
          <cell r="A8364" t="str">
            <v>2624KK37</v>
          </cell>
          <cell r="D8364" t="str">
            <v>FTW121KE</v>
          </cell>
          <cell r="E8364">
            <v>46202</v>
          </cell>
        </row>
        <row r="8365">
          <cell r="A8365" t="str">
            <v>2624JW37</v>
          </cell>
          <cell r="D8365" t="str">
            <v>FTW700</v>
          </cell>
          <cell r="E8365">
            <v>46202</v>
          </cell>
        </row>
        <row r="8366">
          <cell r="A8366" t="str">
            <v>2624I627</v>
          </cell>
          <cell r="D8366" t="str">
            <v>FTW503</v>
          </cell>
          <cell r="E8366">
            <v>46202</v>
          </cell>
        </row>
        <row r="8367">
          <cell r="A8367" t="str">
            <v>2623G867</v>
          </cell>
          <cell r="D8367" t="str">
            <v>KBP86</v>
          </cell>
          <cell r="E8367">
            <v>46202</v>
          </cell>
        </row>
        <row r="8368">
          <cell r="A8368" t="str">
            <v>2624CT17</v>
          </cell>
          <cell r="D8368" t="str">
            <v>KBP86</v>
          </cell>
          <cell r="E8368">
            <v>46202</v>
          </cell>
        </row>
        <row r="8369">
          <cell r="A8369" t="str">
            <v>2624KW47</v>
          </cell>
          <cell r="D8369" t="str">
            <v>FTW503</v>
          </cell>
          <cell r="E8369">
            <v>46202</v>
          </cell>
        </row>
        <row r="8370">
          <cell r="A8370" t="str">
            <v>2624IG57</v>
          </cell>
          <cell r="D8370" t="str">
            <v>FTP150</v>
          </cell>
          <cell r="E8370">
            <v>46202</v>
          </cell>
        </row>
        <row r="8371">
          <cell r="A8371" t="str">
            <v>2624XS57</v>
          </cell>
          <cell r="D8371" t="str">
            <v>FTW503</v>
          </cell>
          <cell r="E8371">
            <v>46202</v>
          </cell>
        </row>
        <row r="8372">
          <cell r="A8372" t="str">
            <v>2624HA67</v>
          </cell>
          <cell r="D8372" t="str">
            <v>KBP74</v>
          </cell>
          <cell r="E8372">
            <v>46202</v>
          </cell>
        </row>
        <row r="8373">
          <cell r="A8373" t="str">
            <v>2624JU27</v>
          </cell>
          <cell r="D8373" t="str">
            <v>FTW121KE</v>
          </cell>
          <cell r="E8373">
            <v>46202</v>
          </cell>
        </row>
        <row r="8374">
          <cell r="A8374" t="str">
            <v>2623FR67</v>
          </cell>
          <cell r="D8374" t="str">
            <v>FTW121KE</v>
          </cell>
          <cell r="E8374">
            <v>46202</v>
          </cell>
        </row>
        <row r="8375">
          <cell r="A8375" t="str">
            <v>2624GO67</v>
          </cell>
          <cell r="D8375" t="str">
            <v>KBP76</v>
          </cell>
          <cell r="E8375">
            <v>46202</v>
          </cell>
        </row>
        <row r="8376">
          <cell r="A8376" t="str">
            <v>2623AV67</v>
          </cell>
          <cell r="D8376" t="str">
            <v>STA200KA</v>
          </cell>
          <cell r="E8376">
            <v>46202</v>
          </cell>
        </row>
        <row r="8377">
          <cell r="A8377" t="str">
            <v>2624JJ57</v>
          </cell>
          <cell r="D8377" t="str">
            <v>FTW102K</v>
          </cell>
          <cell r="E8377">
            <v>46202</v>
          </cell>
        </row>
        <row r="8378">
          <cell r="A8378" t="str">
            <v>2625LL27</v>
          </cell>
          <cell r="D8378" t="str">
            <v>FTW503</v>
          </cell>
          <cell r="E8378">
            <v>46202</v>
          </cell>
        </row>
        <row r="8379">
          <cell r="A8379" t="str">
            <v>2621HH47</v>
          </cell>
          <cell r="D8379" t="str">
            <v>KBP126</v>
          </cell>
          <cell r="E8379">
            <v>46202</v>
          </cell>
        </row>
        <row r="8380">
          <cell r="A8380" t="str">
            <v>2623KS37</v>
          </cell>
          <cell r="D8380" t="str">
            <v>TTS50</v>
          </cell>
          <cell r="E8380">
            <v>46202</v>
          </cell>
        </row>
        <row r="8381">
          <cell r="A8381" t="str">
            <v>2625QJ17</v>
          </cell>
          <cell r="D8381" t="str">
            <v>KBP55</v>
          </cell>
          <cell r="E8381">
            <v>46202</v>
          </cell>
        </row>
        <row r="8382">
          <cell r="A8382" t="str">
            <v>2623FI67</v>
          </cell>
          <cell r="D8382" t="str">
            <v>FTW121KE</v>
          </cell>
          <cell r="E8382">
            <v>46202</v>
          </cell>
        </row>
        <row r="8383">
          <cell r="A8383" t="str">
            <v>2624IG27</v>
          </cell>
          <cell r="D8383" t="str">
            <v>FTW503</v>
          </cell>
          <cell r="E8383">
            <v>46202</v>
          </cell>
        </row>
        <row r="8384">
          <cell r="A8384" t="str">
            <v>2624O947</v>
          </cell>
          <cell r="D8384" t="str">
            <v>FTW700</v>
          </cell>
          <cell r="E8384">
            <v>46202</v>
          </cell>
        </row>
        <row r="8385">
          <cell r="A8385" t="str">
            <v>2624I667</v>
          </cell>
          <cell r="D8385" t="str">
            <v>TTS80</v>
          </cell>
          <cell r="E8385">
            <v>46202</v>
          </cell>
        </row>
        <row r="8386">
          <cell r="A8386" t="str">
            <v>2623KK67</v>
          </cell>
          <cell r="D8386" t="str">
            <v>FTP200</v>
          </cell>
          <cell r="E8386">
            <v>46202</v>
          </cell>
        </row>
        <row r="8387">
          <cell r="A8387" t="str">
            <v>2625J217</v>
          </cell>
          <cell r="D8387" t="str">
            <v>S805</v>
          </cell>
          <cell r="E8387">
            <v>46202</v>
          </cell>
        </row>
        <row r="8388">
          <cell r="A8388" t="str">
            <v>2624JQ37</v>
          </cell>
          <cell r="D8388" t="str">
            <v>TTS50</v>
          </cell>
          <cell r="E8388">
            <v>46202</v>
          </cell>
        </row>
        <row r="8389">
          <cell r="A8389" t="str">
            <v>2624JS27</v>
          </cell>
          <cell r="D8389" t="str">
            <v>FTW121KE</v>
          </cell>
          <cell r="E8389">
            <v>46202</v>
          </cell>
        </row>
        <row r="8390">
          <cell r="A8390" t="str">
            <v>2624IQ37</v>
          </cell>
          <cell r="D8390" t="str">
            <v>FTW503</v>
          </cell>
          <cell r="E8390">
            <v>46202</v>
          </cell>
        </row>
        <row r="8391">
          <cell r="A8391" t="str">
            <v>2622UX57</v>
          </cell>
          <cell r="D8391" t="str">
            <v>KBP76</v>
          </cell>
          <cell r="E8391">
            <v>46202</v>
          </cell>
        </row>
        <row r="8392">
          <cell r="A8392" t="str">
            <v>2624BT17</v>
          </cell>
          <cell r="D8392" t="str">
            <v>KBP126</v>
          </cell>
          <cell r="E8392">
            <v>46202</v>
          </cell>
        </row>
        <row r="8393">
          <cell r="A8393" t="str">
            <v>2623CW67</v>
          </cell>
          <cell r="D8393" t="str">
            <v>KBP76</v>
          </cell>
          <cell r="E8393">
            <v>46202</v>
          </cell>
        </row>
        <row r="8394">
          <cell r="A8394" t="str">
            <v>2625ZP37</v>
          </cell>
          <cell r="D8394" t="str">
            <v>FTW700</v>
          </cell>
          <cell r="E8394">
            <v>46202</v>
          </cell>
        </row>
        <row r="8395">
          <cell r="A8395" t="str">
            <v>2623KA67</v>
          </cell>
          <cell r="D8395" t="str">
            <v>KBP74</v>
          </cell>
          <cell r="E8395">
            <v>46202</v>
          </cell>
        </row>
        <row r="8396">
          <cell r="A8396" t="str">
            <v>2624JF27</v>
          </cell>
          <cell r="D8396" t="str">
            <v>FTW121KE</v>
          </cell>
          <cell r="E8396">
            <v>46202</v>
          </cell>
        </row>
        <row r="8397">
          <cell r="A8397" t="str">
            <v>2625PW17</v>
          </cell>
          <cell r="D8397" t="str">
            <v>KBP76</v>
          </cell>
          <cell r="E8397">
            <v>46202</v>
          </cell>
        </row>
        <row r="8398">
          <cell r="A8398" t="str">
            <v>2617F427</v>
          </cell>
          <cell r="D8398" t="str">
            <v>KBP76</v>
          </cell>
          <cell r="E8398">
            <v>46202</v>
          </cell>
        </row>
        <row r="8399">
          <cell r="A8399" t="str">
            <v>2624Q147</v>
          </cell>
          <cell r="D8399" t="str">
            <v>TTS80</v>
          </cell>
          <cell r="E8399">
            <v>46202</v>
          </cell>
        </row>
        <row r="8400">
          <cell r="A8400" t="str">
            <v>2623O247</v>
          </cell>
          <cell r="D8400" t="str">
            <v>KBP55</v>
          </cell>
          <cell r="E8400">
            <v>46202</v>
          </cell>
        </row>
        <row r="8401">
          <cell r="A8401" t="str">
            <v>2625KF27</v>
          </cell>
          <cell r="D8401" t="str">
            <v>KBP76</v>
          </cell>
          <cell r="E8401">
            <v>46202</v>
          </cell>
        </row>
        <row r="8402">
          <cell r="A8402" t="str">
            <v>2621HG47</v>
          </cell>
          <cell r="D8402" t="str">
            <v>KBP126</v>
          </cell>
          <cell r="E8402">
            <v>46202</v>
          </cell>
        </row>
        <row r="8403">
          <cell r="A8403" t="str">
            <v>2624GI17</v>
          </cell>
          <cell r="D8403" t="str">
            <v>KBP52</v>
          </cell>
          <cell r="E8403">
            <v>46202</v>
          </cell>
        </row>
        <row r="8404">
          <cell r="A8404" t="str">
            <v>2623SM37</v>
          </cell>
          <cell r="D8404" t="str">
            <v>TTS80</v>
          </cell>
          <cell r="E8404">
            <v>46202</v>
          </cell>
        </row>
        <row r="8405">
          <cell r="A8405" t="str">
            <v>2625JV17</v>
          </cell>
          <cell r="D8405" t="str">
            <v>FTW503</v>
          </cell>
          <cell r="E8405">
            <v>46202</v>
          </cell>
        </row>
        <row r="8406">
          <cell r="A8406" t="str">
            <v>2624J457</v>
          </cell>
          <cell r="D8406" t="str">
            <v>FTW102K</v>
          </cell>
          <cell r="E8406">
            <v>46202</v>
          </cell>
        </row>
        <row r="8407">
          <cell r="A8407" t="str">
            <v>2622S847</v>
          </cell>
          <cell r="D8407" t="str">
            <v>KBP86</v>
          </cell>
          <cell r="E8407">
            <v>46202</v>
          </cell>
        </row>
        <row r="8408">
          <cell r="A8408" t="str">
            <v>2624IP67</v>
          </cell>
          <cell r="D8408" t="str">
            <v>TTS80</v>
          </cell>
          <cell r="E8408">
            <v>46202</v>
          </cell>
        </row>
        <row r="8409">
          <cell r="A8409" t="str">
            <v>2623L837</v>
          </cell>
          <cell r="D8409" t="str">
            <v>FTW121KE</v>
          </cell>
          <cell r="E8409">
            <v>46202</v>
          </cell>
        </row>
        <row r="8410">
          <cell r="A8410" t="str">
            <v>2624PJ17</v>
          </cell>
          <cell r="D8410" t="str">
            <v>TTS80</v>
          </cell>
          <cell r="E8410">
            <v>46202</v>
          </cell>
        </row>
        <row r="8411">
          <cell r="A8411" t="str">
            <v>2625PT17</v>
          </cell>
          <cell r="D8411" t="str">
            <v>KBP52</v>
          </cell>
          <cell r="E8411">
            <v>46202</v>
          </cell>
        </row>
        <row r="8412">
          <cell r="A8412" t="str">
            <v>2623F467</v>
          </cell>
          <cell r="D8412" t="str">
            <v>FTW121KE</v>
          </cell>
          <cell r="E8412">
            <v>46202</v>
          </cell>
        </row>
        <row r="8413">
          <cell r="A8413" t="str">
            <v>2624K427</v>
          </cell>
          <cell r="D8413" t="str">
            <v>KBP86</v>
          </cell>
          <cell r="E8413">
            <v>46202</v>
          </cell>
        </row>
        <row r="8414">
          <cell r="A8414" t="str">
            <v>2624OI47</v>
          </cell>
          <cell r="D8414" t="str">
            <v>KBP52</v>
          </cell>
          <cell r="E8414">
            <v>46202</v>
          </cell>
        </row>
        <row r="8415">
          <cell r="A8415" t="str">
            <v>2624PQ17</v>
          </cell>
          <cell r="D8415" t="str">
            <v>TTS80</v>
          </cell>
          <cell r="E8415">
            <v>46202</v>
          </cell>
        </row>
        <row r="8416">
          <cell r="A8416" t="str">
            <v>2620YP17</v>
          </cell>
          <cell r="D8416" t="str">
            <v>KBP86</v>
          </cell>
          <cell r="E8416">
            <v>46202</v>
          </cell>
        </row>
        <row r="8417">
          <cell r="A8417" t="str">
            <v>2624KC37</v>
          </cell>
          <cell r="D8417" t="str">
            <v>FTW121KE</v>
          </cell>
          <cell r="E8417">
            <v>46202</v>
          </cell>
        </row>
        <row r="8418">
          <cell r="A8418" t="str">
            <v>2624HO67</v>
          </cell>
          <cell r="D8418" t="str">
            <v>TTS50</v>
          </cell>
          <cell r="E8418">
            <v>46202</v>
          </cell>
        </row>
        <row r="8419">
          <cell r="A8419" t="str">
            <v>2624FC67</v>
          </cell>
          <cell r="D8419" t="str">
            <v>TTS50</v>
          </cell>
          <cell r="E8419">
            <v>46202</v>
          </cell>
        </row>
        <row r="8420">
          <cell r="A8420" t="str">
            <v>2624FA67</v>
          </cell>
          <cell r="D8420" t="str">
            <v>TTS50</v>
          </cell>
          <cell r="E8420">
            <v>46202</v>
          </cell>
        </row>
        <row r="8421">
          <cell r="A8421" t="str">
            <v>2623CR67</v>
          </cell>
          <cell r="D8421" t="str">
            <v>KBP76</v>
          </cell>
          <cell r="E8421">
            <v>46202</v>
          </cell>
        </row>
        <row r="8422">
          <cell r="A8422" t="str">
            <v>2624JK27</v>
          </cell>
          <cell r="D8422" t="str">
            <v>FTW121KE</v>
          </cell>
          <cell r="E8422">
            <v>46202</v>
          </cell>
        </row>
        <row r="8423">
          <cell r="A8423" t="str">
            <v>2624KL37</v>
          </cell>
          <cell r="D8423" t="str">
            <v>FTW121KE</v>
          </cell>
          <cell r="E8423">
            <v>46202</v>
          </cell>
        </row>
        <row r="8424">
          <cell r="A8424" t="str">
            <v>2624FH17</v>
          </cell>
          <cell r="D8424" t="str">
            <v>FTW121KE</v>
          </cell>
          <cell r="E8424">
            <v>46202</v>
          </cell>
        </row>
        <row r="8425">
          <cell r="A8425" t="str">
            <v>2623HU27</v>
          </cell>
          <cell r="D8425" t="str">
            <v>TTS50</v>
          </cell>
          <cell r="E8425">
            <v>46202</v>
          </cell>
        </row>
        <row r="8426">
          <cell r="A8426" t="str">
            <v>2624OW47</v>
          </cell>
          <cell r="D8426" t="str">
            <v>TTS50</v>
          </cell>
          <cell r="E8426">
            <v>46202</v>
          </cell>
        </row>
        <row r="8427">
          <cell r="A8427" t="str">
            <v>2625PI17</v>
          </cell>
          <cell r="D8427" t="str">
            <v>S706</v>
          </cell>
          <cell r="E8427">
            <v>46202</v>
          </cell>
        </row>
        <row r="8428">
          <cell r="A8428" t="str">
            <v>2624FG67</v>
          </cell>
          <cell r="D8428" t="str">
            <v>S706</v>
          </cell>
          <cell r="E8428">
            <v>46202</v>
          </cell>
        </row>
        <row r="8429">
          <cell r="A8429" t="str">
            <v>2623FB50</v>
          </cell>
          <cell r="D8429" t="str">
            <v>STA200KA</v>
          </cell>
          <cell r="E8429">
            <v>46202</v>
          </cell>
        </row>
        <row r="8430">
          <cell r="A8430" t="str">
            <v>2625QQ27</v>
          </cell>
          <cell r="D8430" t="str">
            <v>S706</v>
          </cell>
          <cell r="E8430">
            <v>46202</v>
          </cell>
        </row>
        <row r="8431">
          <cell r="A8431" t="str">
            <v>2625QO27</v>
          </cell>
          <cell r="D8431" t="str">
            <v>S706</v>
          </cell>
          <cell r="E8431">
            <v>46202</v>
          </cell>
        </row>
        <row r="8432">
          <cell r="A8432" t="str">
            <v>2625PK17</v>
          </cell>
          <cell r="D8432" t="str">
            <v>S706</v>
          </cell>
          <cell r="E8432">
            <v>46202</v>
          </cell>
        </row>
        <row r="8433">
          <cell r="A8433" t="str">
            <v>2625QU27</v>
          </cell>
          <cell r="D8433" t="str">
            <v>S706</v>
          </cell>
          <cell r="E8433">
            <v>46202</v>
          </cell>
        </row>
        <row r="8434">
          <cell r="A8434" t="str">
            <v>2622CQ67</v>
          </cell>
          <cell r="D8434" t="str">
            <v>TTS50</v>
          </cell>
          <cell r="E8434">
            <v>46202</v>
          </cell>
        </row>
        <row r="8435">
          <cell r="A8435" t="str">
            <v>2625PG17</v>
          </cell>
          <cell r="D8435" t="str">
            <v>S706</v>
          </cell>
          <cell r="E8435">
            <v>46202</v>
          </cell>
        </row>
        <row r="8436">
          <cell r="A8436" t="str">
            <v>2625PP17</v>
          </cell>
          <cell r="D8436" t="str">
            <v>S706</v>
          </cell>
          <cell r="E8436">
            <v>46202</v>
          </cell>
        </row>
        <row r="8437">
          <cell r="A8437" t="str">
            <v>2625QP27</v>
          </cell>
          <cell r="D8437" t="str">
            <v>S706</v>
          </cell>
          <cell r="E8437">
            <v>46202</v>
          </cell>
        </row>
        <row r="8438">
          <cell r="A8438" t="str">
            <v>2624O227</v>
          </cell>
          <cell r="D8438" t="str">
            <v>HV80</v>
          </cell>
          <cell r="E8438">
            <v>46201</v>
          </cell>
        </row>
        <row r="8439">
          <cell r="A8439" t="str">
            <v>2623F847</v>
          </cell>
          <cell r="D8439" t="str">
            <v>KBP76</v>
          </cell>
          <cell r="E8439">
            <v>46201</v>
          </cell>
        </row>
        <row r="8440">
          <cell r="A8440" t="str">
            <v>2624LX27</v>
          </cell>
          <cell r="D8440" t="str">
            <v>HV80</v>
          </cell>
          <cell r="E8440">
            <v>46201</v>
          </cell>
        </row>
        <row r="8441">
          <cell r="A8441" t="str">
            <v>2625JB17</v>
          </cell>
          <cell r="D8441" t="str">
            <v>S805</v>
          </cell>
          <cell r="E8441">
            <v>46201</v>
          </cell>
        </row>
        <row r="8442">
          <cell r="A8442" t="str">
            <v>2624O527</v>
          </cell>
          <cell r="D8442" t="str">
            <v>HV80</v>
          </cell>
          <cell r="E8442">
            <v>46201</v>
          </cell>
        </row>
        <row r="8443">
          <cell r="A8443" t="str">
            <v>2616Z557</v>
          </cell>
          <cell r="D8443" t="str">
            <v>KBP86</v>
          </cell>
          <cell r="E8443">
            <v>46201</v>
          </cell>
        </row>
        <row r="8444">
          <cell r="A8444" t="str">
            <v>2625LM47</v>
          </cell>
          <cell r="D8444" t="str">
            <v>KBP74</v>
          </cell>
          <cell r="E8444">
            <v>46201</v>
          </cell>
        </row>
        <row r="8445">
          <cell r="A8445" t="str">
            <v>2623DE67</v>
          </cell>
          <cell r="D8445" t="str">
            <v>S805</v>
          </cell>
          <cell r="E8445">
            <v>46201</v>
          </cell>
        </row>
        <row r="8446">
          <cell r="A8446" t="str">
            <v>2621PJ27</v>
          </cell>
          <cell r="D8446" t="str">
            <v>KBP74</v>
          </cell>
          <cell r="E8446">
            <v>46201</v>
          </cell>
        </row>
        <row r="8447">
          <cell r="A8447" t="str">
            <v>2617Z717</v>
          </cell>
          <cell r="D8447" t="str">
            <v>KBP86</v>
          </cell>
          <cell r="E8447">
            <v>46201</v>
          </cell>
        </row>
        <row r="8448">
          <cell r="A8448" t="str">
            <v>2624KG47</v>
          </cell>
          <cell r="D8448" t="str">
            <v>S805</v>
          </cell>
          <cell r="E8448">
            <v>46201</v>
          </cell>
        </row>
        <row r="8449">
          <cell r="A8449" t="str">
            <v>2623DG67</v>
          </cell>
          <cell r="D8449" t="str">
            <v>S805</v>
          </cell>
          <cell r="E8449">
            <v>46201</v>
          </cell>
        </row>
        <row r="8450">
          <cell r="A8450" t="str">
            <v>2623ID67</v>
          </cell>
          <cell r="D8450" t="str">
            <v>HV80</v>
          </cell>
          <cell r="E8450">
            <v>46201</v>
          </cell>
        </row>
        <row r="8451">
          <cell r="A8451" t="str">
            <v>2623KR47</v>
          </cell>
          <cell r="D8451" t="str">
            <v>FTP200</v>
          </cell>
          <cell r="E8451">
            <v>46201</v>
          </cell>
        </row>
        <row r="8452">
          <cell r="A8452" t="str">
            <v>2623DJ67</v>
          </cell>
          <cell r="D8452" t="str">
            <v>FTW503</v>
          </cell>
          <cell r="E8452">
            <v>46201</v>
          </cell>
        </row>
        <row r="8453">
          <cell r="A8453" t="str">
            <v>2624E467</v>
          </cell>
          <cell r="D8453" t="str">
            <v>KBP86</v>
          </cell>
          <cell r="E8453">
            <v>46201</v>
          </cell>
        </row>
        <row r="8454">
          <cell r="A8454" t="str">
            <v>2624BS27</v>
          </cell>
          <cell r="D8454" t="str">
            <v>KBP126</v>
          </cell>
          <cell r="E8454">
            <v>46201</v>
          </cell>
        </row>
        <row r="8455">
          <cell r="A8455" t="str">
            <v>2623KA57</v>
          </cell>
          <cell r="D8455" t="str">
            <v>KBP55</v>
          </cell>
          <cell r="E8455">
            <v>46201</v>
          </cell>
        </row>
        <row r="8456">
          <cell r="A8456" t="str">
            <v>2619SN27</v>
          </cell>
          <cell r="D8456" t="str">
            <v>TTS50</v>
          </cell>
          <cell r="E8456">
            <v>46201</v>
          </cell>
        </row>
        <row r="8457">
          <cell r="A8457" t="str">
            <v>2624HN67</v>
          </cell>
          <cell r="D8457" t="str">
            <v>TTS50</v>
          </cell>
          <cell r="E8457">
            <v>46201</v>
          </cell>
        </row>
        <row r="8458">
          <cell r="A8458" t="str">
            <v>2624FI67</v>
          </cell>
          <cell r="D8458" t="str">
            <v>S706</v>
          </cell>
          <cell r="E8458">
            <v>46201</v>
          </cell>
        </row>
        <row r="8459">
          <cell r="A8459" t="str">
            <v>2624QY37</v>
          </cell>
          <cell r="D8459" t="str">
            <v>TTS50</v>
          </cell>
          <cell r="E8459">
            <v>46201</v>
          </cell>
        </row>
        <row r="8460">
          <cell r="A8460" t="str">
            <v>2624LW57</v>
          </cell>
          <cell r="D8460" t="str">
            <v>KBP76</v>
          </cell>
          <cell r="E8460">
            <v>46201</v>
          </cell>
        </row>
        <row r="8461">
          <cell r="A8461" t="str">
            <v>2622LS57</v>
          </cell>
          <cell r="D8461" t="str">
            <v>KBP126</v>
          </cell>
          <cell r="E8461">
            <v>46201</v>
          </cell>
        </row>
        <row r="8462">
          <cell r="A8462" t="str">
            <v>2624BB67</v>
          </cell>
          <cell r="D8462" t="str">
            <v>KBP76</v>
          </cell>
          <cell r="E8462">
            <v>46201</v>
          </cell>
        </row>
        <row r="8463">
          <cell r="A8463" t="str">
            <v>2624II37</v>
          </cell>
          <cell r="D8463" t="str">
            <v>FTW503</v>
          </cell>
          <cell r="E8463">
            <v>46201</v>
          </cell>
        </row>
        <row r="8464">
          <cell r="A8464" t="str">
            <v>2624P347</v>
          </cell>
          <cell r="D8464" t="str">
            <v>S706</v>
          </cell>
          <cell r="E8464">
            <v>46201</v>
          </cell>
        </row>
        <row r="8465">
          <cell r="A8465" t="str">
            <v>2623LD17</v>
          </cell>
          <cell r="D8465" t="str">
            <v>KBP86</v>
          </cell>
          <cell r="E8465">
            <v>46201</v>
          </cell>
        </row>
        <row r="8466">
          <cell r="A8466" t="str">
            <v>2622XL57</v>
          </cell>
          <cell r="D8466" t="str">
            <v>FTW121KE</v>
          </cell>
          <cell r="E8466">
            <v>46201</v>
          </cell>
        </row>
        <row r="8467">
          <cell r="A8467" t="str">
            <v>2623FG67</v>
          </cell>
          <cell r="D8467" t="str">
            <v>FTW121KE</v>
          </cell>
          <cell r="E8467">
            <v>46201</v>
          </cell>
        </row>
        <row r="8468">
          <cell r="A8468" t="str">
            <v>2625LJ17</v>
          </cell>
          <cell r="D8468" t="str">
            <v>FTW121KE</v>
          </cell>
          <cell r="E8468">
            <v>46201</v>
          </cell>
        </row>
        <row r="8469">
          <cell r="A8469" t="str">
            <v>2618UD47</v>
          </cell>
          <cell r="D8469" t="str">
            <v>KBP86</v>
          </cell>
          <cell r="E8469">
            <v>46201</v>
          </cell>
        </row>
        <row r="8470">
          <cell r="A8470" t="str">
            <v>2623FZ67</v>
          </cell>
          <cell r="D8470" t="str">
            <v>KBP86</v>
          </cell>
          <cell r="E8470">
            <v>46201</v>
          </cell>
        </row>
        <row r="8471">
          <cell r="A8471" t="str">
            <v>2624QL37</v>
          </cell>
          <cell r="D8471" t="str">
            <v>STA156KA</v>
          </cell>
          <cell r="E8471">
            <v>46201</v>
          </cell>
        </row>
        <row r="8472">
          <cell r="A8472" t="str">
            <v>2621CP67</v>
          </cell>
          <cell r="D8472" t="str">
            <v>KBP86</v>
          </cell>
          <cell r="E8472">
            <v>46201</v>
          </cell>
        </row>
        <row r="8473">
          <cell r="A8473" t="str">
            <v>2624Q527</v>
          </cell>
          <cell r="D8473" t="str">
            <v>TTS80</v>
          </cell>
          <cell r="E8473">
            <v>46201</v>
          </cell>
        </row>
        <row r="8474">
          <cell r="A8474" t="str">
            <v>2624H227</v>
          </cell>
          <cell r="D8474" t="str">
            <v>KBP86</v>
          </cell>
          <cell r="E8474">
            <v>46201</v>
          </cell>
        </row>
        <row r="8475">
          <cell r="A8475" t="str">
            <v>2624LT47</v>
          </cell>
          <cell r="D8475" t="str">
            <v>FTW121KE</v>
          </cell>
          <cell r="E8475">
            <v>46201</v>
          </cell>
        </row>
        <row r="8476">
          <cell r="A8476" t="str">
            <v>2623S157</v>
          </cell>
          <cell r="D8476" t="str">
            <v>KBP86</v>
          </cell>
          <cell r="E8476">
            <v>46201</v>
          </cell>
        </row>
        <row r="8477">
          <cell r="A8477" t="str">
            <v>2611QQ17</v>
          </cell>
          <cell r="D8477" t="str">
            <v>KBP76</v>
          </cell>
          <cell r="E8477">
            <v>46201</v>
          </cell>
        </row>
        <row r="8478">
          <cell r="A8478" t="str">
            <v>2624J837</v>
          </cell>
          <cell r="D8478" t="str">
            <v>FTW503</v>
          </cell>
          <cell r="E8478">
            <v>46201</v>
          </cell>
        </row>
        <row r="8479">
          <cell r="A8479" t="str">
            <v>2624KA37</v>
          </cell>
          <cell r="D8479" t="str">
            <v>FTW121KE</v>
          </cell>
          <cell r="E8479">
            <v>46201</v>
          </cell>
        </row>
        <row r="8480">
          <cell r="A8480" t="str">
            <v>2625PV17</v>
          </cell>
          <cell r="D8480" t="str">
            <v>KBP52</v>
          </cell>
          <cell r="E8480">
            <v>46201</v>
          </cell>
        </row>
        <row r="8481">
          <cell r="A8481" t="str">
            <v>2623LJ67</v>
          </cell>
          <cell r="D8481" t="str">
            <v>TTS80</v>
          </cell>
          <cell r="E8481">
            <v>46201</v>
          </cell>
        </row>
        <row r="8482">
          <cell r="A8482" t="str">
            <v>2624HY67</v>
          </cell>
          <cell r="D8482" t="str">
            <v>TTS80</v>
          </cell>
          <cell r="E8482">
            <v>46201</v>
          </cell>
        </row>
        <row r="8483">
          <cell r="A8483" t="str">
            <v>2624FJ17</v>
          </cell>
          <cell r="D8483" t="str">
            <v>FTW121KE</v>
          </cell>
          <cell r="E8483">
            <v>46201</v>
          </cell>
        </row>
        <row r="8484">
          <cell r="A8484" t="str">
            <v>2622K617</v>
          </cell>
          <cell r="D8484" t="str">
            <v>KBP126</v>
          </cell>
          <cell r="E8484">
            <v>46201</v>
          </cell>
        </row>
        <row r="8485">
          <cell r="A8485" t="str">
            <v>2623LY67</v>
          </cell>
          <cell r="D8485" t="str">
            <v>TTS80</v>
          </cell>
          <cell r="E8485">
            <v>46201</v>
          </cell>
        </row>
        <row r="8486">
          <cell r="A8486" t="str">
            <v>2624DO17</v>
          </cell>
          <cell r="D8486" t="str">
            <v>FTW503</v>
          </cell>
          <cell r="E8486">
            <v>46201</v>
          </cell>
        </row>
        <row r="8487">
          <cell r="A8487" t="str">
            <v>2625JZ17</v>
          </cell>
          <cell r="D8487" t="str">
            <v>FTW503</v>
          </cell>
          <cell r="E8487">
            <v>46201</v>
          </cell>
        </row>
        <row r="8488">
          <cell r="A8488" t="str">
            <v>2624GT67</v>
          </cell>
          <cell r="D8488" t="str">
            <v>KBP76</v>
          </cell>
          <cell r="E8488">
            <v>46201</v>
          </cell>
        </row>
        <row r="8489">
          <cell r="A8489" t="str">
            <v>2622LW57</v>
          </cell>
          <cell r="D8489" t="str">
            <v>KBP126</v>
          </cell>
          <cell r="E8489">
            <v>46201</v>
          </cell>
        </row>
        <row r="8490">
          <cell r="A8490" t="str">
            <v>2621CV67</v>
          </cell>
          <cell r="D8490" t="str">
            <v>KBP86</v>
          </cell>
          <cell r="E8490">
            <v>46201</v>
          </cell>
        </row>
        <row r="8491">
          <cell r="A8491" t="str">
            <v>2624PF27</v>
          </cell>
          <cell r="D8491" t="str">
            <v>KBP76</v>
          </cell>
          <cell r="E8491">
            <v>46201</v>
          </cell>
        </row>
        <row r="8492">
          <cell r="A8492" t="str">
            <v>2622C857</v>
          </cell>
          <cell r="D8492" t="str">
            <v>KBP86</v>
          </cell>
          <cell r="E8492">
            <v>46201</v>
          </cell>
        </row>
        <row r="8493">
          <cell r="A8493" t="str">
            <v>2623KS67</v>
          </cell>
          <cell r="D8493" t="str">
            <v>TTS80</v>
          </cell>
          <cell r="E8493">
            <v>46201</v>
          </cell>
        </row>
        <row r="8494">
          <cell r="A8494" t="str">
            <v>2624Q537</v>
          </cell>
          <cell r="D8494" t="str">
            <v>KBP76</v>
          </cell>
          <cell r="E8494">
            <v>46201</v>
          </cell>
        </row>
        <row r="8495">
          <cell r="A8495" t="str">
            <v>2623LJ47</v>
          </cell>
          <cell r="D8495" t="str">
            <v>KBP76</v>
          </cell>
          <cell r="E8495">
            <v>46201</v>
          </cell>
        </row>
        <row r="8496">
          <cell r="A8496" t="str">
            <v>2624CB67</v>
          </cell>
          <cell r="D8496" t="str">
            <v>FTW700</v>
          </cell>
          <cell r="E8496">
            <v>46201</v>
          </cell>
        </row>
        <row r="8497">
          <cell r="A8497" t="str">
            <v>2622L127</v>
          </cell>
          <cell r="D8497" t="str">
            <v>KBP86</v>
          </cell>
          <cell r="E8497">
            <v>46201</v>
          </cell>
        </row>
        <row r="8498">
          <cell r="A8498" t="str">
            <v>2624BT27</v>
          </cell>
          <cell r="D8498" t="str">
            <v>KBP126</v>
          </cell>
          <cell r="E8498">
            <v>46201</v>
          </cell>
        </row>
        <row r="8499">
          <cell r="A8499" t="str">
            <v>2622XK57</v>
          </cell>
          <cell r="D8499" t="str">
            <v>FTW121KE</v>
          </cell>
          <cell r="E8499">
            <v>46201</v>
          </cell>
        </row>
        <row r="8500">
          <cell r="A8500" t="str">
            <v>2624SX57</v>
          </cell>
          <cell r="D8500" t="str">
            <v>S15MB</v>
          </cell>
          <cell r="E8500">
            <v>46201</v>
          </cell>
        </row>
        <row r="8501">
          <cell r="A8501" t="str">
            <v>2624JY37</v>
          </cell>
          <cell r="D8501" t="str">
            <v>KBP126</v>
          </cell>
          <cell r="E8501">
            <v>46201</v>
          </cell>
        </row>
        <row r="8502">
          <cell r="A8502" t="str">
            <v>2623KC17</v>
          </cell>
          <cell r="D8502" t="str">
            <v>FTW700</v>
          </cell>
          <cell r="E8502">
            <v>46201</v>
          </cell>
        </row>
        <row r="8503">
          <cell r="A8503" t="str">
            <v>2622U257</v>
          </cell>
          <cell r="D8503" t="str">
            <v>KBP86</v>
          </cell>
          <cell r="E8503">
            <v>46201</v>
          </cell>
        </row>
        <row r="8504">
          <cell r="A8504" t="str">
            <v>2624X757</v>
          </cell>
          <cell r="D8504" t="str">
            <v>KBP76</v>
          </cell>
          <cell r="E8504">
            <v>46201</v>
          </cell>
        </row>
        <row r="8505">
          <cell r="A8505" t="str">
            <v>2623QZ57</v>
          </cell>
          <cell r="D8505" t="str">
            <v>KBP86</v>
          </cell>
          <cell r="E8505">
            <v>46201</v>
          </cell>
        </row>
        <row r="8506">
          <cell r="A8506" t="str">
            <v>2624P447</v>
          </cell>
          <cell r="D8506" t="str">
            <v>S706</v>
          </cell>
          <cell r="E8506">
            <v>46201</v>
          </cell>
        </row>
        <row r="8507">
          <cell r="A8507" t="str">
            <v>2624O827</v>
          </cell>
          <cell r="D8507" t="str">
            <v>TTS50</v>
          </cell>
          <cell r="E8507">
            <v>46201</v>
          </cell>
        </row>
        <row r="8508">
          <cell r="A8508" t="str">
            <v>2624IG37</v>
          </cell>
          <cell r="D8508" t="str">
            <v>FTW503</v>
          </cell>
          <cell r="E8508">
            <v>46201</v>
          </cell>
        </row>
        <row r="8509">
          <cell r="A8509" t="str">
            <v>2624HP67</v>
          </cell>
          <cell r="D8509" t="str">
            <v>FTP200</v>
          </cell>
          <cell r="E8509">
            <v>46201</v>
          </cell>
        </row>
        <row r="8510">
          <cell r="A8510" t="str">
            <v>2624HB67</v>
          </cell>
          <cell r="D8510" t="str">
            <v>KBP74</v>
          </cell>
          <cell r="E8510">
            <v>46201</v>
          </cell>
        </row>
        <row r="8511">
          <cell r="A8511" t="str">
            <v>2623FS67</v>
          </cell>
          <cell r="D8511" t="str">
            <v>FTW121KE</v>
          </cell>
          <cell r="E8511">
            <v>46201</v>
          </cell>
        </row>
        <row r="8512">
          <cell r="A8512" t="str">
            <v>2622V257</v>
          </cell>
          <cell r="D8512" t="str">
            <v>KBP76</v>
          </cell>
          <cell r="E8512">
            <v>46201</v>
          </cell>
        </row>
        <row r="8513">
          <cell r="A8513" t="str">
            <v>2624SC37</v>
          </cell>
          <cell r="D8513" t="str">
            <v>TTS80</v>
          </cell>
          <cell r="E8513">
            <v>46201</v>
          </cell>
        </row>
        <row r="8514">
          <cell r="A8514" t="str">
            <v>2624PS27</v>
          </cell>
          <cell r="D8514" t="str">
            <v>TTS50</v>
          </cell>
          <cell r="E8514">
            <v>46201</v>
          </cell>
        </row>
        <row r="8515">
          <cell r="A8515" t="str">
            <v>2625LF17</v>
          </cell>
          <cell r="D8515" t="str">
            <v>FTW121KE</v>
          </cell>
          <cell r="E8515">
            <v>46201</v>
          </cell>
        </row>
        <row r="8516">
          <cell r="A8516" t="str">
            <v>2624IE37</v>
          </cell>
          <cell r="D8516" t="str">
            <v>FTW503</v>
          </cell>
          <cell r="E8516">
            <v>46201</v>
          </cell>
        </row>
        <row r="8517">
          <cell r="A8517" t="str">
            <v>2624OT47</v>
          </cell>
          <cell r="D8517" t="str">
            <v>TTS50</v>
          </cell>
          <cell r="E8517">
            <v>46201</v>
          </cell>
        </row>
        <row r="8518">
          <cell r="A8518" t="str">
            <v>2624K437</v>
          </cell>
          <cell r="D8518" t="str">
            <v>FTW102K</v>
          </cell>
          <cell r="E8518">
            <v>46201</v>
          </cell>
        </row>
        <row r="8519">
          <cell r="A8519" t="str">
            <v>2623PM37</v>
          </cell>
          <cell r="D8519" t="str">
            <v>TTS50</v>
          </cell>
          <cell r="E8519">
            <v>46201</v>
          </cell>
        </row>
        <row r="8520">
          <cell r="A8520" t="str">
            <v>2624HM17</v>
          </cell>
          <cell r="D8520" t="str">
            <v>TTS50</v>
          </cell>
          <cell r="E8520">
            <v>46201</v>
          </cell>
        </row>
        <row r="8521">
          <cell r="A8521" t="str">
            <v>2624KT37</v>
          </cell>
          <cell r="D8521" t="str">
            <v>KBP86</v>
          </cell>
          <cell r="E8521">
            <v>46201</v>
          </cell>
        </row>
        <row r="8522">
          <cell r="A8522" t="str">
            <v>2623L567</v>
          </cell>
          <cell r="D8522" t="str">
            <v>TTS80</v>
          </cell>
          <cell r="E8522">
            <v>46201</v>
          </cell>
        </row>
        <row r="8523">
          <cell r="A8523" t="str">
            <v>2624Q637</v>
          </cell>
          <cell r="D8523" t="str">
            <v>KBP76</v>
          </cell>
          <cell r="E8523">
            <v>46201</v>
          </cell>
        </row>
        <row r="8524">
          <cell r="A8524" t="str">
            <v>2624L247</v>
          </cell>
          <cell r="D8524" t="str">
            <v>FTW503</v>
          </cell>
          <cell r="E8524">
            <v>46201</v>
          </cell>
        </row>
        <row r="8525">
          <cell r="A8525" t="str">
            <v>2622KZ27</v>
          </cell>
          <cell r="D8525" t="str">
            <v>KBP86</v>
          </cell>
          <cell r="E8525">
            <v>46201</v>
          </cell>
        </row>
        <row r="8526">
          <cell r="A8526" t="str">
            <v>2624IN37</v>
          </cell>
          <cell r="D8526" t="str">
            <v>FTW503</v>
          </cell>
          <cell r="E8526">
            <v>46201</v>
          </cell>
        </row>
        <row r="8527">
          <cell r="A8527" t="str">
            <v>2624LB47</v>
          </cell>
          <cell r="D8527" t="str">
            <v>FTW503</v>
          </cell>
          <cell r="E8527">
            <v>46201</v>
          </cell>
        </row>
        <row r="8528">
          <cell r="A8528" t="str">
            <v>2622KS47</v>
          </cell>
          <cell r="D8528" t="str">
            <v>KBP86</v>
          </cell>
          <cell r="E8528">
            <v>46201</v>
          </cell>
        </row>
        <row r="8529">
          <cell r="A8529" t="str">
            <v>2623EN67</v>
          </cell>
          <cell r="D8529" t="str">
            <v>FTW700</v>
          </cell>
          <cell r="E8529">
            <v>46201</v>
          </cell>
        </row>
        <row r="8530">
          <cell r="A8530" t="str">
            <v>2624PA27</v>
          </cell>
          <cell r="D8530" t="str">
            <v>KBP76</v>
          </cell>
          <cell r="E8530">
            <v>46201</v>
          </cell>
        </row>
        <row r="8531">
          <cell r="A8531" t="str">
            <v>2624OU47</v>
          </cell>
          <cell r="D8531" t="str">
            <v>TTS50</v>
          </cell>
          <cell r="E8531">
            <v>46201</v>
          </cell>
        </row>
        <row r="8532">
          <cell r="A8532" t="str">
            <v>2624PO27</v>
          </cell>
          <cell r="D8532" t="str">
            <v>KBP55</v>
          </cell>
          <cell r="E8532">
            <v>46201</v>
          </cell>
        </row>
        <row r="8533">
          <cell r="A8533" t="str">
            <v>2621L547</v>
          </cell>
          <cell r="D8533" t="str">
            <v>FTW121KE</v>
          </cell>
          <cell r="E8533">
            <v>46201</v>
          </cell>
        </row>
        <row r="8534">
          <cell r="A8534" t="str">
            <v>2624B867</v>
          </cell>
          <cell r="D8534" t="str">
            <v>KBP86</v>
          </cell>
          <cell r="E8534">
            <v>46201</v>
          </cell>
        </row>
        <row r="8535">
          <cell r="A8535" t="str">
            <v>2624IE67</v>
          </cell>
          <cell r="D8535" t="str">
            <v>TTS80</v>
          </cell>
          <cell r="E8535">
            <v>46201</v>
          </cell>
        </row>
        <row r="8536">
          <cell r="A8536" t="str">
            <v>2624IA27</v>
          </cell>
          <cell r="D8536" t="str">
            <v>FTW503</v>
          </cell>
          <cell r="E8536">
            <v>46201</v>
          </cell>
        </row>
        <row r="8537">
          <cell r="A8537" t="str">
            <v>2624HZ67</v>
          </cell>
          <cell r="D8537" t="str">
            <v>TTS80</v>
          </cell>
          <cell r="E8537">
            <v>46201</v>
          </cell>
        </row>
        <row r="8538">
          <cell r="A8538" t="str">
            <v>2625KZ27</v>
          </cell>
          <cell r="D8538" t="str">
            <v>FTP150</v>
          </cell>
          <cell r="E8538">
            <v>46201</v>
          </cell>
        </row>
        <row r="8539">
          <cell r="A8539" t="str">
            <v>2624OL37</v>
          </cell>
          <cell r="D8539" t="str">
            <v>KBP52</v>
          </cell>
          <cell r="E8539">
            <v>46201</v>
          </cell>
        </row>
        <row r="8540">
          <cell r="A8540" t="str">
            <v>2619JO57</v>
          </cell>
          <cell r="D8540" t="str">
            <v>TTS50</v>
          </cell>
          <cell r="E8540">
            <v>46201</v>
          </cell>
        </row>
        <row r="8541">
          <cell r="A8541" t="str">
            <v>2623S437</v>
          </cell>
          <cell r="D8541" t="str">
            <v>STA156KA</v>
          </cell>
          <cell r="E8541">
            <v>46201</v>
          </cell>
        </row>
        <row r="8542">
          <cell r="A8542" t="str">
            <v>2624K637</v>
          </cell>
          <cell r="D8542" t="str">
            <v>FTW102K</v>
          </cell>
          <cell r="E8542">
            <v>46201</v>
          </cell>
        </row>
        <row r="8543">
          <cell r="A8543" t="str">
            <v>2625L127</v>
          </cell>
          <cell r="D8543" t="str">
            <v>FTP150</v>
          </cell>
          <cell r="E8543">
            <v>46201</v>
          </cell>
        </row>
        <row r="8544">
          <cell r="A8544" t="str">
            <v>2624F617</v>
          </cell>
          <cell r="D8544" t="str">
            <v>FTW102K</v>
          </cell>
          <cell r="E8544">
            <v>46201</v>
          </cell>
        </row>
        <row r="8545">
          <cell r="A8545" t="str">
            <v>2623G467</v>
          </cell>
          <cell r="D8545" t="str">
            <v>KBP86</v>
          </cell>
          <cell r="E8545">
            <v>46201</v>
          </cell>
        </row>
        <row r="8546">
          <cell r="A8546" t="str">
            <v>2623H867</v>
          </cell>
          <cell r="D8546" t="str">
            <v>KBP52</v>
          </cell>
          <cell r="E8546">
            <v>46201</v>
          </cell>
        </row>
        <row r="8547">
          <cell r="A8547" t="str">
            <v>2623KZ67</v>
          </cell>
          <cell r="D8547" t="str">
            <v>TTS80</v>
          </cell>
          <cell r="E8547">
            <v>46201</v>
          </cell>
        </row>
        <row r="8548">
          <cell r="A8548" t="str">
            <v>2624LT57</v>
          </cell>
          <cell r="D8548" t="str">
            <v>S706</v>
          </cell>
          <cell r="E8548">
            <v>46201</v>
          </cell>
        </row>
        <row r="8549">
          <cell r="A8549" t="str">
            <v>2623O917</v>
          </cell>
          <cell r="D8549" t="str">
            <v>KBP86</v>
          </cell>
          <cell r="E8549">
            <v>46201</v>
          </cell>
        </row>
        <row r="8550">
          <cell r="A8550" t="str">
            <v>2623L667</v>
          </cell>
          <cell r="D8550" t="str">
            <v>TTS80</v>
          </cell>
          <cell r="E8550">
            <v>46201</v>
          </cell>
        </row>
        <row r="8551">
          <cell r="A8551" t="str">
            <v>2624II67</v>
          </cell>
          <cell r="D8551" t="str">
            <v>TTS80</v>
          </cell>
          <cell r="E8551">
            <v>46201</v>
          </cell>
        </row>
        <row r="8552">
          <cell r="A8552" t="str">
            <v>2624FQ17</v>
          </cell>
          <cell r="D8552" t="str">
            <v>KBP86</v>
          </cell>
          <cell r="E8552">
            <v>46201</v>
          </cell>
        </row>
        <row r="8553">
          <cell r="A8553" t="str">
            <v>2624PT27</v>
          </cell>
          <cell r="D8553" t="str">
            <v>TTS80</v>
          </cell>
          <cell r="E8553">
            <v>46201</v>
          </cell>
        </row>
        <row r="8554">
          <cell r="A8554" t="str">
            <v>2624IL37</v>
          </cell>
          <cell r="D8554" t="str">
            <v>FTW503</v>
          </cell>
          <cell r="E8554">
            <v>46201</v>
          </cell>
        </row>
        <row r="8555">
          <cell r="A8555" t="str">
            <v>2623BB67</v>
          </cell>
          <cell r="D8555" t="str">
            <v>KBP86</v>
          </cell>
          <cell r="E8555">
            <v>46201</v>
          </cell>
        </row>
        <row r="8556">
          <cell r="A8556" t="str">
            <v>2623F847</v>
          </cell>
          <cell r="D8556" t="str">
            <v>KBP86</v>
          </cell>
          <cell r="E8556">
            <v>46201</v>
          </cell>
        </row>
        <row r="8557">
          <cell r="A8557" t="str">
            <v>2624Q627</v>
          </cell>
          <cell r="D8557" t="str">
            <v>TTS80</v>
          </cell>
          <cell r="E8557">
            <v>46201</v>
          </cell>
        </row>
        <row r="8558">
          <cell r="A8558" t="str">
            <v>2624IW37</v>
          </cell>
          <cell r="D8558" t="str">
            <v>FTW503</v>
          </cell>
          <cell r="E8558">
            <v>46201</v>
          </cell>
        </row>
        <row r="8559">
          <cell r="A8559" t="str">
            <v>2623KB47</v>
          </cell>
          <cell r="D8559" t="str">
            <v>FTW121KE</v>
          </cell>
          <cell r="E8559">
            <v>46201</v>
          </cell>
        </row>
        <row r="8560">
          <cell r="A8560" t="str">
            <v>2623ET67</v>
          </cell>
          <cell r="D8560" t="str">
            <v>KBP126</v>
          </cell>
          <cell r="E8560">
            <v>46201</v>
          </cell>
        </row>
        <row r="8561">
          <cell r="A8561" t="str">
            <v>2624PB27</v>
          </cell>
          <cell r="D8561" t="str">
            <v>KBP76</v>
          </cell>
          <cell r="E8561">
            <v>46201</v>
          </cell>
        </row>
        <row r="8562">
          <cell r="A8562" t="str">
            <v>2621I467</v>
          </cell>
          <cell r="D8562" t="str">
            <v>FTP200</v>
          </cell>
          <cell r="E8562">
            <v>46201</v>
          </cell>
        </row>
        <row r="8563">
          <cell r="A8563" t="str">
            <v>2623F767</v>
          </cell>
          <cell r="D8563" t="str">
            <v>FTW121KE</v>
          </cell>
          <cell r="E8563">
            <v>46201</v>
          </cell>
        </row>
        <row r="8564">
          <cell r="A8564" t="str">
            <v>2624I427</v>
          </cell>
          <cell r="D8564" t="str">
            <v>FTW503</v>
          </cell>
          <cell r="E8564">
            <v>46201</v>
          </cell>
        </row>
        <row r="8565">
          <cell r="A8565" t="str">
            <v>2624PF37</v>
          </cell>
          <cell r="D8565" t="str">
            <v>S706</v>
          </cell>
          <cell r="E8565">
            <v>46201</v>
          </cell>
        </row>
        <row r="8566">
          <cell r="A8566" t="str">
            <v>2624FG17</v>
          </cell>
          <cell r="D8566" t="str">
            <v>FTW121KE</v>
          </cell>
          <cell r="E8566">
            <v>46201</v>
          </cell>
        </row>
        <row r="8567">
          <cell r="A8567" t="str">
            <v>2624KH37</v>
          </cell>
          <cell r="D8567" t="str">
            <v>FTW121KE</v>
          </cell>
          <cell r="E8567">
            <v>46201</v>
          </cell>
        </row>
        <row r="8568">
          <cell r="A8568" t="str">
            <v>2624CI67</v>
          </cell>
          <cell r="D8568" t="str">
            <v>FTW102K</v>
          </cell>
          <cell r="E8568">
            <v>46201</v>
          </cell>
        </row>
        <row r="8569">
          <cell r="A8569" t="str">
            <v>2624P247</v>
          </cell>
          <cell r="D8569" t="str">
            <v>S706</v>
          </cell>
          <cell r="E8569">
            <v>46201</v>
          </cell>
        </row>
        <row r="8570">
          <cell r="A8570" t="str">
            <v>2624IM37</v>
          </cell>
          <cell r="D8570" t="str">
            <v>FTW503</v>
          </cell>
          <cell r="E8570">
            <v>46201</v>
          </cell>
        </row>
        <row r="8571">
          <cell r="A8571" t="str">
            <v>2624JH57</v>
          </cell>
          <cell r="D8571" t="str">
            <v>FTW102K</v>
          </cell>
          <cell r="E8571">
            <v>46201</v>
          </cell>
        </row>
        <row r="8572">
          <cell r="A8572" t="str">
            <v>2624LA47</v>
          </cell>
          <cell r="D8572" t="str">
            <v>FTW503</v>
          </cell>
          <cell r="E8572">
            <v>46201</v>
          </cell>
        </row>
        <row r="8573">
          <cell r="A8573" t="str">
            <v>2625OC17</v>
          </cell>
          <cell r="D8573" t="str">
            <v>FTW700</v>
          </cell>
          <cell r="E8573">
            <v>46201</v>
          </cell>
        </row>
        <row r="8574">
          <cell r="A8574" t="str">
            <v>2625PJ17</v>
          </cell>
          <cell r="D8574" t="str">
            <v>S706</v>
          </cell>
          <cell r="E8574">
            <v>46201</v>
          </cell>
        </row>
        <row r="8575">
          <cell r="A8575" t="str">
            <v>2624I727</v>
          </cell>
          <cell r="D8575" t="str">
            <v>FTW503</v>
          </cell>
          <cell r="E8575">
            <v>46201</v>
          </cell>
        </row>
        <row r="8576">
          <cell r="A8576" t="str">
            <v>2625PZ17</v>
          </cell>
          <cell r="D8576" t="str">
            <v>KBP76</v>
          </cell>
          <cell r="E8576">
            <v>46201</v>
          </cell>
        </row>
        <row r="8577">
          <cell r="A8577" t="str">
            <v>2623I657</v>
          </cell>
          <cell r="D8577" t="str">
            <v>KBP126</v>
          </cell>
          <cell r="E8577">
            <v>46201</v>
          </cell>
        </row>
        <row r="8578">
          <cell r="A8578" t="str">
            <v>2624OK37</v>
          </cell>
          <cell r="D8578" t="str">
            <v>KBP52</v>
          </cell>
          <cell r="E8578">
            <v>46201</v>
          </cell>
        </row>
        <row r="8579">
          <cell r="A8579" t="str">
            <v>2623I967</v>
          </cell>
          <cell r="D8579" t="str">
            <v>KBP52</v>
          </cell>
          <cell r="E8579">
            <v>46201</v>
          </cell>
        </row>
        <row r="8580">
          <cell r="A8580" t="str">
            <v>2624P547</v>
          </cell>
          <cell r="D8580" t="str">
            <v>S706</v>
          </cell>
          <cell r="E8580">
            <v>46201</v>
          </cell>
        </row>
        <row r="8581">
          <cell r="A8581" t="str">
            <v>2624I837</v>
          </cell>
          <cell r="D8581" t="str">
            <v>S805</v>
          </cell>
          <cell r="E8581">
            <v>46201</v>
          </cell>
        </row>
        <row r="8582">
          <cell r="A8582" t="str">
            <v>2625PO17</v>
          </cell>
          <cell r="D8582" t="str">
            <v>S706</v>
          </cell>
          <cell r="E8582">
            <v>46201</v>
          </cell>
        </row>
        <row r="8583">
          <cell r="A8583" t="str">
            <v>2624H937</v>
          </cell>
          <cell r="D8583" t="str">
            <v>KBP86</v>
          </cell>
          <cell r="E8583">
            <v>46201</v>
          </cell>
        </row>
        <row r="8584">
          <cell r="A8584" t="str">
            <v>2624II57</v>
          </cell>
          <cell r="D8584" t="str">
            <v>FTP150</v>
          </cell>
          <cell r="E8584">
            <v>46201</v>
          </cell>
        </row>
        <row r="8585">
          <cell r="A8585" t="str">
            <v>2624J417</v>
          </cell>
          <cell r="D8585" t="str">
            <v>KBP55</v>
          </cell>
          <cell r="E8585">
            <v>46201</v>
          </cell>
        </row>
        <row r="8586">
          <cell r="A8586" t="str">
            <v>2624CY67</v>
          </cell>
          <cell r="D8586" t="str">
            <v>KBP86</v>
          </cell>
          <cell r="E8586">
            <v>46201</v>
          </cell>
        </row>
        <row r="8587">
          <cell r="A8587" t="str">
            <v>2624LU47</v>
          </cell>
          <cell r="D8587" t="str">
            <v>FTW121KE</v>
          </cell>
          <cell r="E8587">
            <v>46201</v>
          </cell>
        </row>
        <row r="8588">
          <cell r="A8588" t="str">
            <v>2623F567</v>
          </cell>
          <cell r="D8588" t="str">
            <v>FTW121KE</v>
          </cell>
          <cell r="E8588">
            <v>46201</v>
          </cell>
        </row>
        <row r="8589">
          <cell r="A8589" t="str">
            <v>2624PF47</v>
          </cell>
          <cell r="D8589" t="str">
            <v>KBP76</v>
          </cell>
          <cell r="E8589">
            <v>46201</v>
          </cell>
        </row>
        <row r="8590">
          <cell r="A8590" t="str">
            <v>2623F967</v>
          </cell>
          <cell r="D8590" t="str">
            <v>FTW121KE</v>
          </cell>
          <cell r="E8590">
            <v>46201</v>
          </cell>
        </row>
        <row r="8591">
          <cell r="A8591" t="str">
            <v>2620WK57</v>
          </cell>
          <cell r="D8591" t="str">
            <v>FTW121KE</v>
          </cell>
          <cell r="E8591">
            <v>46201</v>
          </cell>
        </row>
        <row r="8592">
          <cell r="A8592" t="str">
            <v>2625JQ17</v>
          </cell>
          <cell r="D8592" t="str">
            <v>FTP150</v>
          </cell>
          <cell r="E8592">
            <v>46201</v>
          </cell>
        </row>
        <row r="8593">
          <cell r="A8593" t="str">
            <v>2623B267</v>
          </cell>
          <cell r="D8593" t="str">
            <v>KBP86</v>
          </cell>
          <cell r="E8593">
            <v>46201</v>
          </cell>
        </row>
        <row r="8594">
          <cell r="A8594" t="str">
            <v>2623FR27</v>
          </cell>
          <cell r="D8594" t="str">
            <v>FTW121KE</v>
          </cell>
          <cell r="E8594">
            <v>46201</v>
          </cell>
        </row>
        <row r="8595">
          <cell r="A8595" t="str">
            <v>2622BF67</v>
          </cell>
          <cell r="D8595" t="str">
            <v>KBP86</v>
          </cell>
          <cell r="E8595">
            <v>46201</v>
          </cell>
        </row>
        <row r="8596">
          <cell r="A8596" t="str">
            <v>2624KS47</v>
          </cell>
          <cell r="D8596" t="str">
            <v>FTW503</v>
          </cell>
          <cell r="E8596">
            <v>46201</v>
          </cell>
        </row>
        <row r="8597">
          <cell r="A8597" t="str">
            <v>2621EC57</v>
          </cell>
          <cell r="D8597" t="str">
            <v>KBP86</v>
          </cell>
          <cell r="E8597">
            <v>46201</v>
          </cell>
        </row>
        <row r="8598">
          <cell r="A8598" t="str">
            <v>2624EP67</v>
          </cell>
          <cell r="D8598" t="str">
            <v>FTW700</v>
          </cell>
          <cell r="E8598">
            <v>46201</v>
          </cell>
        </row>
        <row r="8599">
          <cell r="A8599" t="str">
            <v>2624L947</v>
          </cell>
          <cell r="D8599" t="str">
            <v>FTW503</v>
          </cell>
          <cell r="E8599">
            <v>46201</v>
          </cell>
        </row>
        <row r="8600">
          <cell r="A8600" t="str">
            <v>2624L737</v>
          </cell>
          <cell r="D8600" t="str">
            <v>KBP86</v>
          </cell>
          <cell r="E8600">
            <v>46201</v>
          </cell>
        </row>
        <row r="8601">
          <cell r="A8601" t="str">
            <v>2624IR17</v>
          </cell>
          <cell r="D8601" t="str">
            <v>KBP76</v>
          </cell>
          <cell r="E8601">
            <v>46201</v>
          </cell>
        </row>
        <row r="8602">
          <cell r="A8602" t="str">
            <v>2622KN27</v>
          </cell>
          <cell r="D8602" t="str">
            <v>FTW121KE</v>
          </cell>
          <cell r="E8602">
            <v>46201</v>
          </cell>
        </row>
        <row r="8603">
          <cell r="A8603" t="str">
            <v>2624IE27</v>
          </cell>
          <cell r="D8603" t="str">
            <v>FTW503</v>
          </cell>
          <cell r="E8603">
            <v>46201</v>
          </cell>
        </row>
        <row r="8604">
          <cell r="A8604" t="str">
            <v>2623JA27</v>
          </cell>
          <cell r="D8604" t="str">
            <v>FTP200</v>
          </cell>
          <cell r="E8604">
            <v>46201</v>
          </cell>
        </row>
        <row r="8605">
          <cell r="A8605" t="str">
            <v>2624EK67</v>
          </cell>
          <cell r="D8605" t="str">
            <v>FTW700</v>
          </cell>
          <cell r="E8605">
            <v>46201</v>
          </cell>
        </row>
        <row r="8606">
          <cell r="A8606" t="str">
            <v>2623IE67</v>
          </cell>
          <cell r="D8606" t="str">
            <v>HV80</v>
          </cell>
          <cell r="E8606">
            <v>46201</v>
          </cell>
        </row>
        <row r="8607">
          <cell r="A8607" t="str">
            <v>2624O227</v>
          </cell>
          <cell r="D8607" t="str">
            <v>HV80</v>
          </cell>
          <cell r="E8607">
            <v>46201</v>
          </cell>
        </row>
        <row r="8608">
          <cell r="A8608" t="str">
            <v>2624O427</v>
          </cell>
          <cell r="D8608" t="str">
            <v>HV80</v>
          </cell>
          <cell r="E8608">
            <v>46201</v>
          </cell>
        </row>
        <row r="8609">
          <cell r="A8609" t="str">
            <v>2623ID67</v>
          </cell>
          <cell r="D8609" t="str">
            <v>HV80</v>
          </cell>
          <cell r="E8609">
            <v>46201</v>
          </cell>
        </row>
        <row r="8610">
          <cell r="A8610" t="str">
            <v>2624LT27</v>
          </cell>
          <cell r="D8610" t="str">
            <v>HV80</v>
          </cell>
          <cell r="E8610">
            <v>46201</v>
          </cell>
        </row>
        <row r="8611">
          <cell r="A8611" t="str">
            <v>2624O527</v>
          </cell>
          <cell r="D8611" t="str">
            <v>HV80</v>
          </cell>
          <cell r="E8611">
            <v>46201</v>
          </cell>
        </row>
        <row r="8612">
          <cell r="A8612" t="str">
            <v>2624LU27</v>
          </cell>
          <cell r="D8612" t="str">
            <v>HV80</v>
          </cell>
          <cell r="E8612">
            <v>46201</v>
          </cell>
        </row>
        <row r="8613">
          <cell r="A8613" t="str">
            <v>2624LX27</v>
          </cell>
          <cell r="D8613" t="str">
            <v>HV80</v>
          </cell>
          <cell r="E8613">
            <v>46201</v>
          </cell>
        </row>
        <row r="8614">
          <cell r="A8614" t="str">
            <v>2619D947</v>
          </cell>
          <cell r="D8614" t="str">
            <v>TTS80</v>
          </cell>
          <cell r="E8614">
            <v>46201</v>
          </cell>
        </row>
        <row r="8615">
          <cell r="A8615" t="str">
            <v>2619DA47</v>
          </cell>
          <cell r="D8615" t="str">
            <v>TTS80</v>
          </cell>
          <cell r="E8615">
            <v>46201</v>
          </cell>
        </row>
        <row r="8616">
          <cell r="A8616" t="str">
            <v>2623II67</v>
          </cell>
          <cell r="D8616" t="str">
            <v>HV80</v>
          </cell>
          <cell r="E8616">
            <v>46200</v>
          </cell>
        </row>
        <row r="8617">
          <cell r="A8617" t="str">
            <v>2607OV17</v>
          </cell>
          <cell r="D8617" t="str">
            <v>TTS80E</v>
          </cell>
          <cell r="E8617">
            <v>46200</v>
          </cell>
        </row>
        <row r="8618">
          <cell r="A8618" t="str">
            <v>2624OY37</v>
          </cell>
          <cell r="D8618" t="str">
            <v>HV80</v>
          </cell>
          <cell r="E8618">
            <v>46200</v>
          </cell>
        </row>
        <row r="8619">
          <cell r="A8619" t="str">
            <v>2546F267</v>
          </cell>
          <cell r="D8619" t="str">
            <v>TTS80</v>
          </cell>
          <cell r="E8619">
            <v>46200</v>
          </cell>
        </row>
        <row r="8620">
          <cell r="A8620" t="str">
            <v>2614ZU17</v>
          </cell>
          <cell r="D8620" t="str">
            <v>FTW102K</v>
          </cell>
          <cell r="E8620">
            <v>46200</v>
          </cell>
        </row>
        <row r="8621">
          <cell r="A8621" t="str">
            <v>2607OP17</v>
          </cell>
          <cell r="D8621" t="str">
            <v>TTS80</v>
          </cell>
          <cell r="E8621">
            <v>46200</v>
          </cell>
        </row>
        <row r="8622">
          <cell r="A8622" t="str">
            <v>2607OP17</v>
          </cell>
          <cell r="D8622" t="str">
            <v>TTS80E</v>
          </cell>
          <cell r="E8622">
            <v>46200</v>
          </cell>
        </row>
        <row r="8623">
          <cell r="A8623" t="str">
            <v>2607OQ17</v>
          </cell>
          <cell r="D8623" t="str">
            <v>TTS80</v>
          </cell>
          <cell r="E8623">
            <v>46200</v>
          </cell>
        </row>
        <row r="8624">
          <cell r="A8624" t="str">
            <v>2614ZV17</v>
          </cell>
          <cell r="D8624" t="str">
            <v>FTW102K</v>
          </cell>
          <cell r="E8624">
            <v>46200</v>
          </cell>
        </row>
        <row r="8625">
          <cell r="A8625" t="str">
            <v>2607OR17</v>
          </cell>
          <cell r="D8625" t="str">
            <v>TTS80</v>
          </cell>
          <cell r="E8625">
            <v>46200</v>
          </cell>
        </row>
        <row r="8626">
          <cell r="A8626" t="str">
            <v>2607OV17</v>
          </cell>
          <cell r="D8626" t="str">
            <v>TTS80</v>
          </cell>
          <cell r="E8626">
            <v>46200</v>
          </cell>
        </row>
        <row r="8627">
          <cell r="A8627" t="str">
            <v>2607OU17</v>
          </cell>
          <cell r="D8627" t="str">
            <v>TTS80</v>
          </cell>
          <cell r="E8627">
            <v>46200</v>
          </cell>
        </row>
        <row r="8628">
          <cell r="A8628" t="str">
            <v>2607OR17</v>
          </cell>
          <cell r="D8628" t="str">
            <v>TTS80</v>
          </cell>
          <cell r="E8628">
            <v>46200</v>
          </cell>
        </row>
        <row r="8629">
          <cell r="A8629" t="str">
            <v>2607OV17</v>
          </cell>
          <cell r="D8629" t="str">
            <v>TTS80</v>
          </cell>
          <cell r="E8629">
            <v>46200</v>
          </cell>
        </row>
        <row r="8630">
          <cell r="A8630" t="str">
            <v>2607OP17</v>
          </cell>
          <cell r="D8630" t="str">
            <v>TTS80</v>
          </cell>
          <cell r="E8630">
            <v>46200</v>
          </cell>
        </row>
        <row r="8631">
          <cell r="A8631" t="str">
            <v>2624HF17</v>
          </cell>
          <cell r="D8631" t="str">
            <v>HV80</v>
          </cell>
          <cell r="E8631">
            <v>46200</v>
          </cell>
        </row>
        <row r="8632">
          <cell r="A8632" t="str">
            <v>2607OP17</v>
          </cell>
          <cell r="D8632" t="str">
            <v>TTS80</v>
          </cell>
          <cell r="E8632">
            <v>46200</v>
          </cell>
        </row>
        <row r="8633">
          <cell r="A8633" t="str">
            <v>2624OY37</v>
          </cell>
          <cell r="D8633" t="str">
            <v>HV80</v>
          </cell>
          <cell r="E8633">
            <v>46200</v>
          </cell>
        </row>
        <row r="8634">
          <cell r="A8634" t="str">
            <v>2624EB27</v>
          </cell>
          <cell r="D8634" t="str">
            <v>KBP76</v>
          </cell>
          <cell r="E8634">
            <v>46200</v>
          </cell>
        </row>
        <row r="8635">
          <cell r="A8635" t="str">
            <v>2624OX37</v>
          </cell>
          <cell r="D8635" t="str">
            <v>HV80</v>
          </cell>
          <cell r="E8635">
            <v>46200</v>
          </cell>
        </row>
        <row r="8636">
          <cell r="A8636" t="str">
            <v>2607OR17</v>
          </cell>
          <cell r="D8636" t="str">
            <v>TTS80</v>
          </cell>
          <cell r="E8636">
            <v>46200</v>
          </cell>
        </row>
        <row r="8637">
          <cell r="A8637" t="str">
            <v>2623II67</v>
          </cell>
          <cell r="D8637" t="str">
            <v>HV80</v>
          </cell>
          <cell r="E8637">
            <v>46200</v>
          </cell>
        </row>
        <row r="8638">
          <cell r="A8638" t="str">
            <v>2607OR17</v>
          </cell>
          <cell r="D8638" t="str">
            <v>TTS80E</v>
          </cell>
          <cell r="E8638">
            <v>46200</v>
          </cell>
        </row>
        <row r="8639">
          <cell r="A8639" t="str">
            <v>2624FF67</v>
          </cell>
          <cell r="D8639" t="str">
            <v>S706</v>
          </cell>
          <cell r="E8639">
            <v>46200</v>
          </cell>
        </row>
        <row r="8640">
          <cell r="A8640" t="str">
            <v>2607OR17</v>
          </cell>
          <cell r="D8640" t="str">
            <v>TTS80E</v>
          </cell>
          <cell r="E8640">
            <v>46200</v>
          </cell>
        </row>
        <row r="8641">
          <cell r="A8641" t="str">
            <v>2624FH67</v>
          </cell>
          <cell r="D8641" t="str">
            <v>S706</v>
          </cell>
          <cell r="E8641">
            <v>46200</v>
          </cell>
        </row>
        <row r="8642">
          <cell r="A8642" t="str">
            <v>2622ZB57</v>
          </cell>
          <cell r="D8642" t="str">
            <v>S805</v>
          </cell>
          <cell r="E8642">
            <v>46200</v>
          </cell>
        </row>
        <row r="8643">
          <cell r="A8643" t="str">
            <v>2625PM17</v>
          </cell>
          <cell r="D8643" t="str">
            <v>S706</v>
          </cell>
          <cell r="E8643">
            <v>46200</v>
          </cell>
        </row>
        <row r="8644">
          <cell r="A8644" t="str">
            <v>2622ZB57</v>
          </cell>
          <cell r="D8644" t="str">
            <v>S805</v>
          </cell>
          <cell r="E8644">
            <v>46200</v>
          </cell>
        </row>
        <row r="8645">
          <cell r="A8645" t="str">
            <v>2624PA37</v>
          </cell>
          <cell r="D8645" t="str">
            <v>S706</v>
          </cell>
          <cell r="E8645">
            <v>46200</v>
          </cell>
        </row>
        <row r="8646">
          <cell r="A8646" t="str">
            <v>2622ZB57</v>
          </cell>
          <cell r="D8646" t="str">
            <v>S805</v>
          </cell>
          <cell r="E8646">
            <v>46200</v>
          </cell>
        </row>
        <row r="8647">
          <cell r="A8647" t="str">
            <v>2624PK37</v>
          </cell>
          <cell r="D8647" t="str">
            <v>S706</v>
          </cell>
          <cell r="E8647">
            <v>46200</v>
          </cell>
        </row>
        <row r="8648">
          <cell r="A8648" t="str">
            <v>2622ZB57</v>
          </cell>
          <cell r="D8648" t="str">
            <v>S805</v>
          </cell>
          <cell r="E8648">
            <v>46200</v>
          </cell>
        </row>
        <row r="8649">
          <cell r="A8649" t="str">
            <v>2624OS47</v>
          </cell>
          <cell r="D8649" t="str">
            <v>TTS50</v>
          </cell>
          <cell r="E8649">
            <v>46200</v>
          </cell>
        </row>
        <row r="8650">
          <cell r="A8650" t="str">
            <v>2622ZC57</v>
          </cell>
          <cell r="D8650" t="str">
            <v>S805</v>
          </cell>
          <cell r="E8650">
            <v>46200</v>
          </cell>
        </row>
        <row r="8651">
          <cell r="A8651" t="str">
            <v>2624F967</v>
          </cell>
          <cell r="D8651" t="str">
            <v>TTS50</v>
          </cell>
          <cell r="E8651">
            <v>46200</v>
          </cell>
        </row>
        <row r="8652">
          <cell r="A8652" t="str">
            <v>2622ZC57</v>
          </cell>
          <cell r="D8652" t="str">
            <v>S805</v>
          </cell>
          <cell r="E8652">
            <v>46200</v>
          </cell>
        </row>
        <row r="8653">
          <cell r="A8653" t="str">
            <v>2625PN17</v>
          </cell>
          <cell r="D8653" t="str">
            <v>S706</v>
          </cell>
          <cell r="E8653">
            <v>46200</v>
          </cell>
        </row>
        <row r="8654">
          <cell r="A8654" t="str">
            <v>2622ZC57</v>
          </cell>
          <cell r="D8654" t="str">
            <v>S805</v>
          </cell>
          <cell r="E8654">
            <v>46200</v>
          </cell>
        </row>
        <row r="8655">
          <cell r="A8655" t="str">
            <v>2624P637</v>
          </cell>
          <cell r="D8655" t="str">
            <v>TTS50</v>
          </cell>
          <cell r="E8655">
            <v>46200</v>
          </cell>
        </row>
        <row r="8656">
          <cell r="A8656" t="str">
            <v>2622ZD57</v>
          </cell>
          <cell r="D8656" t="str">
            <v>S805</v>
          </cell>
          <cell r="E8656">
            <v>46200</v>
          </cell>
        </row>
        <row r="8657">
          <cell r="A8657" t="str">
            <v>2624OX47</v>
          </cell>
          <cell r="D8657" t="str">
            <v>TTS50</v>
          </cell>
          <cell r="E8657">
            <v>46200</v>
          </cell>
        </row>
        <row r="8658">
          <cell r="A8658" t="str">
            <v>2622ZD57</v>
          </cell>
          <cell r="D8658" t="str">
            <v>S805</v>
          </cell>
          <cell r="E8658">
            <v>46200</v>
          </cell>
        </row>
        <row r="8659">
          <cell r="A8659" t="str">
            <v>2624B657</v>
          </cell>
          <cell r="D8659" t="str">
            <v>S15MB</v>
          </cell>
          <cell r="E8659">
            <v>46200</v>
          </cell>
        </row>
        <row r="8660">
          <cell r="A8660" t="str">
            <v>2622ZD57</v>
          </cell>
          <cell r="D8660" t="str">
            <v>S805</v>
          </cell>
          <cell r="E8660">
            <v>46200</v>
          </cell>
        </row>
        <row r="8661">
          <cell r="A8661" t="str">
            <v>2624L647</v>
          </cell>
          <cell r="D8661" t="str">
            <v>FTW503</v>
          </cell>
          <cell r="E8661">
            <v>46200</v>
          </cell>
        </row>
        <row r="8662">
          <cell r="A8662" t="str">
            <v>2624IU37</v>
          </cell>
          <cell r="D8662" t="str">
            <v>FTW503</v>
          </cell>
          <cell r="E8662">
            <v>46200</v>
          </cell>
        </row>
        <row r="8663">
          <cell r="A8663" t="str">
            <v>2623FP67</v>
          </cell>
          <cell r="D8663" t="str">
            <v>FTW121KE</v>
          </cell>
          <cell r="E8663">
            <v>46200</v>
          </cell>
        </row>
        <row r="8664">
          <cell r="A8664" t="str">
            <v>2623KD57</v>
          </cell>
          <cell r="D8664" t="str">
            <v>TTS80</v>
          </cell>
          <cell r="E8664">
            <v>46200</v>
          </cell>
        </row>
        <row r="8665">
          <cell r="A8665" t="str">
            <v>2624KQ47</v>
          </cell>
          <cell r="D8665" t="str">
            <v>FTW503</v>
          </cell>
          <cell r="E8665">
            <v>46200</v>
          </cell>
        </row>
        <row r="8666">
          <cell r="A8666" t="str">
            <v>2624K447</v>
          </cell>
          <cell r="D8666" t="str">
            <v>KBP76</v>
          </cell>
          <cell r="E8666">
            <v>46200</v>
          </cell>
        </row>
        <row r="8667">
          <cell r="A8667" t="str">
            <v>2624U257</v>
          </cell>
          <cell r="D8667" t="str">
            <v>S15MB</v>
          </cell>
          <cell r="E8667">
            <v>46200</v>
          </cell>
        </row>
        <row r="8668">
          <cell r="A8668" t="str">
            <v>2625PL17</v>
          </cell>
          <cell r="D8668" t="str">
            <v>S706</v>
          </cell>
          <cell r="E8668">
            <v>46200</v>
          </cell>
        </row>
        <row r="8669">
          <cell r="A8669" t="str">
            <v>2625PA17</v>
          </cell>
          <cell r="D8669" t="str">
            <v>TTS50</v>
          </cell>
          <cell r="E8669">
            <v>46200</v>
          </cell>
        </row>
        <row r="8670">
          <cell r="A8670" t="str">
            <v>2624P147</v>
          </cell>
          <cell r="D8670" t="str">
            <v>TTS50</v>
          </cell>
          <cell r="E8670">
            <v>46200</v>
          </cell>
        </row>
        <row r="8671">
          <cell r="A8671" t="str">
            <v>2624U357</v>
          </cell>
          <cell r="D8671" t="str">
            <v>S15MB</v>
          </cell>
          <cell r="E8671">
            <v>46200</v>
          </cell>
        </row>
        <row r="8672">
          <cell r="A8672" t="str">
            <v>2623C737</v>
          </cell>
          <cell r="D8672" t="str">
            <v>KBP126</v>
          </cell>
          <cell r="E8672">
            <v>46200</v>
          </cell>
        </row>
        <row r="8673">
          <cell r="A8673" t="str">
            <v>2624KZ37</v>
          </cell>
          <cell r="D8673" t="str">
            <v>KBP86</v>
          </cell>
          <cell r="E8673">
            <v>46200</v>
          </cell>
        </row>
        <row r="8674">
          <cell r="A8674" t="str">
            <v>2624A167</v>
          </cell>
          <cell r="D8674" t="str">
            <v>FTW121KE</v>
          </cell>
          <cell r="E8674">
            <v>46200</v>
          </cell>
        </row>
        <row r="8675">
          <cell r="A8675" t="str">
            <v>2624BS17</v>
          </cell>
          <cell r="D8675" t="str">
            <v>KBP126</v>
          </cell>
          <cell r="E8675">
            <v>46200</v>
          </cell>
        </row>
        <row r="8676">
          <cell r="A8676" t="str">
            <v>2624PS37</v>
          </cell>
          <cell r="D8676" t="str">
            <v>KBP76</v>
          </cell>
          <cell r="E8676">
            <v>46200</v>
          </cell>
        </row>
        <row r="8677">
          <cell r="A8677" t="str">
            <v>2623G767</v>
          </cell>
          <cell r="D8677" t="str">
            <v>KBP86</v>
          </cell>
          <cell r="E8677">
            <v>46200</v>
          </cell>
        </row>
        <row r="8678">
          <cell r="A8678" t="str">
            <v>2623IH47</v>
          </cell>
          <cell r="D8678" t="str">
            <v>S805</v>
          </cell>
          <cell r="E8678">
            <v>46200</v>
          </cell>
        </row>
        <row r="8679">
          <cell r="A8679" t="str">
            <v>2624L447</v>
          </cell>
          <cell r="D8679" t="str">
            <v>FTW503</v>
          </cell>
          <cell r="E8679">
            <v>46200</v>
          </cell>
        </row>
        <row r="8680">
          <cell r="A8680" t="str">
            <v>2623LR37</v>
          </cell>
          <cell r="D8680" t="str">
            <v>FTW121KE</v>
          </cell>
          <cell r="E8680">
            <v>46200</v>
          </cell>
        </row>
        <row r="8681">
          <cell r="A8681" t="str">
            <v>2623FA47</v>
          </cell>
          <cell r="D8681" t="str">
            <v>KBP86</v>
          </cell>
          <cell r="E8681">
            <v>46200</v>
          </cell>
        </row>
        <row r="8682">
          <cell r="A8682" t="str">
            <v>2624C867</v>
          </cell>
          <cell r="D8682" t="str">
            <v>TTS50</v>
          </cell>
          <cell r="E8682">
            <v>46200</v>
          </cell>
        </row>
        <row r="8683">
          <cell r="A8683" t="str">
            <v>2623GY27</v>
          </cell>
          <cell r="D8683" t="str">
            <v>KBP52</v>
          </cell>
          <cell r="E8683">
            <v>46200</v>
          </cell>
        </row>
        <row r="8684">
          <cell r="A8684" t="str">
            <v>2625QV27</v>
          </cell>
          <cell r="D8684" t="str">
            <v>S706</v>
          </cell>
          <cell r="E8684">
            <v>46200</v>
          </cell>
        </row>
        <row r="8685">
          <cell r="A8685" t="str">
            <v>2623HB67</v>
          </cell>
          <cell r="D8685" t="str">
            <v>KBP52</v>
          </cell>
          <cell r="E8685">
            <v>46200</v>
          </cell>
        </row>
        <row r="8686">
          <cell r="A8686" t="str">
            <v>2623O567</v>
          </cell>
          <cell r="D8686" t="str">
            <v>TTS80</v>
          </cell>
          <cell r="E8686">
            <v>46200</v>
          </cell>
        </row>
        <row r="8687">
          <cell r="A8687" t="str">
            <v>2623EY70</v>
          </cell>
          <cell r="D8687" t="str">
            <v>TTS125</v>
          </cell>
          <cell r="E8687">
            <v>46200</v>
          </cell>
        </row>
        <row r="8688">
          <cell r="A8688" t="str">
            <v>2622ZB57</v>
          </cell>
          <cell r="D8688" t="str">
            <v>S805</v>
          </cell>
          <cell r="E8688">
            <v>46200</v>
          </cell>
        </row>
        <row r="8689">
          <cell r="A8689" t="str">
            <v>2622LO37</v>
          </cell>
          <cell r="D8689" t="str">
            <v>FTW121KE</v>
          </cell>
          <cell r="E8689">
            <v>46200</v>
          </cell>
        </row>
        <row r="8690">
          <cell r="A8690" t="str">
            <v>2623O947</v>
          </cell>
          <cell r="D8690" t="str">
            <v>TTS80</v>
          </cell>
          <cell r="E8690">
            <v>46200</v>
          </cell>
        </row>
        <row r="8691">
          <cell r="A8691" t="str">
            <v>2624IP37</v>
          </cell>
          <cell r="D8691" t="str">
            <v>FTW503</v>
          </cell>
          <cell r="E8691">
            <v>46200</v>
          </cell>
        </row>
        <row r="8692">
          <cell r="A8692" t="str">
            <v>2624KY37</v>
          </cell>
          <cell r="D8692" t="str">
            <v>KBP86</v>
          </cell>
          <cell r="E8692">
            <v>46200</v>
          </cell>
        </row>
        <row r="8693">
          <cell r="A8693" t="str">
            <v>2624JU37</v>
          </cell>
          <cell r="D8693" t="str">
            <v>FTW700</v>
          </cell>
          <cell r="E8693">
            <v>46200</v>
          </cell>
        </row>
        <row r="8694">
          <cell r="A8694" t="str">
            <v>2624IT37</v>
          </cell>
          <cell r="D8694" t="str">
            <v>FTW503</v>
          </cell>
          <cell r="E8694">
            <v>46200</v>
          </cell>
        </row>
        <row r="8695">
          <cell r="A8695" t="str">
            <v>2624S737</v>
          </cell>
          <cell r="D8695" t="str">
            <v>TTS80</v>
          </cell>
          <cell r="E8695">
            <v>46200</v>
          </cell>
        </row>
        <row r="8696">
          <cell r="A8696" t="str">
            <v>2621KW47</v>
          </cell>
          <cell r="D8696" t="str">
            <v>FTW121KE</v>
          </cell>
          <cell r="E8696">
            <v>46200</v>
          </cell>
        </row>
        <row r="8697">
          <cell r="A8697" t="str">
            <v>2624LH47</v>
          </cell>
          <cell r="D8697" t="str">
            <v>KBP126</v>
          </cell>
          <cell r="E8697">
            <v>46200</v>
          </cell>
        </row>
        <row r="8698">
          <cell r="A8698" t="str">
            <v>2624KE37</v>
          </cell>
          <cell r="D8698" t="str">
            <v>FTW121KE</v>
          </cell>
          <cell r="E8698">
            <v>46200</v>
          </cell>
        </row>
        <row r="8699">
          <cell r="A8699" t="str">
            <v>2616EU57</v>
          </cell>
          <cell r="D8699" t="str">
            <v>FTP200</v>
          </cell>
          <cell r="E8699">
            <v>46200</v>
          </cell>
        </row>
        <row r="8700">
          <cell r="A8700" t="str">
            <v>2623CO27</v>
          </cell>
          <cell r="D8700" t="str">
            <v>KBP86</v>
          </cell>
          <cell r="E8700">
            <v>46200</v>
          </cell>
        </row>
        <row r="8701">
          <cell r="A8701" t="str">
            <v>2624CA67</v>
          </cell>
          <cell r="D8701" t="str">
            <v>FTW700</v>
          </cell>
          <cell r="E8701">
            <v>46200</v>
          </cell>
        </row>
        <row r="8702">
          <cell r="A8702" t="str">
            <v>2623JG67</v>
          </cell>
          <cell r="D8702" t="str">
            <v>KBP76</v>
          </cell>
          <cell r="E8702">
            <v>46200</v>
          </cell>
        </row>
        <row r="8703">
          <cell r="A8703" t="str">
            <v>2621I367</v>
          </cell>
          <cell r="D8703" t="str">
            <v>FTP200</v>
          </cell>
          <cell r="E8703">
            <v>46200</v>
          </cell>
        </row>
        <row r="8704">
          <cell r="A8704" t="str">
            <v>2624L537</v>
          </cell>
          <cell r="D8704" t="str">
            <v>KBP86</v>
          </cell>
          <cell r="E8704">
            <v>46200</v>
          </cell>
        </row>
        <row r="8705">
          <cell r="A8705" t="str">
            <v>2624GG47</v>
          </cell>
          <cell r="D8705" t="str">
            <v>KBP76</v>
          </cell>
          <cell r="E8705">
            <v>46200</v>
          </cell>
        </row>
        <row r="8706">
          <cell r="A8706" t="str">
            <v>2622KB27</v>
          </cell>
          <cell r="D8706" t="str">
            <v>FTW121KE</v>
          </cell>
          <cell r="E8706">
            <v>46200</v>
          </cell>
        </row>
        <row r="8707">
          <cell r="A8707" t="str">
            <v>2624FW17</v>
          </cell>
          <cell r="D8707" t="str">
            <v>KBP86</v>
          </cell>
          <cell r="E8707">
            <v>46200</v>
          </cell>
        </row>
        <row r="8708">
          <cell r="A8708" t="str">
            <v>2624KW37</v>
          </cell>
          <cell r="D8708" t="str">
            <v>KBP86</v>
          </cell>
          <cell r="E8708">
            <v>46200</v>
          </cell>
        </row>
        <row r="8709">
          <cell r="A8709" t="str">
            <v>2624I267</v>
          </cell>
          <cell r="D8709" t="str">
            <v>TTS80</v>
          </cell>
          <cell r="E8709">
            <v>46200</v>
          </cell>
        </row>
        <row r="8710">
          <cell r="A8710" t="str">
            <v>2623FB80</v>
          </cell>
          <cell r="D8710" t="str">
            <v>TTS125</v>
          </cell>
          <cell r="E8710">
            <v>46200</v>
          </cell>
        </row>
        <row r="8711">
          <cell r="A8711" t="str">
            <v>2624QZ37</v>
          </cell>
          <cell r="D8711" t="str">
            <v>TTS50</v>
          </cell>
          <cell r="E8711">
            <v>46200</v>
          </cell>
        </row>
        <row r="8712">
          <cell r="A8712" t="str">
            <v>2624PW47</v>
          </cell>
          <cell r="D8712" t="str">
            <v>TTS80</v>
          </cell>
          <cell r="E8712">
            <v>46200</v>
          </cell>
        </row>
        <row r="8713">
          <cell r="A8713" t="str">
            <v>2624EB27</v>
          </cell>
          <cell r="D8713" t="str">
            <v>KBP76</v>
          </cell>
          <cell r="E8713">
            <v>46200</v>
          </cell>
        </row>
        <row r="8714">
          <cell r="A8714" t="str">
            <v>2624QV37</v>
          </cell>
          <cell r="D8714" t="str">
            <v>KBP55</v>
          </cell>
          <cell r="E8714">
            <v>46200</v>
          </cell>
        </row>
        <row r="8715">
          <cell r="A8715" t="str">
            <v>2624PN47</v>
          </cell>
          <cell r="D8715" t="str">
            <v>STA156KA</v>
          </cell>
          <cell r="E8715">
            <v>46200</v>
          </cell>
        </row>
        <row r="8716">
          <cell r="A8716" t="str">
            <v>2625QC17</v>
          </cell>
          <cell r="D8716" t="str">
            <v>FTP200</v>
          </cell>
          <cell r="E8716">
            <v>46200</v>
          </cell>
        </row>
        <row r="8717">
          <cell r="A8717" t="str">
            <v>2624L147</v>
          </cell>
          <cell r="D8717" t="str">
            <v>FTW503</v>
          </cell>
          <cell r="E8717">
            <v>46200</v>
          </cell>
        </row>
        <row r="8718">
          <cell r="A8718" t="str">
            <v>2624LW47</v>
          </cell>
          <cell r="D8718" t="str">
            <v>FTW121KE</v>
          </cell>
          <cell r="E8718">
            <v>46200</v>
          </cell>
        </row>
        <row r="8719">
          <cell r="A8719" t="str">
            <v>2624HV67</v>
          </cell>
          <cell r="D8719" t="str">
            <v>TTS80</v>
          </cell>
          <cell r="E8719">
            <v>46200</v>
          </cell>
        </row>
        <row r="8720">
          <cell r="A8720" t="str">
            <v>2624A667</v>
          </cell>
          <cell r="D8720" t="str">
            <v>FTW121KE</v>
          </cell>
          <cell r="E8720">
            <v>46200</v>
          </cell>
        </row>
        <row r="8721">
          <cell r="A8721" t="str">
            <v>2624IL57</v>
          </cell>
          <cell r="D8721" t="str">
            <v>FTW503</v>
          </cell>
          <cell r="E8721">
            <v>46200</v>
          </cell>
        </row>
        <row r="8722">
          <cell r="A8722" t="str">
            <v>2623HX17</v>
          </cell>
          <cell r="D8722" t="str">
            <v>KBP86</v>
          </cell>
          <cell r="E8722">
            <v>46200</v>
          </cell>
        </row>
        <row r="8723">
          <cell r="A8723" t="str">
            <v>2624JZ37</v>
          </cell>
          <cell r="D8723" t="str">
            <v>KBP126</v>
          </cell>
          <cell r="E8723">
            <v>46200</v>
          </cell>
        </row>
        <row r="8724">
          <cell r="A8724" t="str">
            <v>2624B267</v>
          </cell>
          <cell r="D8724" t="str">
            <v>KBP86</v>
          </cell>
          <cell r="E8724">
            <v>46200</v>
          </cell>
        </row>
        <row r="8725">
          <cell r="A8725" t="str">
            <v>2624Q227</v>
          </cell>
          <cell r="D8725" t="str">
            <v>TTS80</v>
          </cell>
          <cell r="E8725">
            <v>46200</v>
          </cell>
        </row>
        <row r="8726">
          <cell r="A8726" t="str">
            <v>2624JV37</v>
          </cell>
          <cell r="D8726" t="str">
            <v>FTW700</v>
          </cell>
          <cell r="E8726">
            <v>46200</v>
          </cell>
        </row>
        <row r="8727">
          <cell r="A8727" t="str">
            <v>2622ZD57</v>
          </cell>
          <cell r="D8727" t="str">
            <v>S805</v>
          </cell>
          <cell r="E8727">
            <v>46200</v>
          </cell>
        </row>
        <row r="8728">
          <cell r="A8728" t="str">
            <v>2624AK67</v>
          </cell>
          <cell r="D8728" t="str">
            <v>FTW121KE</v>
          </cell>
          <cell r="E8728">
            <v>46200</v>
          </cell>
        </row>
        <row r="8729">
          <cell r="A8729" t="str">
            <v>2624IZ37</v>
          </cell>
          <cell r="D8729" t="str">
            <v>FTW503</v>
          </cell>
          <cell r="E8729">
            <v>46200</v>
          </cell>
        </row>
        <row r="8730">
          <cell r="A8730" t="str">
            <v>2623GE67</v>
          </cell>
          <cell r="D8730" t="str">
            <v>KBP86</v>
          </cell>
          <cell r="E8730">
            <v>46200</v>
          </cell>
        </row>
        <row r="8731">
          <cell r="A8731" t="str">
            <v>2624JN27</v>
          </cell>
          <cell r="D8731" t="str">
            <v>FTW121KE</v>
          </cell>
          <cell r="E8731">
            <v>46200</v>
          </cell>
        </row>
        <row r="8732">
          <cell r="A8732" t="str">
            <v>2623FA50</v>
          </cell>
          <cell r="D8732" t="str">
            <v>TTS125</v>
          </cell>
          <cell r="E8732">
            <v>46200</v>
          </cell>
        </row>
        <row r="8733">
          <cell r="A8733" t="str">
            <v>2623PZ17</v>
          </cell>
          <cell r="D8733" t="str">
            <v>KBP76</v>
          </cell>
          <cell r="E8733">
            <v>46200</v>
          </cell>
        </row>
        <row r="8734">
          <cell r="A8734" t="str">
            <v>2622ZC57</v>
          </cell>
          <cell r="D8734" t="str">
            <v>S805</v>
          </cell>
          <cell r="E8734">
            <v>46200</v>
          </cell>
        </row>
        <row r="8735">
          <cell r="A8735" t="str">
            <v>2624L137</v>
          </cell>
          <cell r="D8735" t="str">
            <v>KBP86</v>
          </cell>
          <cell r="E8735">
            <v>46200</v>
          </cell>
        </row>
        <row r="8736">
          <cell r="A8736" t="str">
            <v>2624P927</v>
          </cell>
          <cell r="D8736" t="str">
            <v>KBP76</v>
          </cell>
          <cell r="E8736">
            <v>46200</v>
          </cell>
        </row>
        <row r="8737">
          <cell r="A8737" t="str">
            <v>2624GL67</v>
          </cell>
          <cell r="D8737" t="str">
            <v>KBP76</v>
          </cell>
          <cell r="E8737">
            <v>46200</v>
          </cell>
        </row>
        <row r="8738">
          <cell r="A8738" t="str">
            <v>2624Q837</v>
          </cell>
          <cell r="D8738" t="str">
            <v>KBP76</v>
          </cell>
          <cell r="E8738">
            <v>46200</v>
          </cell>
        </row>
        <row r="8739">
          <cell r="A8739" t="str">
            <v>2624K137</v>
          </cell>
          <cell r="D8739" t="str">
            <v>KBP126</v>
          </cell>
          <cell r="E8739">
            <v>46200</v>
          </cell>
        </row>
        <row r="8740">
          <cell r="A8740" t="str">
            <v>2624IH37</v>
          </cell>
          <cell r="D8740" t="str">
            <v>FTW503</v>
          </cell>
          <cell r="E8740">
            <v>46200</v>
          </cell>
        </row>
        <row r="8741">
          <cell r="A8741" t="str">
            <v>2622IL37</v>
          </cell>
          <cell r="D8741" t="str">
            <v>KBP86</v>
          </cell>
          <cell r="E8741">
            <v>46200</v>
          </cell>
        </row>
        <row r="8742">
          <cell r="A8742" t="str">
            <v>2623IB67</v>
          </cell>
          <cell r="D8742" t="str">
            <v>KBP52</v>
          </cell>
          <cell r="E8742">
            <v>46200</v>
          </cell>
        </row>
        <row r="8743">
          <cell r="A8743" t="str">
            <v>2623C527</v>
          </cell>
          <cell r="D8743" t="str">
            <v>KBP126</v>
          </cell>
          <cell r="E8743">
            <v>46200</v>
          </cell>
        </row>
        <row r="8744">
          <cell r="A8744" t="str">
            <v>2624LM47</v>
          </cell>
          <cell r="D8744" t="str">
            <v>FTW102K</v>
          </cell>
          <cell r="E8744">
            <v>46200</v>
          </cell>
        </row>
        <row r="8745">
          <cell r="A8745" t="str">
            <v>2622SH37</v>
          </cell>
          <cell r="D8745" t="str">
            <v>FTP200</v>
          </cell>
          <cell r="E8745">
            <v>46200</v>
          </cell>
        </row>
        <row r="8746">
          <cell r="A8746" t="str">
            <v>2624H737</v>
          </cell>
          <cell r="D8746" t="str">
            <v>KBP86</v>
          </cell>
          <cell r="E8746">
            <v>46200</v>
          </cell>
        </row>
        <row r="8747">
          <cell r="A8747" t="str">
            <v>2623K957</v>
          </cell>
          <cell r="D8747" t="str">
            <v>KBP55</v>
          </cell>
          <cell r="E8747">
            <v>46200</v>
          </cell>
        </row>
        <row r="8748">
          <cell r="A8748" t="str">
            <v>2624LV47</v>
          </cell>
          <cell r="D8748" t="str">
            <v>FTW121KE</v>
          </cell>
          <cell r="E8748">
            <v>46200</v>
          </cell>
        </row>
        <row r="8749">
          <cell r="A8749" t="str">
            <v>2624J137</v>
          </cell>
          <cell r="D8749" t="str">
            <v>FTW503</v>
          </cell>
          <cell r="E8749">
            <v>46200</v>
          </cell>
        </row>
        <row r="8750">
          <cell r="A8750" t="str">
            <v>2624PY47</v>
          </cell>
          <cell r="D8750" t="str">
            <v>TTS80</v>
          </cell>
          <cell r="E8750">
            <v>46200</v>
          </cell>
        </row>
        <row r="8751">
          <cell r="A8751" t="str">
            <v>2615A227</v>
          </cell>
          <cell r="D8751" t="str">
            <v>FTP150</v>
          </cell>
          <cell r="E8751">
            <v>46200</v>
          </cell>
        </row>
        <row r="8752">
          <cell r="A8752" t="str">
            <v>2624LX47</v>
          </cell>
          <cell r="D8752" t="str">
            <v>FTW121KE</v>
          </cell>
          <cell r="E8752">
            <v>46200</v>
          </cell>
        </row>
        <row r="8753">
          <cell r="A8753" t="str">
            <v>2623E667</v>
          </cell>
          <cell r="D8753" t="str">
            <v>TTS50</v>
          </cell>
          <cell r="E8753">
            <v>46200</v>
          </cell>
        </row>
        <row r="8754">
          <cell r="A8754" t="str">
            <v>2624JX37</v>
          </cell>
          <cell r="D8754" t="str">
            <v>KBP126</v>
          </cell>
          <cell r="E8754">
            <v>46200</v>
          </cell>
        </row>
        <row r="8755">
          <cell r="A8755" t="str">
            <v>2624KY47</v>
          </cell>
          <cell r="D8755" t="str">
            <v>FTW503</v>
          </cell>
          <cell r="E8755">
            <v>46200</v>
          </cell>
        </row>
        <row r="8756">
          <cell r="A8756" t="str">
            <v>2624EN37</v>
          </cell>
          <cell r="D8756" t="str">
            <v>KBP76</v>
          </cell>
          <cell r="E8756">
            <v>46200</v>
          </cell>
        </row>
        <row r="8757">
          <cell r="A8757" t="str">
            <v>2621A867</v>
          </cell>
          <cell r="D8757" t="str">
            <v>FTW121KE</v>
          </cell>
          <cell r="E8757">
            <v>46200</v>
          </cell>
        </row>
        <row r="8758">
          <cell r="A8758" t="str">
            <v>2624I767</v>
          </cell>
          <cell r="D8758" t="str">
            <v>TTS80</v>
          </cell>
          <cell r="E8758">
            <v>46200</v>
          </cell>
        </row>
        <row r="8759">
          <cell r="A8759" t="str">
            <v>2613IX47</v>
          </cell>
          <cell r="D8759" t="str">
            <v>FTW503</v>
          </cell>
          <cell r="E8759">
            <v>46200</v>
          </cell>
        </row>
        <row r="8760">
          <cell r="A8760" t="str">
            <v>2621P517</v>
          </cell>
          <cell r="D8760" t="str">
            <v>KBP86</v>
          </cell>
          <cell r="E8760">
            <v>46200</v>
          </cell>
        </row>
        <row r="8761">
          <cell r="A8761" t="str">
            <v>2624K527</v>
          </cell>
          <cell r="D8761" t="str">
            <v>KBP86</v>
          </cell>
          <cell r="E8761">
            <v>46200</v>
          </cell>
        </row>
        <row r="8762">
          <cell r="A8762" t="str">
            <v>2624FU17</v>
          </cell>
          <cell r="D8762" t="str">
            <v>KBP86</v>
          </cell>
          <cell r="E8762">
            <v>46200</v>
          </cell>
        </row>
        <row r="8763">
          <cell r="A8763" t="str">
            <v>2624OD47</v>
          </cell>
          <cell r="D8763" t="str">
            <v>KBP52</v>
          </cell>
          <cell r="E8763">
            <v>46200</v>
          </cell>
        </row>
        <row r="8764">
          <cell r="A8764" t="str">
            <v>2624J237</v>
          </cell>
          <cell r="D8764" t="str">
            <v>FTW503</v>
          </cell>
          <cell r="E8764">
            <v>46200</v>
          </cell>
        </row>
        <row r="8765">
          <cell r="A8765" t="str">
            <v>2623IS27</v>
          </cell>
          <cell r="D8765" t="str">
            <v>KBP76</v>
          </cell>
          <cell r="E8765">
            <v>46200</v>
          </cell>
        </row>
        <row r="8766">
          <cell r="A8766" t="str">
            <v>2622A437</v>
          </cell>
          <cell r="D8766" t="str">
            <v>KBP76</v>
          </cell>
          <cell r="E8766">
            <v>46200</v>
          </cell>
        </row>
        <row r="8767">
          <cell r="A8767" t="str">
            <v>2624Q447</v>
          </cell>
          <cell r="D8767" t="str">
            <v>TTS80</v>
          </cell>
          <cell r="E8767">
            <v>46200</v>
          </cell>
        </row>
        <row r="8768">
          <cell r="A8768" t="str">
            <v>2622WA47</v>
          </cell>
          <cell r="D8768" t="str">
            <v>FTP200</v>
          </cell>
          <cell r="E8768">
            <v>46200</v>
          </cell>
        </row>
        <row r="8769">
          <cell r="A8769" t="str">
            <v>2624LH27</v>
          </cell>
          <cell r="D8769" t="str">
            <v>KBP52</v>
          </cell>
          <cell r="E8769">
            <v>46200</v>
          </cell>
        </row>
        <row r="8770">
          <cell r="A8770" t="str">
            <v>2624AA67</v>
          </cell>
          <cell r="D8770" t="str">
            <v>FTW121KE</v>
          </cell>
          <cell r="E8770">
            <v>46200</v>
          </cell>
        </row>
        <row r="8771">
          <cell r="A8771" t="str">
            <v>2624PM47</v>
          </cell>
          <cell r="D8771" t="str">
            <v>STA156KA</v>
          </cell>
          <cell r="E8771">
            <v>46200</v>
          </cell>
        </row>
        <row r="8772">
          <cell r="A8772" t="str">
            <v>2624PE27</v>
          </cell>
          <cell r="D8772" t="str">
            <v>KBP76</v>
          </cell>
          <cell r="E8772">
            <v>46200</v>
          </cell>
        </row>
        <row r="8773">
          <cell r="A8773" t="str">
            <v>2622BW27</v>
          </cell>
          <cell r="D8773" t="str">
            <v>KBP126</v>
          </cell>
          <cell r="E8773">
            <v>46200</v>
          </cell>
        </row>
        <row r="8774">
          <cell r="A8774" t="str">
            <v>2624PR37</v>
          </cell>
          <cell r="D8774" t="str">
            <v>KBP76</v>
          </cell>
          <cell r="E8774">
            <v>46200</v>
          </cell>
        </row>
        <row r="8775">
          <cell r="A8775" t="str">
            <v>2623KP47</v>
          </cell>
          <cell r="D8775" t="str">
            <v>FTW121KE</v>
          </cell>
          <cell r="E8775">
            <v>46200</v>
          </cell>
        </row>
        <row r="8776">
          <cell r="A8776" t="str">
            <v>2624HT27</v>
          </cell>
          <cell r="D8776" t="str">
            <v>S805</v>
          </cell>
          <cell r="E8776">
            <v>46200</v>
          </cell>
        </row>
        <row r="8777">
          <cell r="A8777" t="str">
            <v>2623JO67</v>
          </cell>
          <cell r="D8777" t="str">
            <v>KBP76</v>
          </cell>
          <cell r="E8777">
            <v>46200</v>
          </cell>
        </row>
        <row r="8778">
          <cell r="A8778" t="str">
            <v>2624AD67</v>
          </cell>
          <cell r="D8778" t="str">
            <v>FTW121KE</v>
          </cell>
          <cell r="E8778">
            <v>46200</v>
          </cell>
        </row>
        <row r="8779">
          <cell r="A8779" t="str">
            <v>2623IA57</v>
          </cell>
          <cell r="D8779" t="str">
            <v>KBP126</v>
          </cell>
          <cell r="E8779">
            <v>46200</v>
          </cell>
        </row>
        <row r="8780">
          <cell r="A8780" t="str">
            <v>2623K667</v>
          </cell>
          <cell r="D8780" t="str">
            <v>STA156KA</v>
          </cell>
          <cell r="E8780">
            <v>46200</v>
          </cell>
        </row>
        <row r="8781">
          <cell r="A8781" t="str">
            <v>2624HO57</v>
          </cell>
          <cell r="D8781" t="str">
            <v>KBP52</v>
          </cell>
          <cell r="E8781">
            <v>46200</v>
          </cell>
        </row>
        <row r="8782">
          <cell r="A8782" t="str">
            <v>2624EM37</v>
          </cell>
          <cell r="D8782" t="str">
            <v>KBP76</v>
          </cell>
          <cell r="E8782">
            <v>46200</v>
          </cell>
        </row>
        <row r="8783">
          <cell r="A8783" t="str">
            <v>2623HW17</v>
          </cell>
          <cell r="D8783" t="str">
            <v>KBP86</v>
          </cell>
          <cell r="E8783">
            <v>46200</v>
          </cell>
        </row>
        <row r="8784">
          <cell r="A8784" t="str">
            <v>2623QJ17</v>
          </cell>
          <cell r="D8784" t="str">
            <v>KBP55</v>
          </cell>
          <cell r="E8784">
            <v>46200</v>
          </cell>
        </row>
        <row r="8785">
          <cell r="A8785" t="str">
            <v>2624IQ67</v>
          </cell>
          <cell r="D8785" t="str">
            <v>TTS80</v>
          </cell>
          <cell r="E8785">
            <v>46200</v>
          </cell>
        </row>
        <row r="8786">
          <cell r="A8786" t="str">
            <v>2624QD37</v>
          </cell>
          <cell r="D8786" t="str">
            <v>KBP76</v>
          </cell>
          <cell r="E8786">
            <v>46200</v>
          </cell>
        </row>
        <row r="8787">
          <cell r="A8787" t="str">
            <v>2622LF37</v>
          </cell>
          <cell r="D8787" t="str">
            <v>FTW121KE</v>
          </cell>
          <cell r="E8787">
            <v>46200</v>
          </cell>
        </row>
        <row r="8788">
          <cell r="A8788" t="str">
            <v>2624JG57</v>
          </cell>
          <cell r="D8788" t="str">
            <v>FTW102K</v>
          </cell>
          <cell r="E8788">
            <v>46200</v>
          </cell>
        </row>
        <row r="8789">
          <cell r="A8789" t="str">
            <v>2621AE67</v>
          </cell>
          <cell r="D8789" t="str">
            <v>FTW121KE</v>
          </cell>
          <cell r="E8789">
            <v>46200</v>
          </cell>
        </row>
        <row r="8790">
          <cell r="A8790" t="str">
            <v>2621K137</v>
          </cell>
          <cell r="D8790" t="str">
            <v>FTW121KE</v>
          </cell>
          <cell r="E8790">
            <v>46200</v>
          </cell>
        </row>
        <row r="8791">
          <cell r="A8791" t="str">
            <v>2624LG47</v>
          </cell>
          <cell r="D8791" t="str">
            <v>KBP126</v>
          </cell>
          <cell r="E8791">
            <v>46200</v>
          </cell>
        </row>
        <row r="8792">
          <cell r="A8792" t="str">
            <v>2624PL27</v>
          </cell>
          <cell r="D8792" t="str">
            <v>STA156KA</v>
          </cell>
          <cell r="E8792">
            <v>46200</v>
          </cell>
        </row>
        <row r="8793">
          <cell r="A8793" t="str">
            <v>2624JS57</v>
          </cell>
          <cell r="D8793" t="str">
            <v>FTP200</v>
          </cell>
          <cell r="E8793">
            <v>46200</v>
          </cell>
        </row>
        <row r="8794">
          <cell r="A8794" t="str">
            <v>2624EN27</v>
          </cell>
          <cell r="D8794" t="str">
            <v>KBP86</v>
          </cell>
          <cell r="E8794">
            <v>46200</v>
          </cell>
        </row>
        <row r="8795">
          <cell r="A8795" t="str">
            <v>2624J437</v>
          </cell>
          <cell r="D8795" t="str">
            <v>FTW503</v>
          </cell>
          <cell r="E8795">
            <v>46200</v>
          </cell>
        </row>
        <row r="8796">
          <cell r="A8796" t="str">
            <v>2622WF47</v>
          </cell>
          <cell r="D8796" t="str">
            <v>FTP200</v>
          </cell>
          <cell r="E8796">
            <v>46200</v>
          </cell>
        </row>
        <row r="8797">
          <cell r="A8797" t="str">
            <v>2624LJ47</v>
          </cell>
          <cell r="D8797" t="str">
            <v>KBP126</v>
          </cell>
          <cell r="E8797">
            <v>46200</v>
          </cell>
        </row>
        <row r="8798">
          <cell r="A8798" t="str">
            <v>2624IB57</v>
          </cell>
          <cell r="D8798" t="str">
            <v>S805</v>
          </cell>
          <cell r="E8798">
            <v>46200</v>
          </cell>
        </row>
        <row r="8799">
          <cell r="A8799" t="str">
            <v>2624KZ47</v>
          </cell>
          <cell r="D8799" t="str">
            <v>FTW503</v>
          </cell>
          <cell r="E8799">
            <v>46200</v>
          </cell>
        </row>
        <row r="8800">
          <cell r="A8800" t="str">
            <v>2624IF67</v>
          </cell>
          <cell r="D8800" t="str">
            <v>TTS80</v>
          </cell>
          <cell r="E8800">
            <v>46200</v>
          </cell>
        </row>
        <row r="8801">
          <cell r="A8801" t="str">
            <v>2624J537</v>
          </cell>
          <cell r="D8801" t="str">
            <v>FTW503</v>
          </cell>
          <cell r="E8801">
            <v>46200</v>
          </cell>
        </row>
        <row r="8802">
          <cell r="A8802" t="str">
            <v>2624KM47</v>
          </cell>
          <cell r="D8802" t="str">
            <v>FTW503</v>
          </cell>
          <cell r="E8802">
            <v>46200</v>
          </cell>
        </row>
        <row r="8803">
          <cell r="A8803" t="str">
            <v>2623KE67</v>
          </cell>
          <cell r="D8803" t="str">
            <v>FTP200</v>
          </cell>
          <cell r="E8803">
            <v>46200</v>
          </cell>
        </row>
        <row r="8804">
          <cell r="A8804" t="str">
            <v>2623LX47</v>
          </cell>
          <cell r="D8804" t="str">
            <v>STA156KA</v>
          </cell>
          <cell r="E8804">
            <v>46200</v>
          </cell>
        </row>
        <row r="8805">
          <cell r="A8805" t="str">
            <v>2624IF37</v>
          </cell>
          <cell r="D8805" t="str">
            <v>FTW503</v>
          </cell>
          <cell r="E8805">
            <v>46200</v>
          </cell>
        </row>
        <row r="8806">
          <cell r="A8806" t="str">
            <v>2623LD67</v>
          </cell>
          <cell r="D8806" t="str">
            <v>TTS80</v>
          </cell>
          <cell r="E8806">
            <v>46200</v>
          </cell>
        </row>
        <row r="8807">
          <cell r="A8807" t="str">
            <v>2624HR67</v>
          </cell>
          <cell r="D8807" t="str">
            <v>TTS80</v>
          </cell>
          <cell r="E8807">
            <v>46200</v>
          </cell>
        </row>
        <row r="8808">
          <cell r="A8808" t="str">
            <v>2625LD17</v>
          </cell>
          <cell r="D8808" t="str">
            <v>FTW102K</v>
          </cell>
          <cell r="E8808">
            <v>46200</v>
          </cell>
        </row>
        <row r="8809">
          <cell r="A8809" t="str">
            <v>2622OE37</v>
          </cell>
          <cell r="D8809" t="str">
            <v>KBP86</v>
          </cell>
          <cell r="E8809">
            <v>46200</v>
          </cell>
        </row>
        <row r="8810">
          <cell r="A8810" t="str">
            <v>2624IC67</v>
          </cell>
          <cell r="D8810" t="str">
            <v>TTS80</v>
          </cell>
          <cell r="E8810">
            <v>46200</v>
          </cell>
        </row>
        <row r="8811">
          <cell r="A8811" t="str">
            <v>2623F717</v>
          </cell>
          <cell r="D8811" t="str">
            <v>KBP76</v>
          </cell>
          <cell r="E8811">
            <v>46200</v>
          </cell>
        </row>
        <row r="8812">
          <cell r="A8812" t="str">
            <v>2624I527</v>
          </cell>
          <cell r="D8812" t="str">
            <v>FTW503</v>
          </cell>
          <cell r="E8812">
            <v>46200</v>
          </cell>
        </row>
        <row r="8813">
          <cell r="A8813" t="str">
            <v>2623JH67</v>
          </cell>
          <cell r="D8813" t="str">
            <v>KBP76</v>
          </cell>
          <cell r="E8813">
            <v>46200</v>
          </cell>
        </row>
        <row r="8814">
          <cell r="A8814" t="str">
            <v>2614ZU17</v>
          </cell>
          <cell r="D8814" t="str">
            <v>FTW102K</v>
          </cell>
          <cell r="E8814">
            <v>46200</v>
          </cell>
        </row>
        <row r="8815">
          <cell r="A8815" t="str">
            <v>2622ZC57</v>
          </cell>
          <cell r="D8815" t="str">
            <v>S805</v>
          </cell>
          <cell r="E8815">
            <v>46200</v>
          </cell>
        </row>
        <row r="8816">
          <cell r="A8816" t="str">
            <v>2621E767</v>
          </cell>
          <cell r="D8816" t="str">
            <v>HV80</v>
          </cell>
          <cell r="E8816">
            <v>46199</v>
          </cell>
        </row>
        <row r="8817">
          <cell r="A8817" t="str">
            <v>2508Z617</v>
          </cell>
          <cell r="D8817" t="str">
            <v>FTW102K</v>
          </cell>
          <cell r="E8817">
            <v>46199</v>
          </cell>
        </row>
        <row r="8818">
          <cell r="A8818" t="str">
            <v>2622O527</v>
          </cell>
          <cell r="D8818" t="str">
            <v>HV80</v>
          </cell>
          <cell r="E8818">
            <v>46199</v>
          </cell>
        </row>
        <row r="8819">
          <cell r="A8819" t="str">
            <v>2508Z617</v>
          </cell>
          <cell r="D8819" t="str">
            <v>FTW102K</v>
          </cell>
          <cell r="E8819">
            <v>46199</v>
          </cell>
        </row>
        <row r="8820">
          <cell r="A8820" t="str">
            <v>2619EU57</v>
          </cell>
          <cell r="D8820" t="str">
            <v>HV80</v>
          </cell>
          <cell r="E8820">
            <v>46199</v>
          </cell>
        </row>
        <row r="8821">
          <cell r="A8821" t="str">
            <v>2612Z447</v>
          </cell>
          <cell r="D8821" t="str">
            <v>TTS40</v>
          </cell>
          <cell r="E8821">
            <v>46199</v>
          </cell>
        </row>
        <row r="8822">
          <cell r="A8822" t="str">
            <v>2619I337</v>
          </cell>
          <cell r="D8822" t="str">
            <v>HV80</v>
          </cell>
          <cell r="E8822">
            <v>46199</v>
          </cell>
        </row>
        <row r="8823">
          <cell r="A8823" t="str">
            <v>2621E767</v>
          </cell>
          <cell r="D8823" t="str">
            <v>HV80</v>
          </cell>
          <cell r="E8823">
            <v>46199</v>
          </cell>
        </row>
        <row r="8824">
          <cell r="A8824" t="str">
            <v>2613Z537</v>
          </cell>
          <cell r="D8824" t="str">
            <v>TTS40</v>
          </cell>
          <cell r="E8824">
            <v>46199</v>
          </cell>
        </row>
        <row r="8825">
          <cell r="A8825" t="str">
            <v>2620DV47</v>
          </cell>
          <cell r="D8825" t="str">
            <v>HV80</v>
          </cell>
          <cell r="E8825">
            <v>46199</v>
          </cell>
        </row>
        <row r="8826">
          <cell r="A8826" t="str">
            <v>2624OZ37</v>
          </cell>
          <cell r="D8826" t="str">
            <v>HV80</v>
          </cell>
          <cell r="E8826">
            <v>46199</v>
          </cell>
        </row>
        <row r="8827">
          <cell r="A8827" t="str">
            <v>2619EU57</v>
          </cell>
          <cell r="D8827" t="str">
            <v>HV80</v>
          </cell>
          <cell r="E8827">
            <v>46199</v>
          </cell>
        </row>
        <row r="8828">
          <cell r="A8828" t="str">
            <v>2622C867</v>
          </cell>
          <cell r="D8828" t="str">
            <v>HV80</v>
          </cell>
          <cell r="E8828">
            <v>46199</v>
          </cell>
        </row>
        <row r="8829">
          <cell r="A8829" t="str">
            <v>2619I337</v>
          </cell>
          <cell r="D8829" t="str">
            <v>HV80</v>
          </cell>
          <cell r="E8829">
            <v>46199</v>
          </cell>
        </row>
        <row r="8830">
          <cell r="A8830" t="str">
            <v>2621EN67</v>
          </cell>
          <cell r="D8830" t="str">
            <v>HV80</v>
          </cell>
          <cell r="E8830">
            <v>46199</v>
          </cell>
        </row>
        <row r="8831">
          <cell r="A8831" t="str">
            <v>2622O527</v>
          </cell>
          <cell r="D8831" t="str">
            <v>HV80</v>
          </cell>
          <cell r="E8831">
            <v>46199</v>
          </cell>
        </row>
        <row r="8832">
          <cell r="A8832" t="str">
            <v>2624FC40</v>
          </cell>
          <cell r="D8832" t="str">
            <v>STA200KA</v>
          </cell>
          <cell r="E8832">
            <v>46199</v>
          </cell>
        </row>
        <row r="8833">
          <cell r="A8833" t="str">
            <v>2624PC37</v>
          </cell>
          <cell r="D8833" t="str">
            <v>S706</v>
          </cell>
          <cell r="E8833">
            <v>46199</v>
          </cell>
        </row>
        <row r="8834">
          <cell r="A8834" t="str">
            <v>2624PM37</v>
          </cell>
          <cell r="D8834" t="str">
            <v>S706</v>
          </cell>
          <cell r="E8834">
            <v>46199</v>
          </cell>
        </row>
        <row r="8835">
          <cell r="A8835" t="str">
            <v>2624OD27</v>
          </cell>
          <cell r="D8835" t="str">
            <v>S706</v>
          </cell>
          <cell r="E8835">
            <v>46199</v>
          </cell>
        </row>
        <row r="8836">
          <cell r="A8836" t="str">
            <v>2624OI27</v>
          </cell>
          <cell r="D8836" t="str">
            <v>S706</v>
          </cell>
          <cell r="E8836">
            <v>46199</v>
          </cell>
        </row>
        <row r="8837">
          <cell r="A8837" t="str">
            <v>2624OK27</v>
          </cell>
          <cell r="D8837" t="str">
            <v>S706</v>
          </cell>
          <cell r="E8837">
            <v>46199</v>
          </cell>
        </row>
        <row r="8838">
          <cell r="A8838" t="str">
            <v>2624PE37</v>
          </cell>
          <cell r="D8838" t="str">
            <v>S706</v>
          </cell>
          <cell r="E8838">
            <v>46199</v>
          </cell>
        </row>
        <row r="8839">
          <cell r="A8839" t="str">
            <v>2616I317</v>
          </cell>
          <cell r="D8839" t="str">
            <v>TTS50</v>
          </cell>
          <cell r="E8839">
            <v>46199</v>
          </cell>
        </row>
        <row r="8840">
          <cell r="A8840" t="str">
            <v>2616HW27</v>
          </cell>
          <cell r="D8840" t="str">
            <v>TTS50</v>
          </cell>
          <cell r="E8840">
            <v>46199</v>
          </cell>
        </row>
        <row r="8841">
          <cell r="A8841" t="str">
            <v>2616I227</v>
          </cell>
          <cell r="D8841" t="str">
            <v>TTS50</v>
          </cell>
          <cell r="E8841">
            <v>46199</v>
          </cell>
        </row>
        <row r="8842">
          <cell r="A8842" t="str">
            <v>2616I927</v>
          </cell>
          <cell r="D8842" t="str">
            <v>TTS50</v>
          </cell>
          <cell r="E8842">
            <v>46199</v>
          </cell>
        </row>
        <row r="8843">
          <cell r="A8843" t="str">
            <v>2616I517</v>
          </cell>
          <cell r="D8843" t="str">
            <v>TTS50</v>
          </cell>
          <cell r="E8843">
            <v>46199</v>
          </cell>
        </row>
        <row r="8844">
          <cell r="A8844" t="str">
            <v>2616HC27</v>
          </cell>
          <cell r="D8844" t="str">
            <v>TTS50</v>
          </cell>
          <cell r="E8844">
            <v>46199</v>
          </cell>
        </row>
        <row r="8845">
          <cell r="A8845" t="str">
            <v>2616HG27</v>
          </cell>
          <cell r="D8845" t="str">
            <v>TTS50</v>
          </cell>
          <cell r="E8845">
            <v>46199</v>
          </cell>
        </row>
        <row r="8846">
          <cell r="A8846" t="str">
            <v>2616IQ17</v>
          </cell>
          <cell r="D8846" t="str">
            <v>TTS50</v>
          </cell>
          <cell r="E8846">
            <v>46199</v>
          </cell>
        </row>
        <row r="8847">
          <cell r="A8847" t="str">
            <v>2616HT27</v>
          </cell>
          <cell r="D8847" t="str">
            <v>TTS50</v>
          </cell>
          <cell r="E8847">
            <v>46199</v>
          </cell>
        </row>
        <row r="8848">
          <cell r="A8848" t="str">
            <v>2616I937</v>
          </cell>
          <cell r="D8848" t="str">
            <v>TTS50</v>
          </cell>
          <cell r="E8848">
            <v>46199</v>
          </cell>
        </row>
        <row r="8849">
          <cell r="A8849" t="str">
            <v>2616J737</v>
          </cell>
          <cell r="D8849" t="str">
            <v>TTS50</v>
          </cell>
          <cell r="E8849">
            <v>46199</v>
          </cell>
        </row>
        <row r="8850">
          <cell r="A8850" t="str">
            <v>2616IO37</v>
          </cell>
          <cell r="D8850" t="str">
            <v>TTS50</v>
          </cell>
          <cell r="E8850">
            <v>46199</v>
          </cell>
        </row>
        <row r="8851">
          <cell r="A8851" t="str">
            <v>2616IY37</v>
          </cell>
          <cell r="D8851" t="str">
            <v>TTS50</v>
          </cell>
          <cell r="E8851">
            <v>46199</v>
          </cell>
        </row>
        <row r="8852">
          <cell r="A8852" t="str">
            <v>2616IX37</v>
          </cell>
          <cell r="D8852" t="str">
            <v>TTS50</v>
          </cell>
          <cell r="E8852">
            <v>46199</v>
          </cell>
        </row>
        <row r="8853">
          <cell r="A8853" t="str">
            <v>2616J837</v>
          </cell>
          <cell r="D8853" t="str">
            <v>TTS50</v>
          </cell>
          <cell r="E8853">
            <v>46199</v>
          </cell>
        </row>
        <row r="8854">
          <cell r="A8854" t="str">
            <v>2616IA37</v>
          </cell>
          <cell r="D8854" t="str">
            <v>TTS50</v>
          </cell>
          <cell r="E8854">
            <v>46199</v>
          </cell>
        </row>
        <row r="8855">
          <cell r="A8855" t="str">
            <v>2616IH37</v>
          </cell>
          <cell r="D8855" t="str">
            <v>TTS50</v>
          </cell>
          <cell r="E8855">
            <v>46199</v>
          </cell>
        </row>
        <row r="8856">
          <cell r="A8856" t="str">
            <v>2616IJ37</v>
          </cell>
          <cell r="D8856" t="str">
            <v>TTS50</v>
          </cell>
          <cell r="E8856">
            <v>46199</v>
          </cell>
        </row>
        <row r="8857">
          <cell r="A8857" t="str">
            <v>2616IP37</v>
          </cell>
          <cell r="D8857" t="str">
            <v>TTS50</v>
          </cell>
          <cell r="E8857">
            <v>46199</v>
          </cell>
        </row>
        <row r="8858">
          <cell r="A8858" t="str">
            <v>2616IZ37</v>
          </cell>
          <cell r="D8858" t="str">
            <v>TTS50</v>
          </cell>
          <cell r="E8858">
            <v>46199</v>
          </cell>
        </row>
        <row r="8859">
          <cell r="A8859" t="str">
            <v>2616J337</v>
          </cell>
          <cell r="D8859" t="str">
            <v>TTS50</v>
          </cell>
          <cell r="E8859">
            <v>46199</v>
          </cell>
        </row>
        <row r="8860">
          <cell r="A8860" t="str">
            <v>2616JB37</v>
          </cell>
          <cell r="D8860" t="str">
            <v>TTS50</v>
          </cell>
          <cell r="E8860">
            <v>46199</v>
          </cell>
        </row>
        <row r="8861">
          <cell r="A8861" t="str">
            <v>2616GY47</v>
          </cell>
          <cell r="D8861" t="str">
            <v>TTS50</v>
          </cell>
          <cell r="E8861">
            <v>46199</v>
          </cell>
        </row>
        <row r="8862">
          <cell r="A8862" t="str">
            <v>2616IC37</v>
          </cell>
          <cell r="D8862" t="str">
            <v>TTS50</v>
          </cell>
          <cell r="E8862">
            <v>46199</v>
          </cell>
        </row>
        <row r="8863">
          <cell r="A8863" t="str">
            <v>2616GE47</v>
          </cell>
          <cell r="D8863" t="str">
            <v>TTS50</v>
          </cell>
          <cell r="E8863">
            <v>46199</v>
          </cell>
        </row>
        <row r="8864">
          <cell r="A8864" t="str">
            <v>2624LK47</v>
          </cell>
          <cell r="D8864" t="str">
            <v>FTW102K</v>
          </cell>
          <cell r="E8864">
            <v>46199</v>
          </cell>
        </row>
        <row r="8865">
          <cell r="A8865" t="str">
            <v>2623AW67</v>
          </cell>
          <cell r="D8865" t="str">
            <v>STA200KA</v>
          </cell>
          <cell r="E8865">
            <v>46199</v>
          </cell>
        </row>
        <row r="8866">
          <cell r="A8866" t="str">
            <v>2624FC17</v>
          </cell>
          <cell r="D8866" t="str">
            <v>FTW121KE</v>
          </cell>
          <cell r="E8866">
            <v>46199</v>
          </cell>
        </row>
        <row r="8867">
          <cell r="A8867" t="str">
            <v>2615AA27</v>
          </cell>
          <cell r="D8867" t="str">
            <v>FTP150</v>
          </cell>
          <cell r="E8867">
            <v>46199</v>
          </cell>
        </row>
        <row r="8868">
          <cell r="A8868" t="str">
            <v>2624PH47</v>
          </cell>
          <cell r="D8868" t="str">
            <v>KBP76</v>
          </cell>
          <cell r="E8868">
            <v>46199</v>
          </cell>
        </row>
        <row r="8869">
          <cell r="A8869" t="str">
            <v>2623KR67</v>
          </cell>
          <cell r="D8869" t="str">
            <v>TTS80</v>
          </cell>
          <cell r="E8869">
            <v>46199</v>
          </cell>
        </row>
        <row r="8870">
          <cell r="A8870" t="str">
            <v>2624KD37</v>
          </cell>
          <cell r="D8870" t="str">
            <v>FTW121KE</v>
          </cell>
          <cell r="E8870">
            <v>46199</v>
          </cell>
        </row>
        <row r="8871">
          <cell r="A8871" t="str">
            <v>2624J917</v>
          </cell>
          <cell r="D8871" t="str">
            <v>TTS50</v>
          </cell>
          <cell r="E8871">
            <v>46199</v>
          </cell>
        </row>
        <row r="8872">
          <cell r="A8872" t="str">
            <v>2624LP47</v>
          </cell>
          <cell r="D8872" t="str">
            <v>FTW102K</v>
          </cell>
          <cell r="E8872">
            <v>46199</v>
          </cell>
        </row>
        <row r="8873">
          <cell r="A8873" t="str">
            <v>2619P757</v>
          </cell>
          <cell r="D8873" t="str">
            <v>TTS50</v>
          </cell>
          <cell r="E8873">
            <v>46199</v>
          </cell>
        </row>
        <row r="8874">
          <cell r="A8874" t="str">
            <v>2623LC67</v>
          </cell>
          <cell r="D8874" t="str">
            <v>TTS80</v>
          </cell>
          <cell r="E8874">
            <v>46199</v>
          </cell>
        </row>
        <row r="8875">
          <cell r="A8875" t="str">
            <v>2622UB57</v>
          </cell>
          <cell r="D8875" t="str">
            <v>KBP86</v>
          </cell>
          <cell r="E8875">
            <v>46199</v>
          </cell>
        </row>
        <row r="8876">
          <cell r="A8876" t="str">
            <v>2623F367</v>
          </cell>
          <cell r="D8876" t="str">
            <v>FTW121KE</v>
          </cell>
          <cell r="E8876">
            <v>46199</v>
          </cell>
        </row>
        <row r="8877">
          <cell r="A8877" t="str">
            <v>2621IW37</v>
          </cell>
          <cell r="D8877" t="str">
            <v>S805</v>
          </cell>
          <cell r="E8877">
            <v>46199</v>
          </cell>
        </row>
        <row r="8878">
          <cell r="A8878" t="str">
            <v>2622AB67</v>
          </cell>
          <cell r="D8878" t="str">
            <v>KBP86</v>
          </cell>
          <cell r="E8878">
            <v>46199</v>
          </cell>
        </row>
        <row r="8879">
          <cell r="A8879" t="str">
            <v>2623G327</v>
          </cell>
          <cell r="D8879" t="str">
            <v>KBP86</v>
          </cell>
          <cell r="E8879">
            <v>46199</v>
          </cell>
        </row>
        <row r="8880">
          <cell r="A8880" t="str">
            <v>2624S937</v>
          </cell>
          <cell r="D8880" t="str">
            <v>TTS80</v>
          </cell>
          <cell r="E8880">
            <v>46199</v>
          </cell>
        </row>
        <row r="8881">
          <cell r="A8881" t="str">
            <v>2619A357</v>
          </cell>
          <cell r="D8881" t="str">
            <v>FTW102K</v>
          </cell>
          <cell r="E8881">
            <v>46199</v>
          </cell>
        </row>
        <row r="8882">
          <cell r="A8882" t="str">
            <v>2619DF47</v>
          </cell>
          <cell r="D8882" t="str">
            <v>TTS50</v>
          </cell>
          <cell r="E8882">
            <v>46199</v>
          </cell>
        </row>
        <row r="8883">
          <cell r="A8883" t="str">
            <v>2624HU27</v>
          </cell>
          <cell r="D8883" t="str">
            <v>S805</v>
          </cell>
          <cell r="E8883">
            <v>46199</v>
          </cell>
        </row>
        <row r="8884">
          <cell r="A8884" t="str">
            <v>2624JB57</v>
          </cell>
          <cell r="D8884" t="str">
            <v>FTW102K</v>
          </cell>
          <cell r="E8884">
            <v>46199</v>
          </cell>
        </row>
        <row r="8885">
          <cell r="A8885" t="str">
            <v>2621CT67</v>
          </cell>
          <cell r="D8885" t="str">
            <v>KBP86</v>
          </cell>
          <cell r="E8885">
            <v>46199</v>
          </cell>
        </row>
        <row r="8886">
          <cell r="A8886" t="str">
            <v>2622W147</v>
          </cell>
          <cell r="D8886" t="str">
            <v>TTS50</v>
          </cell>
          <cell r="E8886">
            <v>46199</v>
          </cell>
        </row>
        <row r="8887">
          <cell r="A8887" t="str">
            <v>2623FA67</v>
          </cell>
          <cell r="D8887" t="str">
            <v>FTW121KE</v>
          </cell>
          <cell r="E8887">
            <v>46199</v>
          </cell>
        </row>
        <row r="8888">
          <cell r="A8888" t="str">
            <v>2621EL67</v>
          </cell>
          <cell r="D8888" t="str">
            <v>HV80</v>
          </cell>
          <cell r="E8888">
            <v>46199</v>
          </cell>
        </row>
        <row r="8889">
          <cell r="A8889" t="str">
            <v>2623FQ67</v>
          </cell>
          <cell r="D8889" t="str">
            <v>FTW121KE</v>
          </cell>
          <cell r="E8889">
            <v>46199</v>
          </cell>
        </row>
        <row r="8890">
          <cell r="A8890" t="str">
            <v>2624J817</v>
          </cell>
          <cell r="D8890" t="str">
            <v>TTS50</v>
          </cell>
          <cell r="E8890">
            <v>46199</v>
          </cell>
        </row>
        <row r="8891">
          <cell r="A8891" t="str">
            <v>2624J927</v>
          </cell>
          <cell r="D8891" t="str">
            <v>FTW102K</v>
          </cell>
          <cell r="E8891">
            <v>46199</v>
          </cell>
        </row>
        <row r="8892">
          <cell r="A8892" t="str">
            <v>2624PU27</v>
          </cell>
          <cell r="D8892" t="str">
            <v>TTS80</v>
          </cell>
          <cell r="E8892">
            <v>46199</v>
          </cell>
        </row>
        <row r="8893">
          <cell r="A8893" t="str">
            <v>2623K767</v>
          </cell>
          <cell r="D8893" t="str">
            <v>STA156KA</v>
          </cell>
          <cell r="E8893">
            <v>46199</v>
          </cell>
        </row>
        <row r="8894">
          <cell r="A8894" t="str">
            <v>2622CV57</v>
          </cell>
          <cell r="D8894" t="str">
            <v>KBP86</v>
          </cell>
          <cell r="E8894">
            <v>46199</v>
          </cell>
        </row>
        <row r="8895">
          <cell r="A8895" t="str">
            <v>2621QL17</v>
          </cell>
          <cell r="D8895" t="str">
            <v>TTS50</v>
          </cell>
          <cell r="E8895">
            <v>46199</v>
          </cell>
        </row>
        <row r="8896">
          <cell r="A8896" t="str">
            <v>2623L717</v>
          </cell>
          <cell r="D8896" t="str">
            <v>FTW121KE</v>
          </cell>
          <cell r="E8896">
            <v>46199</v>
          </cell>
        </row>
        <row r="8897">
          <cell r="A8897" t="str">
            <v>2624FE17</v>
          </cell>
          <cell r="D8897" t="str">
            <v>FTW121KE</v>
          </cell>
          <cell r="E8897">
            <v>46199</v>
          </cell>
        </row>
        <row r="8898">
          <cell r="A8898" t="str">
            <v>2624GK67</v>
          </cell>
          <cell r="D8898" t="str">
            <v>KBP76</v>
          </cell>
          <cell r="E8898">
            <v>46199</v>
          </cell>
        </row>
        <row r="8899">
          <cell r="A8899" t="str">
            <v>2622UG57</v>
          </cell>
          <cell r="D8899" t="str">
            <v>KBP86</v>
          </cell>
          <cell r="E8899">
            <v>46199</v>
          </cell>
        </row>
        <row r="8900">
          <cell r="A8900" t="str">
            <v>2621D167</v>
          </cell>
          <cell r="D8900" t="str">
            <v>KBP86</v>
          </cell>
          <cell r="E8900">
            <v>46199</v>
          </cell>
        </row>
        <row r="8901">
          <cell r="A8901" t="str">
            <v>2622UD57</v>
          </cell>
          <cell r="D8901" t="str">
            <v>KBP86</v>
          </cell>
          <cell r="E8901">
            <v>46199</v>
          </cell>
        </row>
        <row r="8902">
          <cell r="A8902" t="str">
            <v>2624GU17</v>
          </cell>
          <cell r="D8902" t="str">
            <v>KBP52</v>
          </cell>
          <cell r="E8902">
            <v>46199</v>
          </cell>
        </row>
        <row r="8903">
          <cell r="A8903" t="str">
            <v>2622DM67</v>
          </cell>
          <cell r="D8903" t="str">
            <v>KBP76</v>
          </cell>
          <cell r="E8903">
            <v>46199</v>
          </cell>
        </row>
        <row r="8904">
          <cell r="A8904" t="str">
            <v>2624PJ47</v>
          </cell>
          <cell r="D8904" t="str">
            <v>KBP76</v>
          </cell>
          <cell r="E8904">
            <v>46199</v>
          </cell>
        </row>
        <row r="8905">
          <cell r="A8905" t="str">
            <v>2623HZ17</v>
          </cell>
          <cell r="D8905" t="str">
            <v>KBP86</v>
          </cell>
          <cell r="E8905">
            <v>46199</v>
          </cell>
        </row>
        <row r="8906">
          <cell r="A8906" t="str">
            <v>2624LJ27</v>
          </cell>
          <cell r="D8906" t="str">
            <v>KBP52</v>
          </cell>
          <cell r="E8906">
            <v>46199</v>
          </cell>
        </row>
        <row r="8907">
          <cell r="A8907" t="str">
            <v>2624JH27</v>
          </cell>
          <cell r="D8907" t="str">
            <v>FTW121KE</v>
          </cell>
          <cell r="E8907">
            <v>46199</v>
          </cell>
        </row>
        <row r="8908">
          <cell r="A8908" t="str">
            <v>2621KI47</v>
          </cell>
          <cell r="D8908" t="str">
            <v>FTW121KE</v>
          </cell>
          <cell r="E8908">
            <v>46199</v>
          </cell>
        </row>
        <row r="8909">
          <cell r="A8909" t="str">
            <v>2624GS17</v>
          </cell>
          <cell r="D8909" t="str">
            <v>KBP52</v>
          </cell>
          <cell r="E8909">
            <v>46199</v>
          </cell>
        </row>
        <row r="8910">
          <cell r="A8910" t="str">
            <v>2624P917</v>
          </cell>
          <cell r="D8910" t="str">
            <v>TTS80</v>
          </cell>
          <cell r="E8910">
            <v>46199</v>
          </cell>
        </row>
        <row r="8911">
          <cell r="A8911" t="str">
            <v>2623DQ67</v>
          </cell>
          <cell r="D8911" t="str">
            <v>TTS50</v>
          </cell>
          <cell r="E8911">
            <v>46199</v>
          </cell>
        </row>
        <row r="8912">
          <cell r="A8912" t="str">
            <v>2624J717</v>
          </cell>
          <cell r="D8912" t="str">
            <v>TTS50</v>
          </cell>
          <cell r="E8912">
            <v>46199</v>
          </cell>
        </row>
        <row r="8913">
          <cell r="A8913" t="str">
            <v>2622KM17</v>
          </cell>
          <cell r="D8913" t="str">
            <v>KBP86</v>
          </cell>
          <cell r="E8913">
            <v>46199</v>
          </cell>
        </row>
        <row r="8914">
          <cell r="A8914" t="str">
            <v>2623FW67</v>
          </cell>
          <cell r="D8914" t="str">
            <v>KBP86</v>
          </cell>
          <cell r="E8914">
            <v>46199</v>
          </cell>
        </row>
        <row r="8915">
          <cell r="A8915" t="str">
            <v>2623DA67</v>
          </cell>
          <cell r="D8915" t="str">
            <v>S805</v>
          </cell>
          <cell r="E8915">
            <v>46199</v>
          </cell>
        </row>
        <row r="8916">
          <cell r="A8916" t="str">
            <v>2620YR17</v>
          </cell>
          <cell r="D8916" t="str">
            <v>KBP86</v>
          </cell>
          <cell r="E8916">
            <v>46199</v>
          </cell>
        </row>
        <row r="8917">
          <cell r="A8917" t="str">
            <v>2623DH27</v>
          </cell>
          <cell r="D8917" t="str">
            <v>KBP76</v>
          </cell>
          <cell r="E8917">
            <v>46199</v>
          </cell>
        </row>
        <row r="8918">
          <cell r="A8918" t="str">
            <v>2623FB67</v>
          </cell>
          <cell r="D8918" t="str">
            <v>FTW121KE</v>
          </cell>
          <cell r="E8918">
            <v>46199</v>
          </cell>
        </row>
        <row r="8919">
          <cell r="A8919" t="str">
            <v>2622DK67</v>
          </cell>
          <cell r="D8919" t="str">
            <v>KBP76</v>
          </cell>
          <cell r="E8919">
            <v>46199</v>
          </cell>
        </row>
        <row r="8920">
          <cell r="A8920" t="str">
            <v>2624EO67</v>
          </cell>
          <cell r="D8920" t="str">
            <v>FTW700</v>
          </cell>
          <cell r="E8920">
            <v>46199</v>
          </cell>
        </row>
        <row r="8921">
          <cell r="A8921" t="str">
            <v>2623EE67</v>
          </cell>
          <cell r="D8921" t="str">
            <v>TTS50</v>
          </cell>
          <cell r="E8921">
            <v>46199</v>
          </cell>
        </row>
        <row r="8922">
          <cell r="A8922" t="str">
            <v>2624IF57</v>
          </cell>
          <cell r="D8922" t="str">
            <v>FTP150</v>
          </cell>
          <cell r="E8922">
            <v>46199</v>
          </cell>
        </row>
        <row r="8923">
          <cell r="A8923" t="str">
            <v>2619IO37</v>
          </cell>
          <cell r="D8923" t="str">
            <v>TTS50</v>
          </cell>
          <cell r="E8923">
            <v>46199</v>
          </cell>
        </row>
        <row r="8924">
          <cell r="A8924" t="str">
            <v>2621O347</v>
          </cell>
          <cell r="D8924" t="str">
            <v>KBP86</v>
          </cell>
          <cell r="E8924">
            <v>46199</v>
          </cell>
        </row>
        <row r="8925">
          <cell r="A8925" t="str">
            <v>2624K547</v>
          </cell>
          <cell r="D8925" t="str">
            <v>KBP76</v>
          </cell>
          <cell r="E8925">
            <v>46199</v>
          </cell>
        </row>
        <row r="8926">
          <cell r="A8926" t="str">
            <v>2624KF37</v>
          </cell>
          <cell r="D8926" t="str">
            <v>FTW121KE</v>
          </cell>
          <cell r="E8926">
            <v>46199</v>
          </cell>
        </row>
        <row r="8927">
          <cell r="A8927" t="str">
            <v>2624K337</v>
          </cell>
          <cell r="D8927" t="str">
            <v>FTW102K</v>
          </cell>
          <cell r="E8927">
            <v>46199</v>
          </cell>
        </row>
        <row r="8928">
          <cell r="A8928" t="str">
            <v>2624S537</v>
          </cell>
          <cell r="D8928" t="str">
            <v>TTS80</v>
          </cell>
          <cell r="E8928">
            <v>46199</v>
          </cell>
        </row>
        <row r="8929">
          <cell r="A8929" t="str">
            <v>2624JI27</v>
          </cell>
          <cell r="D8929" t="str">
            <v>FTW121KE</v>
          </cell>
          <cell r="E8929">
            <v>46199</v>
          </cell>
        </row>
        <row r="8930">
          <cell r="A8930" t="str">
            <v>2624JT27</v>
          </cell>
          <cell r="D8930" t="str">
            <v>FTW121KE</v>
          </cell>
          <cell r="E8930">
            <v>46199</v>
          </cell>
        </row>
        <row r="8931">
          <cell r="A8931" t="str">
            <v>2624Q327</v>
          </cell>
          <cell r="D8931" t="str">
            <v>TTS80</v>
          </cell>
          <cell r="E8931">
            <v>46199</v>
          </cell>
        </row>
        <row r="8932">
          <cell r="A8932" t="str">
            <v>2606LD57</v>
          </cell>
          <cell r="D8932" t="str">
            <v>KBP52</v>
          </cell>
          <cell r="E8932">
            <v>46199</v>
          </cell>
        </row>
        <row r="8933">
          <cell r="A8933" t="str">
            <v>2622P517</v>
          </cell>
          <cell r="D8933" t="str">
            <v>KBP86</v>
          </cell>
          <cell r="E8933">
            <v>46199</v>
          </cell>
        </row>
        <row r="8934">
          <cell r="A8934" t="str">
            <v>2622WW57</v>
          </cell>
          <cell r="D8934" t="str">
            <v>FTW700</v>
          </cell>
          <cell r="E8934">
            <v>46199</v>
          </cell>
        </row>
        <row r="8935">
          <cell r="A8935" t="str">
            <v>2621OT17</v>
          </cell>
          <cell r="D8935" t="str">
            <v>FTW121KE</v>
          </cell>
          <cell r="E8935">
            <v>46199</v>
          </cell>
        </row>
        <row r="8936">
          <cell r="A8936" t="str">
            <v>2624FK17</v>
          </cell>
          <cell r="D8936" t="str">
            <v>FTW121KE</v>
          </cell>
          <cell r="E8936">
            <v>46199</v>
          </cell>
        </row>
        <row r="8937">
          <cell r="A8937" t="str">
            <v>2620ZZ17</v>
          </cell>
          <cell r="D8937" t="str">
            <v>KBP86</v>
          </cell>
          <cell r="E8937">
            <v>46199</v>
          </cell>
        </row>
        <row r="8938">
          <cell r="A8938" t="str">
            <v>2624PD17</v>
          </cell>
          <cell r="D8938" t="str">
            <v>TTS80</v>
          </cell>
          <cell r="E8938">
            <v>46199</v>
          </cell>
        </row>
        <row r="8939">
          <cell r="A8939" t="str">
            <v>2620LB17</v>
          </cell>
          <cell r="D8939" t="str">
            <v>TTS50</v>
          </cell>
          <cell r="E8939">
            <v>46199</v>
          </cell>
        </row>
        <row r="8940">
          <cell r="A8940" t="str">
            <v>2623LH67</v>
          </cell>
          <cell r="D8940" t="str">
            <v>TTS80</v>
          </cell>
          <cell r="E8940">
            <v>46199</v>
          </cell>
        </row>
        <row r="8941">
          <cell r="A8941" t="str">
            <v>2622D657</v>
          </cell>
          <cell r="D8941" t="str">
            <v>S805</v>
          </cell>
          <cell r="E8941">
            <v>46199</v>
          </cell>
        </row>
        <row r="8942">
          <cell r="A8942" t="str">
            <v>2623F247</v>
          </cell>
          <cell r="D8942" t="str">
            <v>KBP86</v>
          </cell>
          <cell r="E8942">
            <v>46199</v>
          </cell>
        </row>
        <row r="8943">
          <cell r="A8943" t="str">
            <v>2622LP27</v>
          </cell>
          <cell r="D8943" t="str">
            <v>KBP86</v>
          </cell>
          <cell r="E8943">
            <v>46199</v>
          </cell>
        </row>
        <row r="8944">
          <cell r="A8944" t="str">
            <v>2623A957</v>
          </cell>
          <cell r="D8944" t="str">
            <v>KBP126</v>
          </cell>
          <cell r="E8944">
            <v>46199</v>
          </cell>
        </row>
        <row r="8945">
          <cell r="A8945" t="str">
            <v>2622L447</v>
          </cell>
          <cell r="D8945" t="str">
            <v>KBP86</v>
          </cell>
          <cell r="E8945">
            <v>46199</v>
          </cell>
        </row>
        <row r="8946">
          <cell r="A8946" t="str">
            <v>2622LY57</v>
          </cell>
          <cell r="D8946" t="str">
            <v>KBP126</v>
          </cell>
          <cell r="E8946">
            <v>46199</v>
          </cell>
        </row>
        <row r="8947">
          <cell r="A8947" t="str">
            <v>2623H367</v>
          </cell>
          <cell r="D8947" t="str">
            <v>KBP52</v>
          </cell>
          <cell r="E8947">
            <v>46199</v>
          </cell>
        </row>
        <row r="8948">
          <cell r="A8948" t="str">
            <v>2624BT37</v>
          </cell>
          <cell r="D8948" t="str">
            <v>KBP126</v>
          </cell>
          <cell r="E8948">
            <v>46199</v>
          </cell>
        </row>
        <row r="8949">
          <cell r="A8949" t="str">
            <v>2621JD27</v>
          </cell>
          <cell r="D8949" t="str">
            <v>KBP86</v>
          </cell>
          <cell r="E8949">
            <v>46199</v>
          </cell>
        </row>
        <row r="8950">
          <cell r="A8950" t="str">
            <v>2624CK17</v>
          </cell>
          <cell r="D8950" t="str">
            <v>KBP86</v>
          </cell>
          <cell r="E8950">
            <v>46199</v>
          </cell>
        </row>
        <row r="8951">
          <cell r="A8951" t="str">
            <v>2623AA57</v>
          </cell>
          <cell r="D8951" t="str">
            <v>KBP126</v>
          </cell>
          <cell r="E8951">
            <v>46199</v>
          </cell>
        </row>
        <row r="8952">
          <cell r="A8952" t="str">
            <v>2623K847</v>
          </cell>
          <cell r="D8952" t="str">
            <v>FTW121KE</v>
          </cell>
          <cell r="E8952">
            <v>46199</v>
          </cell>
        </row>
        <row r="8953">
          <cell r="A8953" t="str">
            <v>2623K867</v>
          </cell>
          <cell r="D8953" t="str">
            <v>STA156KA</v>
          </cell>
          <cell r="E8953">
            <v>46199</v>
          </cell>
        </row>
        <row r="8954">
          <cell r="A8954" t="str">
            <v>2623K517</v>
          </cell>
          <cell r="D8954" t="str">
            <v>TTS50</v>
          </cell>
          <cell r="E8954">
            <v>46199</v>
          </cell>
        </row>
        <row r="8955">
          <cell r="A8955" t="str">
            <v>2619YR57</v>
          </cell>
          <cell r="D8955" t="str">
            <v>KBP86</v>
          </cell>
          <cell r="E8955">
            <v>46199</v>
          </cell>
        </row>
        <row r="8956">
          <cell r="A8956" t="str">
            <v>2624ZB37</v>
          </cell>
          <cell r="D8956" t="str">
            <v>KBP76</v>
          </cell>
          <cell r="E8956">
            <v>46199</v>
          </cell>
        </row>
        <row r="8957">
          <cell r="A8957" t="str">
            <v>2623O117</v>
          </cell>
          <cell r="D8957" t="str">
            <v>KBP52</v>
          </cell>
          <cell r="E8957">
            <v>46199</v>
          </cell>
        </row>
        <row r="8958">
          <cell r="A8958" t="str">
            <v>2622O737</v>
          </cell>
          <cell r="D8958" t="str">
            <v>KBP86</v>
          </cell>
          <cell r="E8958">
            <v>46199</v>
          </cell>
        </row>
        <row r="8959">
          <cell r="A8959" t="str">
            <v>2624SB37</v>
          </cell>
          <cell r="D8959" t="str">
            <v>TTS80</v>
          </cell>
          <cell r="E8959">
            <v>46199</v>
          </cell>
        </row>
        <row r="8960">
          <cell r="A8960" t="str">
            <v>2623DD27</v>
          </cell>
          <cell r="D8960" t="str">
            <v>S805</v>
          </cell>
          <cell r="E8960">
            <v>46199</v>
          </cell>
        </row>
        <row r="8961">
          <cell r="A8961" t="str">
            <v>2624QP37</v>
          </cell>
          <cell r="D8961" t="str">
            <v>KBP74</v>
          </cell>
          <cell r="E8961">
            <v>46199</v>
          </cell>
        </row>
        <row r="8962">
          <cell r="A8962" t="str">
            <v>2624J527</v>
          </cell>
          <cell r="D8962" t="str">
            <v>FTW700</v>
          </cell>
          <cell r="E8962">
            <v>46199</v>
          </cell>
        </row>
        <row r="8963">
          <cell r="A8963" t="str">
            <v>2620LV27</v>
          </cell>
          <cell r="D8963" t="str">
            <v>TTS50</v>
          </cell>
          <cell r="E8963">
            <v>46199</v>
          </cell>
        </row>
        <row r="8964">
          <cell r="A8964" t="str">
            <v>2624GP67</v>
          </cell>
          <cell r="D8964" t="str">
            <v>KBP76</v>
          </cell>
          <cell r="E8964">
            <v>46199</v>
          </cell>
        </row>
        <row r="8965">
          <cell r="A8965" t="str">
            <v>2623AC57</v>
          </cell>
          <cell r="D8965" t="str">
            <v>KBP126</v>
          </cell>
          <cell r="E8965">
            <v>46199</v>
          </cell>
        </row>
        <row r="8966">
          <cell r="A8966" t="str">
            <v>2623C437</v>
          </cell>
          <cell r="D8966" t="str">
            <v>KBP126</v>
          </cell>
          <cell r="E8966">
            <v>46199</v>
          </cell>
        </row>
        <row r="8967">
          <cell r="A8967" t="str">
            <v>2624JE27</v>
          </cell>
          <cell r="D8967" t="str">
            <v>FTW102K</v>
          </cell>
          <cell r="E8967">
            <v>46199</v>
          </cell>
        </row>
        <row r="8968">
          <cell r="A8968" t="str">
            <v>2624OB47</v>
          </cell>
          <cell r="D8968" t="str">
            <v>FTW700</v>
          </cell>
          <cell r="E8968">
            <v>46199</v>
          </cell>
        </row>
        <row r="8969">
          <cell r="A8969" t="str">
            <v>2624IQ17</v>
          </cell>
          <cell r="D8969" t="str">
            <v>KBP76</v>
          </cell>
          <cell r="E8969">
            <v>46199</v>
          </cell>
        </row>
        <row r="8970">
          <cell r="A8970" t="str">
            <v>2621GK67</v>
          </cell>
          <cell r="D8970" t="str">
            <v>KBP76</v>
          </cell>
          <cell r="E8970">
            <v>46199</v>
          </cell>
        </row>
        <row r="8971">
          <cell r="A8971" t="str">
            <v>2624OC47</v>
          </cell>
          <cell r="D8971" t="str">
            <v>FTW700</v>
          </cell>
          <cell r="E8971">
            <v>46199</v>
          </cell>
        </row>
        <row r="8972">
          <cell r="A8972" t="str">
            <v>2623KJ67</v>
          </cell>
          <cell r="D8972" t="str">
            <v>FTP200</v>
          </cell>
          <cell r="E8972">
            <v>46199</v>
          </cell>
        </row>
        <row r="8973">
          <cell r="A8973" t="str">
            <v>2623KA47</v>
          </cell>
          <cell r="D8973" t="str">
            <v>FTW121KE</v>
          </cell>
          <cell r="E8973">
            <v>46199</v>
          </cell>
        </row>
        <row r="8974">
          <cell r="A8974" t="str">
            <v>2622AJ67</v>
          </cell>
          <cell r="D8974" t="str">
            <v>KBP86</v>
          </cell>
          <cell r="E8974">
            <v>46199</v>
          </cell>
        </row>
        <row r="8975">
          <cell r="A8975" t="str">
            <v>2624OA47</v>
          </cell>
          <cell r="D8975" t="str">
            <v>FTW700</v>
          </cell>
          <cell r="E8975">
            <v>46199</v>
          </cell>
        </row>
        <row r="8976">
          <cell r="A8976" t="str">
            <v>2619WM27</v>
          </cell>
          <cell r="D8976" t="str">
            <v>TTS50</v>
          </cell>
          <cell r="E8976">
            <v>46199</v>
          </cell>
        </row>
        <row r="8977">
          <cell r="A8977" t="str">
            <v>2624EI67</v>
          </cell>
          <cell r="D8977" t="str">
            <v>FTW700</v>
          </cell>
          <cell r="E8977">
            <v>46199</v>
          </cell>
        </row>
        <row r="8978">
          <cell r="A8978" t="str">
            <v>2624K347</v>
          </cell>
          <cell r="D8978" t="str">
            <v>KBP76</v>
          </cell>
          <cell r="E8978">
            <v>46199</v>
          </cell>
        </row>
        <row r="8979">
          <cell r="A8979" t="str">
            <v>2621IL27</v>
          </cell>
          <cell r="D8979" t="str">
            <v>FTW121KE</v>
          </cell>
          <cell r="E8979">
            <v>46199</v>
          </cell>
        </row>
        <row r="8980">
          <cell r="A8980" t="str">
            <v>2620BN67</v>
          </cell>
          <cell r="D8980" t="str">
            <v>TTS50</v>
          </cell>
          <cell r="E8980">
            <v>46199</v>
          </cell>
        </row>
        <row r="8981">
          <cell r="A8981" t="str">
            <v>2624F917</v>
          </cell>
          <cell r="D8981" t="str">
            <v>FTW121KE</v>
          </cell>
          <cell r="E8981">
            <v>46199</v>
          </cell>
        </row>
        <row r="8982">
          <cell r="A8982" t="str">
            <v>2623QZ37</v>
          </cell>
          <cell r="D8982" t="str">
            <v>KBP126</v>
          </cell>
          <cell r="E8982">
            <v>46199</v>
          </cell>
        </row>
        <row r="8983">
          <cell r="A8983" t="str">
            <v>2623CY67</v>
          </cell>
          <cell r="D8983" t="str">
            <v>KBP86</v>
          </cell>
          <cell r="E8983">
            <v>46199</v>
          </cell>
        </row>
        <row r="8984">
          <cell r="A8984" t="str">
            <v>2624JA17</v>
          </cell>
          <cell r="D8984" t="str">
            <v>TTS50</v>
          </cell>
          <cell r="E8984">
            <v>46199</v>
          </cell>
        </row>
        <row r="8985">
          <cell r="A8985" t="str">
            <v>2624PG17</v>
          </cell>
          <cell r="D8985" t="str">
            <v>TTS80</v>
          </cell>
          <cell r="E8985">
            <v>46199</v>
          </cell>
        </row>
        <row r="8986">
          <cell r="A8986" t="str">
            <v>2623F617</v>
          </cell>
          <cell r="D8986" t="str">
            <v>KBP126</v>
          </cell>
          <cell r="E8986">
            <v>46199</v>
          </cell>
        </row>
        <row r="8987">
          <cell r="A8987" t="str">
            <v>2624P827</v>
          </cell>
          <cell r="D8987" t="str">
            <v>KBP76</v>
          </cell>
          <cell r="E8987">
            <v>46199</v>
          </cell>
        </row>
        <row r="8988">
          <cell r="A8988" t="str">
            <v>2622QM17</v>
          </cell>
          <cell r="D8988" t="str">
            <v>KBP76</v>
          </cell>
          <cell r="E8988">
            <v>46199</v>
          </cell>
        </row>
        <row r="8989">
          <cell r="A8989" t="str">
            <v>2623K747</v>
          </cell>
          <cell r="D8989" t="str">
            <v>FTW121KE</v>
          </cell>
          <cell r="E8989">
            <v>46199</v>
          </cell>
        </row>
        <row r="8990">
          <cell r="A8990" t="str">
            <v>2624HG37</v>
          </cell>
          <cell r="D8990" t="str">
            <v>KBP86</v>
          </cell>
          <cell r="E8990">
            <v>46199</v>
          </cell>
        </row>
        <row r="8991">
          <cell r="A8991" t="str">
            <v>2623DD17</v>
          </cell>
          <cell r="D8991" t="str">
            <v>KBP126</v>
          </cell>
          <cell r="E8991">
            <v>46199</v>
          </cell>
        </row>
        <row r="8992">
          <cell r="A8992" t="str">
            <v>2623EQ67</v>
          </cell>
          <cell r="D8992" t="str">
            <v>FTW700</v>
          </cell>
          <cell r="E8992">
            <v>46199</v>
          </cell>
        </row>
        <row r="8993">
          <cell r="A8993" t="str">
            <v>2623IT57</v>
          </cell>
          <cell r="D8993" t="str">
            <v>FTW121KE</v>
          </cell>
          <cell r="E8993">
            <v>46199</v>
          </cell>
        </row>
        <row r="8994">
          <cell r="A8994" t="str">
            <v>2621IC27</v>
          </cell>
          <cell r="D8994" t="str">
            <v>FTW121KE</v>
          </cell>
          <cell r="E8994">
            <v>46199</v>
          </cell>
        </row>
        <row r="8995">
          <cell r="A8995" t="str">
            <v>2621PH27</v>
          </cell>
          <cell r="D8995" t="str">
            <v>KBP74</v>
          </cell>
          <cell r="E8995">
            <v>46199</v>
          </cell>
        </row>
        <row r="8996">
          <cell r="A8996" t="str">
            <v>2623BQ67</v>
          </cell>
          <cell r="D8996" t="str">
            <v>KBP76</v>
          </cell>
          <cell r="E8996">
            <v>46198</v>
          </cell>
        </row>
        <row r="8997">
          <cell r="A8997" t="str">
            <v>2623BQ67</v>
          </cell>
          <cell r="D8997" t="str">
            <v>KBP76</v>
          </cell>
          <cell r="E8997">
            <v>46198</v>
          </cell>
        </row>
        <row r="8998">
          <cell r="A8998" t="str">
            <v>2621ED67</v>
          </cell>
          <cell r="D8998" t="str">
            <v>HV80</v>
          </cell>
          <cell r="E8998">
            <v>46198</v>
          </cell>
        </row>
        <row r="8999">
          <cell r="A8999" t="str">
            <v>2624IH57</v>
          </cell>
          <cell r="D8999" t="str">
            <v>FTP150</v>
          </cell>
          <cell r="E8999">
            <v>46198</v>
          </cell>
        </row>
        <row r="9000">
          <cell r="A9000" t="str">
            <v>2624LV27</v>
          </cell>
          <cell r="D9000" t="str">
            <v>HV80</v>
          </cell>
          <cell r="E9000">
            <v>46198</v>
          </cell>
        </row>
        <row r="9001">
          <cell r="A9001" t="str">
            <v>2612Z247</v>
          </cell>
          <cell r="D9001" t="str">
            <v>TTS40</v>
          </cell>
          <cell r="E9001">
            <v>46198</v>
          </cell>
        </row>
        <row r="9002">
          <cell r="A9002" t="str">
            <v>2623PF37</v>
          </cell>
          <cell r="D9002" t="str">
            <v>HV80</v>
          </cell>
          <cell r="E9002">
            <v>46198</v>
          </cell>
        </row>
        <row r="9003">
          <cell r="A9003" t="str">
            <v>2624SY57</v>
          </cell>
          <cell r="D9003" t="str">
            <v>S15MB</v>
          </cell>
          <cell r="E9003">
            <v>46198</v>
          </cell>
        </row>
        <row r="9004">
          <cell r="A9004" t="str">
            <v>2624OA57</v>
          </cell>
          <cell r="D9004" t="str">
            <v>KBP55</v>
          </cell>
          <cell r="E9004">
            <v>46198</v>
          </cell>
        </row>
        <row r="9005">
          <cell r="A9005" t="str">
            <v>2446OA47</v>
          </cell>
          <cell r="D9005" t="str">
            <v>FTW102K</v>
          </cell>
          <cell r="E9005">
            <v>46198</v>
          </cell>
        </row>
        <row r="9006">
          <cell r="A9006" t="str">
            <v>2619IV17</v>
          </cell>
          <cell r="D9006" t="str">
            <v>TTS50</v>
          </cell>
          <cell r="E9006">
            <v>46198</v>
          </cell>
        </row>
        <row r="9007">
          <cell r="A9007" t="str">
            <v>2623AX67</v>
          </cell>
          <cell r="D9007" t="str">
            <v>KBP76</v>
          </cell>
          <cell r="E9007">
            <v>46198</v>
          </cell>
        </row>
        <row r="9008">
          <cell r="A9008" t="str">
            <v>2618X147</v>
          </cell>
          <cell r="D9008" t="str">
            <v>TTS50</v>
          </cell>
          <cell r="E9008">
            <v>46198</v>
          </cell>
        </row>
        <row r="9009">
          <cell r="A9009" t="str">
            <v>2612Z347</v>
          </cell>
          <cell r="D9009" t="str">
            <v>TTS40</v>
          </cell>
          <cell r="E9009">
            <v>46198</v>
          </cell>
        </row>
        <row r="9010">
          <cell r="A9010" t="str">
            <v>2623BQ67</v>
          </cell>
          <cell r="D9010" t="str">
            <v>KBP86F</v>
          </cell>
          <cell r="E9010">
            <v>46198</v>
          </cell>
        </row>
        <row r="9011">
          <cell r="A9011" t="str">
            <v>2624K227</v>
          </cell>
          <cell r="D9011" t="str">
            <v>KBP86</v>
          </cell>
          <cell r="E9011">
            <v>46198</v>
          </cell>
        </row>
        <row r="9012">
          <cell r="A9012" t="str">
            <v>2624OP47</v>
          </cell>
          <cell r="D9012" t="str">
            <v>HV80</v>
          </cell>
          <cell r="E9012">
            <v>46198</v>
          </cell>
        </row>
        <row r="9013">
          <cell r="A9013" t="str">
            <v>2621KE37</v>
          </cell>
          <cell r="D9013" t="str">
            <v>KBP86</v>
          </cell>
          <cell r="E9013">
            <v>46198</v>
          </cell>
        </row>
        <row r="9014">
          <cell r="A9014" t="str">
            <v>2623LO47</v>
          </cell>
          <cell r="D9014" t="str">
            <v>KBP76</v>
          </cell>
          <cell r="E9014">
            <v>46198</v>
          </cell>
        </row>
        <row r="9015">
          <cell r="A9015" t="str">
            <v>2622KI27</v>
          </cell>
          <cell r="D9015" t="str">
            <v>FTW121KE</v>
          </cell>
          <cell r="E9015">
            <v>46198</v>
          </cell>
        </row>
        <row r="9016">
          <cell r="A9016" t="str">
            <v>2623FN67</v>
          </cell>
          <cell r="D9016" t="str">
            <v>FTW121KE</v>
          </cell>
          <cell r="E9016">
            <v>46198</v>
          </cell>
        </row>
        <row r="9017">
          <cell r="A9017" t="str">
            <v>2623I567</v>
          </cell>
          <cell r="D9017" t="str">
            <v>KBP52</v>
          </cell>
          <cell r="E9017">
            <v>46198</v>
          </cell>
        </row>
        <row r="9018">
          <cell r="A9018" t="str">
            <v>2622DT67</v>
          </cell>
          <cell r="D9018" t="str">
            <v>KBP76</v>
          </cell>
          <cell r="E9018">
            <v>46198</v>
          </cell>
        </row>
        <row r="9019">
          <cell r="A9019" t="str">
            <v>2621KV47</v>
          </cell>
          <cell r="D9019" t="str">
            <v>FTW121KE</v>
          </cell>
          <cell r="E9019">
            <v>46198</v>
          </cell>
        </row>
        <row r="9020">
          <cell r="A9020" t="str">
            <v>2624JG27</v>
          </cell>
          <cell r="D9020" t="str">
            <v>FTW121KE</v>
          </cell>
          <cell r="E9020">
            <v>46198</v>
          </cell>
        </row>
        <row r="9021">
          <cell r="A9021" t="str">
            <v>2623IH57</v>
          </cell>
          <cell r="D9021" t="str">
            <v>FTW102K</v>
          </cell>
          <cell r="E9021">
            <v>46198</v>
          </cell>
        </row>
        <row r="9022">
          <cell r="A9022" t="str">
            <v>2624S837</v>
          </cell>
          <cell r="D9022" t="str">
            <v>TTS80</v>
          </cell>
          <cell r="E9022">
            <v>46198</v>
          </cell>
        </row>
        <row r="9023">
          <cell r="A9023" t="str">
            <v>2624LF47</v>
          </cell>
          <cell r="D9023" t="str">
            <v>KBP126</v>
          </cell>
          <cell r="E9023">
            <v>46198</v>
          </cell>
        </row>
        <row r="9024">
          <cell r="A9024" t="str">
            <v>2624EH67</v>
          </cell>
          <cell r="D9024" t="str">
            <v>FTP200</v>
          </cell>
          <cell r="E9024">
            <v>46198</v>
          </cell>
        </row>
        <row r="9025">
          <cell r="A9025" t="str">
            <v>2623E967</v>
          </cell>
          <cell r="D9025" t="str">
            <v>TTS50</v>
          </cell>
          <cell r="E9025">
            <v>46198</v>
          </cell>
        </row>
        <row r="9026">
          <cell r="A9026" t="str">
            <v>2623KY17</v>
          </cell>
          <cell r="D9026" t="str">
            <v>FTW121KE</v>
          </cell>
          <cell r="E9026">
            <v>46198</v>
          </cell>
        </row>
        <row r="9027">
          <cell r="A9027" t="str">
            <v>2621OR47</v>
          </cell>
          <cell r="D9027" t="str">
            <v>KBP86</v>
          </cell>
          <cell r="E9027">
            <v>46198</v>
          </cell>
        </row>
        <row r="9028">
          <cell r="A9028" t="str">
            <v>2619OZ57</v>
          </cell>
          <cell r="D9028" t="str">
            <v>TTS50</v>
          </cell>
          <cell r="E9028">
            <v>46198</v>
          </cell>
        </row>
        <row r="9029">
          <cell r="A9029" t="str">
            <v>2623J637</v>
          </cell>
          <cell r="D9029" t="str">
            <v>S805</v>
          </cell>
          <cell r="E9029">
            <v>46198</v>
          </cell>
        </row>
        <row r="9030">
          <cell r="A9030" t="str">
            <v>2624Q427</v>
          </cell>
          <cell r="D9030" t="str">
            <v>TTS80</v>
          </cell>
          <cell r="E9030">
            <v>46198</v>
          </cell>
        </row>
        <row r="9031">
          <cell r="A9031" t="str">
            <v>2623JJ27</v>
          </cell>
          <cell r="D9031" t="str">
            <v>TTS80</v>
          </cell>
          <cell r="E9031">
            <v>46198</v>
          </cell>
        </row>
        <row r="9032">
          <cell r="A9032" t="str">
            <v>2623C327</v>
          </cell>
          <cell r="D9032" t="str">
            <v>KBP126</v>
          </cell>
          <cell r="E9032">
            <v>46198</v>
          </cell>
        </row>
        <row r="9033">
          <cell r="A9033" t="str">
            <v>2622KQ27</v>
          </cell>
          <cell r="D9033" t="str">
            <v>FTW121KE</v>
          </cell>
          <cell r="E9033">
            <v>46198</v>
          </cell>
        </row>
        <row r="9034">
          <cell r="A9034" t="str">
            <v>2623KB67</v>
          </cell>
          <cell r="D9034" t="str">
            <v>KBP74</v>
          </cell>
          <cell r="E9034">
            <v>46198</v>
          </cell>
        </row>
        <row r="9035">
          <cell r="A9035" t="str">
            <v>2621XU57</v>
          </cell>
          <cell r="D9035" t="str">
            <v>FTW121KE</v>
          </cell>
          <cell r="E9035">
            <v>46198</v>
          </cell>
        </row>
        <row r="9036">
          <cell r="A9036" t="str">
            <v>2624IE57</v>
          </cell>
          <cell r="D9036" t="str">
            <v>FTP150</v>
          </cell>
          <cell r="E9036">
            <v>46198</v>
          </cell>
        </row>
        <row r="9037">
          <cell r="A9037" t="str">
            <v>2623IE57</v>
          </cell>
          <cell r="D9037" t="str">
            <v>KBP126</v>
          </cell>
          <cell r="E9037">
            <v>46198</v>
          </cell>
        </row>
        <row r="9038">
          <cell r="A9038" t="str">
            <v>2621DV57</v>
          </cell>
          <cell r="D9038" t="str">
            <v>FTW121KE</v>
          </cell>
          <cell r="E9038">
            <v>46198</v>
          </cell>
        </row>
        <row r="9039">
          <cell r="A9039" t="str">
            <v>2623C967</v>
          </cell>
          <cell r="D9039" t="str">
            <v>KBP86</v>
          </cell>
          <cell r="E9039">
            <v>46198</v>
          </cell>
        </row>
        <row r="9040">
          <cell r="A9040" t="str">
            <v>2624CM37</v>
          </cell>
          <cell r="D9040" t="str">
            <v>S15MB</v>
          </cell>
          <cell r="E9040">
            <v>46198</v>
          </cell>
        </row>
        <row r="9041">
          <cell r="A9041" t="str">
            <v>2622XB57</v>
          </cell>
          <cell r="D9041" t="str">
            <v>FTW121KE</v>
          </cell>
          <cell r="E9041">
            <v>46198</v>
          </cell>
        </row>
        <row r="9042">
          <cell r="A9042" t="str">
            <v>2606L647</v>
          </cell>
          <cell r="D9042" t="str">
            <v>KBP52</v>
          </cell>
          <cell r="E9042">
            <v>46198</v>
          </cell>
        </row>
        <row r="9043">
          <cell r="A9043" t="str">
            <v>2623DW67</v>
          </cell>
          <cell r="D9043" t="str">
            <v>TTS50</v>
          </cell>
          <cell r="E9043">
            <v>46198</v>
          </cell>
        </row>
        <row r="9044">
          <cell r="A9044" t="str">
            <v>2623LL67</v>
          </cell>
          <cell r="D9044" t="str">
            <v>TTS80</v>
          </cell>
          <cell r="E9044">
            <v>46198</v>
          </cell>
        </row>
        <row r="9045">
          <cell r="A9045" t="str">
            <v>2621O747</v>
          </cell>
          <cell r="D9045" t="str">
            <v>KBP86</v>
          </cell>
          <cell r="E9045">
            <v>46198</v>
          </cell>
        </row>
        <row r="9046">
          <cell r="A9046" t="str">
            <v>2623LD37</v>
          </cell>
          <cell r="D9046" t="str">
            <v>FTW121KE</v>
          </cell>
          <cell r="E9046">
            <v>46198</v>
          </cell>
        </row>
        <row r="9047">
          <cell r="A9047" t="str">
            <v>2624QU37</v>
          </cell>
          <cell r="D9047" t="str">
            <v>KBP55</v>
          </cell>
          <cell r="E9047">
            <v>46198</v>
          </cell>
        </row>
        <row r="9048">
          <cell r="A9048" t="str">
            <v>2623LX67</v>
          </cell>
          <cell r="D9048" t="str">
            <v>TTS80</v>
          </cell>
          <cell r="E9048">
            <v>46198</v>
          </cell>
        </row>
        <row r="9049">
          <cell r="A9049" t="str">
            <v>2623I847</v>
          </cell>
          <cell r="D9049" t="str">
            <v>KBP86</v>
          </cell>
          <cell r="E9049">
            <v>46198</v>
          </cell>
        </row>
        <row r="9050">
          <cell r="A9050" t="str">
            <v>2623H667</v>
          </cell>
          <cell r="D9050" t="str">
            <v>KBP52</v>
          </cell>
          <cell r="E9050">
            <v>46198</v>
          </cell>
        </row>
        <row r="9051">
          <cell r="A9051" t="str">
            <v>2623CK27</v>
          </cell>
          <cell r="D9051" t="str">
            <v>KBP86</v>
          </cell>
          <cell r="E9051">
            <v>46198</v>
          </cell>
        </row>
        <row r="9052">
          <cell r="A9052" t="str">
            <v>2623LY47</v>
          </cell>
          <cell r="D9052" t="str">
            <v>KBP74</v>
          </cell>
          <cell r="E9052">
            <v>46198</v>
          </cell>
        </row>
        <row r="9053">
          <cell r="A9053" t="str">
            <v>2623CE67</v>
          </cell>
          <cell r="D9053" t="str">
            <v>KBP86</v>
          </cell>
          <cell r="E9053">
            <v>46198</v>
          </cell>
        </row>
        <row r="9054">
          <cell r="A9054" t="str">
            <v>2624JT57</v>
          </cell>
          <cell r="D9054" t="str">
            <v>FTP200</v>
          </cell>
          <cell r="E9054">
            <v>46198</v>
          </cell>
        </row>
        <row r="9055">
          <cell r="A9055" t="str">
            <v>2620HB57</v>
          </cell>
          <cell r="D9055" t="str">
            <v>KBP86</v>
          </cell>
          <cell r="E9055">
            <v>46198</v>
          </cell>
        </row>
        <row r="9056">
          <cell r="A9056" t="str">
            <v>2623KP67</v>
          </cell>
          <cell r="D9056" t="str">
            <v>TTS80</v>
          </cell>
          <cell r="E9056">
            <v>46198</v>
          </cell>
        </row>
        <row r="9057">
          <cell r="A9057" t="str">
            <v>2624JU57</v>
          </cell>
          <cell r="D9057" t="str">
            <v>FTP200</v>
          </cell>
          <cell r="E9057">
            <v>46198</v>
          </cell>
        </row>
        <row r="9058">
          <cell r="A9058" t="str">
            <v>2623IA67</v>
          </cell>
          <cell r="D9058" t="str">
            <v>KBP52</v>
          </cell>
          <cell r="E9058">
            <v>46198</v>
          </cell>
        </row>
        <row r="9059">
          <cell r="A9059" t="str">
            <v>2622S747</v>
          </cell>
          <cell r="D9059" t="str">
            <v>KBP86</v>
          </cell>
          <cell r="E9059">
            <v>46198</v>
          </cell>
        </row>
        <row r="9060">
          <cell r="A9060" t="str">
            <v>2624K927</v>
          </cell>
          <cell r="D9060" t="str">
            <v>KBP86</v>
          </cell>
          <cell r="E9060">
            <v>46198</v>
          </cell>
        </row>
        <row r="9061">
          <cell r="A9061" t="str">
            <v>2622QY47</v>
          </cell>
          <cell r="D9061" t="str">
            <v>KBP86</v>
          </cell>
          <cell r="E9061">
            <v>46198</v>
          </cell>
        </row>
        <row r="9062">
          <cell r="A9062" t="str">
            <v>2623QP37</v>
          </cell>
          <cell r="D9062" t="str">
            <v>KBP76</v>
          </cell>
          <cell r="E9062">
            <v>46198</v>
          </cell>
        </row>
        <row r="9063">
          <cell r="A9063" t="str">
            <v>2624J727</v>
          </cell>
          <cell r="D9063" t="str">
            <v>KBP126</v>
          </cell>
          <cell r="E9063">
            <v>46198</v>
          </cell>
        </row>
        <row r="9064">
          <cell r="A9064" t="str">
            <v>2623CZ47</v>
          </cell>
          <cell r="D9064" t="str">
            <v>KBP126</v>
          </cell>
          <cell r="E9064">
            <v>46198</v>
          </cell>
        </row>
        <row r="9065">
          <cell r="A9065" t="str">
            <v>2624L637</v>
          </cell>
          <cell r="D9065" t="str">
            <v>KBP86</v>
          </cell>
          <cell r="E9065">
            <v>46198</v>
          </cell>
        </row>
        <row r="9066">
          <cell r="A9066" t="str">
            <v>2623D147</v>
          </cell>
          <cell r="D9066" t="str">
            <v>KBP126</v>
          </cell>
          <cell r="E9066">
            <v>46198</v>
          </cell>
        </row>
        <row r="9067">
          <cell r="A9067" t="str">
            <v>2622QX47</v>
          </cell>
          <cell r="D9067" t="str">
            <v>FTW121KE</v>
          </cell>
          <cell r="E9067">
            <v>46198</v>
          </cell>
        </row>
        <row r="9068">
          <cell r="A9068" t="str">
            <v>2624Q547</v>
          </cell>
          <cell r="D9068" t="str">
            <v>KBP76</v>
          </cell>
          <cell r="E9068">
            <v>46198</v>
          </cell>
        </row>
        <row r="9069">
          <cell r="A9069" t="str">
            <v>2624QA37</v>
          </cell>
          <cell r="D9069" t="str">
            <v>KBP76</v>
          </cell>
          <cell r="E9069">
            <v>46198</v>
          </cell>
        </row>
        <row r="9070">
          <cell r="A9070" t="str">
            <v>2624Q347</v>
          </cell>
          <cell r="D9070" t="str">
            <v>TTS80</v>
          </cell>
          <cell r="E9070">
            <v>46198</v>
          </cell>
        </row>
        <row r="9071">
          <cell r="A9071" t="str">
            <v>2623C637</v>
          </cell>
          <cell r="D9071" t="str">
            <v>KBP126</v>
          </cell>
          <cell r="E9071">
            <v>46198</v>
          </cell>
        </row>
        <row r="9072">
          <cell r="A9072" t="str">
            <v>2623GG67</v>
          </cell>
          <cell r="D9072" t="str">
            <v>KBP86</v>
          </cell>
          <cell r="E9072">
            <v>46198</v>
          </cell>
        </row>
        <row r="9073">
          <cell r="A9073" t="str">
            <v>2623EV67</v>
          </cell>
          <cell r="D9073" t="str">
            <v>KBP126</v>
          </cell>
          <cell r="E9073">
            <v>46198</v>
          </cell>
        </row>
        <row r="9074">
          <cell r="A9074" t="str">
            <v>2624FD17</v>
          </cell>
          <cell r="D9074" t="str">
            <v>FTW121KE</v>
          </cell>
          <cell r="E9074">
            <v>46198</v>
          </cell>
        </row>
        <row r="9075">
          <cell r="A9075" t="str">
            <v>2621XG57</v>
          </cell>
          <cell r="D9075" t="str">
            <v>FTW121KE</v>
          </cell>
          <cell r="E9075">
            <v>46198</v>
          </cell>
        </row>
        <row r="9076">
          <cell r="A9076" t="str">
            <v>2624PX47</v>
          </cell>
          <cell r="D9076" t="str">
            <v>TTS80</v>
          </cell>
          <cell r="E9076">
            <v>46198</v>
          </cell>
        </row>
        <row r="9077">
          <cell r="A9077" t="str">
            <v>2622QV47</v>
          </cell>
          <cell r="D9077" t="str">
            <v>FTW121KE</v>
          </cell>
          <cell r="E9077">
            <v>46198</v>
          </cell>
        </row>
        <row r="9078">
          <cell r="A9078" t="str">
            <v>2624U157</v>
          </cell>
          <cell r="D9078" t="str">
            <v>S15MB</v>
          </cell>
          <cell r="E9078">
            <v>46198</v>
          </cell>
        </row>
        <row r="9079">
          <cell r="A9079" t="str">
            <v>2623LB67</v>
          </cell>
          <cell r="D9079" t="str">
            <v>TTS80</v>
          </cell>
          <cell r="E9079">
            <v>46198</v>
          </cell>
        </row>
        <row r="9080">
          <cell r="A9080" t="str">
            <v>2624QN37</v>
          </cell>
          <cell r="D9080" t="str">
            <v>KBP74</v>
          </cell>
          <cell r="E9080">
            <v>46198</v>
          </cell>
        </row>
        <row r="9081">
          <cell r="A9081" t="str">
            <v>2624J217</v>
          </cell>
          <cell r="D9081" t="str">
            <v>KBP74</v>
          </cell>
          <cell r="E9081">
            <v>46198</v>
          </cell>
        </row>
        <row r="9082">
          <cell r="A9082" t="str">
            <v>2624LI27</v>
          </cell>
          <cell r="D9082" t="str">
            <v>KBP52</v>
          </cell>
          <cell r="E9082">
            <v>46198</v>
          </cell>
        </row>
        <row r="9083">
          <cell r="A9083" t="str">
            <v>2624BU27</v>
          </cell>
          <cell r="D9083" t="str">
            <v>KBP126</v>
          </cell>
          <cell r="E9083">
            <v>46198</v>
          </cell>
        </row>
        <row r="9084">
          <cell r="A9084" t="str">
            <v>2622DL57</v>
          </cell>
          <cell r="D9084" t="str">
            <v>TTS50</v>
          </cell>
          <cell r="E9084">
            <v>46198</v>
          </cell>
        </row>
        <row r="9085">
          <cell r="A9085" t="str">
            <v>2624LA37</v>
          </cell>
          <cell r="D9085" t="str">
            <v>FTW700</v>
          </cell>
          <cell r="E9085">
            <v>46198</v>
          </cell>
        </row>
        <row r="9086">
          <cell r="A9086" t="str">
            <v>2623IK67</v>
          </cell>
          <cell r="D9086" t="str">
            <v>TTS50</v>
          </cell>
          <cell r="E9086">
            <v>46198</v>
          </cell>
        </row>
        <row r="9087">
          <cell r="A9087" t="str">
            <v>2624HD37</v>
          </cell>
          <cell r="D9087" t="str">
            <v>KBP86</v>
          </cell>
          <cell r="E9087">
            <v>46198</v>
          </cell>
        </row>
        <row r="9088">
          <cell r="A9088" t="str">
            <v>2623C767</v>
          </cell>
          <cell r="D9088" t="str">
            <v>KBP86</v>
          </cell>
          <cell r="E9088">
            <v>46198</v>
          </cell>
        </row>
        <row r="9089">
          <cell r="A9089" t="str">
            <v>2624CP37</v>
          </cell>
          <cell r="D9089" t="str">
            <v>S15MB</v>
          </cell>
          <cell r="E9089">
            <v>46198</v>
          </cell>
        </row>
        <row r="9090">
          <cell r="A9090" t="str">
            <v>2621XW57</v>
          </cell>
          <cell r="D9090" t="str">
            <v>FTW121KE</v>
          </cell>
          <cell r="E9090">
            <v>46198</v>
          </cell>
        </row>
        <row r="9091">
          <cell r="A9091" t="str">
            <v>2624JC27</v>
          </cell>
          <cell r="D9091" t="str">
            <v>FTW102K</v>
          </cell>
          <cell r="E9091">
            <v>46198</v>
          </cell>
        </row>
        <row r="9092">
          <cell r="A9092" t="str">
            <v>2624FA17</v>
          </cell>
          <cell r="D9092" t="str">
            <v>FTW121KE</v>
          </cell>
          <cell r="E9092">
            <v>46198</v>
          </cell>
        </row>
        <row r="9093">
          <cell r="A9093" t="str">
            <v>2620I657</v>
          </cell>
          <cell r="D9093" t="str">
            <v>KBP86</v>
          </cell>
          <cell r="E9093">
            <v>46198</v>
          </cell>
        </row>
        <row r="9094">
          <cell r="A9094" t="str">
            <v>2624O147</v>
          </cell>
          <cell r="D9094" t="str">
            <v>FTW121KE</v>
          </cell>
          <cell r="E9094">
            <v>46198</v>
          </cell>
        </row>
        <row r="9095">
          <cell r="A9095" t="str">
            <v>2624JT37</v>
          </cell>
          <cell r="D9095" t="str">
            <v>FTW700</v>
          </cell>
          <cell r="E9095">
            <v>46198</v>
          </cell>
        </row>
        <row r="9096">
          <cell r="A9096" t="str">
            <v>2623KI67</v>
          </cell>
          <cell r="D9096" t="str">
            <v>FTP200</v>
          </cell>
          <cell r="E9096">
            <v>46198</v>
          </cell>
        </row>
        <row r="9097">
          <cell r="A9097" t="str">
            <v>2624CO37</v>
          </cell>
          <cell r="D9097" t="str">
            <v>S15MB</v>
          </cell>
          <cell r="E9097">
            <v>46198</v>
          </cell>
        </row>
        <row r="9098">
          <cell r="A9098" t="str">
            <v>2624PN27</v>
          </cell>
          <cell r="D9098" t="str">
            <v>KBP74</v>
          </cell>
          <cell r="E9098">
            <v>46198</v>
          </cell>
        </row>
        <row r="9099">
          <cell r="A9099" t="str">
            <v>2622VK47</v>
          </cell>
          <cell r="D9099" t="str">
            <v>KBP76</v>
          </cell>
          <cell r="E9099">
            <v>46198</v>
          </cell>
        </row>
        <row r="9100">
          <cell r="A9100" t="str">
            <v>2624HN17</v>
          </cell>
          <cell r="D9100" t="str">
            <v>TTS50</v>
          </cell>
          <cell r="E9100">
            <v>46198</v>
          </cell>
        </row>
        <row r="9101">
          <cell r="A9101" t="str">
            <v>2624PI17</v>
          </cell>
          <cell r="D9101" t="str">
            <v>TTS80</v>
          </cell>
          <cell r="E9101">
            <v>46198</v>
          </cell>
        </row>
        <row r="9102">
          <cell r="A9102" t="str">
            <v>2623CV67</v>
          </cell>
          <cell r="D9102" t="str">
            <v>KBP76</v>
          </cell>
          <cell r="E9102">
            <v>46198</v>
          </cell>
        </row>
        <row r="9103">
          <cell r="A9103" t="str">
            <v>2619IZ37</v>
          </cell>
          <cell r="D9103" t="str">
            <v>TTS50</v>
          </cell>
          <cell r="E9103">
            <v>46198</v>
          </cell>
        </row>
        <row r="9104">
          <cell r="A9104" t="str">
            <v>2623Q617</v>
          </cell>
          <cell r="D9104" t="str">
            <v>KBP76</v>
          </cell>
          <cell r="E9104">
            <v>46198</v>
          </cell>
        </row>
        <row r="9105">
          <cell r="A9105" t="str">
            <v>2624HH37</v>
          </cell>
          <cell r="D9105" t="str">
            <v>KBP76</v>
          </cell>
          <cell r="E9105">
            <v>46198</v>
          </cell>
        </row>
        <row r="9106">
          <cell r="A9106" t="str">
            <v>2624Q127</v>
          </cell>
          <cell r="D9106" t="str">
            <v>TTS80</v>
          </cell>
          <cell r="E9106">
            <v>46198</v>
          </cell>
        </row>
        <row r="9107">
          <cell r="A9107" t="str">
            <v>2624QC37</v>
          </cell>
          <cell r="D9107" t="str">
            <v>KBP76</v>
          </cell>
          <cell r="E9107">
            <v>46198</v>
          </cell>
        </row>
        <row r="9108">
          <cell r="A9108" t="str">
            <v>2623KH67</v>
          </cell>
          <cell r="D9108" t="str">
            <v>FTP200</v>
          </cell>
          <cell r="E9108">
            <v>46198</v>
          </cell>
        </row>
        <row r="9109">
          <cell r="A9109" t="str">
            <v>2621PP27</v>
          </cell>
          <cell r="D9109" t="str">
            <v>KBP74</v>
          </cell>
          <cell r="E9109">
            <v>46198</v>
          </cell>
        </row>
        <row r="9110">
          <cell r="A9110" t="str">
            <v>2623OU17</v>
          </cell>
          <cell r="D9110" t="str">
            <v>TTS50</v>
          </cell>
          <cell r="E9110">
            <v>46198</v>
          </cell>
        </row>
        <row r="9111">
          <cell r="A9111" t="str">
            <v>2624PL47</v>
          </cell>
          <cell r="D9111" t="str">
            <v>KBP76</v>
          </cell>
          <cell r="E9111">
            <v>46198</v>
          </cell>
        </row>
        <row r="9112">
          <cell r="A9112" t="str">
            <v>2622QJ47</v>
          </cell>
          <cell r="D9112" t="str">
            <v>FTW121KE</v>
          </cell>
          <cell r="E9112">
            <v>46198</v>
          </cell>
        </row>
        <row r="9113">
          <cell r="A9113" t="str">
            <v>2623LR47</v>
          </cell>
          <cell r="D9113" t="str">
            <v>KBP76</v>
          </cell>
          <cell r="E9113">
            <v>46198</v>
          </cell>
        </row>
        <row r="9114">
          <cell r="A9114" t="str">
            <v>2622DM57</v>
          </cell>
          <cell r="D9114" t="str">
            <v>TTS50</v>
          </cell>
          <cell r="E9114">
            <v>46198</v>
          </cell>
        </row>
        <row r="9115">
          <cell r="A9115" t="str">
            <v>2622WP57</v>
          </cell>
          <cell r="D9115" t="str">
            <v>FTW700</v>
          </cell>
          <cell r="E9115">
            <v>46198</v>
          </cell>
        </row>
        <row r="9116">
          <cell r="A9116" t="str">
            <v>2624CN37</v>
          </cell>
          <cell r="D9116" t="str">
            <v>S15MB</v>
          </cell>
          <cell r="E9116">
            <v>46198</v>
          </cell>
        </row>
        <row r="9117">
          <cell r="A9117" t="str">
            <v>2624HF67</v>
          </cell>
          <cell r="D9117" t="str">
            <v>TTS50</v>
          </cell>
          <cell r="E9117">
            <v>46198</v>
          </cell>
        </row>
        <row r="9118">
          <cell r="A9118" t="str">
            <v>2622V147</v>
          </cell>
          <cell r="D9118" t="str">
            <v>TTS50</v>
          </cell>
          <cell r="E9118">
            <v>46198</v>
          </cell>
        </row>
        <row r="9119">
          <cell r="A9119" t="str">
            <v>2622X757</v>
          </cell>
          <cell r="D9119" t="str">
            <v>FTW121KE</v>
          </cell>
          <cell r="E9119">
            <v>46198</v>
          </cell>
        </row>
        <row r="9120">
          <cell r="A9120" t="str">
            <v>2622JY27</v>
          </cell>
          <cell r="D9120" t="str">
            <v>FTW121KE</v>
          </cell>
          <cell r="E9120">
            <v>46198</v>
          </cell>
        </row>
        <row r="9121">
          <cell r="A9121" t="str">
            <v>2622OH57</v>
          </cell>
          <cell r="D9121" t="str">
            <v>KBP76</v>
          </cell>
          <cell r="E9121">
            <v>46198</v>
          </cell>
        </row>
        <row r="9122">
          <cell r="A9122" t="str">
            <v>2619IQ37</v>
          </cell>
          <cell r="D9122" t="str">
            <v>TTS50</v>
          </cell>
          <cell r="E9122">
            <v>46198</v>
          </cell>
        </row>
        <row r="9123">
          <cell r="A9123" t="str">
            <v>2622SU47</v>
          </cell>
          <cell r="D9123" t="str">
            <v>S706</v>
          </cell>
          <cell r="E9123">
            <v>46198</v>
          </cell>
        </row>
        <row r="9124">
          <cell r="A9124" t="str">
            <v>2623D267</v>
          </cell>
          <cell r="D9124" t="str">
            <v>KBP86</v>
          </cell>
          <cell r="E9124">
            <v>46198</v>
          </cell>
        </row>
        <row r="9125">
          <cell r="A9125" t="str">
            <v>2624EL67</v>
          </cell>
          <cell r="D9125" t="str">
            <v>FTW700</v>
          </cell>
          <cell r="E9125">
            <v>46198</v>
          </cell>
        </row>
        <row r="9126">
          <cell r="A9126" t="str">
            <v>2623SB37</v>
          </cell>
          <cell r="D9126" t="str">
            <v>FTP200</v>
          </cell>
          <cell r="E9126">
            <v>46198</v>
          </cell>
        </row>
        <row r="9127">
          <cell r="A9127" t="str">
            <v>2623DC17</v>
          </cell>
          <cell r="D9127" t="str">
            <v>KBP126</v>
          </cell>
          <cell r="E9127">
            <v>46198</v>
          </cell>
        </row>
        <row r="9128">
          <cell r="A9128" t="str">
            <v>2624GJ17</v>
          </cell>
          <cell r="D9128" t="str">
            <v>KBP52</v>
          </cell>
          <cell r="E9128">
            <v>46198</v>
          </cell>
        </row>
        <row r="9129">
          <cell r="A9129" t="str">
            <v>2624KK47</v>
          </cell>
          <cell r="D9129" t="str">
            <v>FTP150</v>
          </cell>
          <cell r="E9129">
            <v>46198</v>
          </cell>
        </row>
        <row r="9130">
          <cell r="A9130" t="str">
            <v>2623EH67</v>
          </cell>
          <cell r="D9130" t="str">
            <v>TTS50</v>
          </cell>
          <cell r="E9130">
            <v>46198</v>
          </cell>
        </row>
        <row r="9131">
          <cell r="A9131" t="str">
            <v>2624HF37</v>
          </cell>
          <cell r="D9131" t="str">
            <v>KBP86</v>
          </cell>
          <cell r="E9131">
            <v>46198</v>
          </cell>
        </row>
        <row r="9132">
          <cell r="A9132" t="str">
            <v>2622LS37</v>
          </cell>
          <cell r="D9132" t="str">
            <v>FTW121KE</v>
          </cell>
          <cell r="E9132">
            <v>46198</v>
          </cell>
        </row>
        <row r="9133">
          <cell r="A9133" t="str">
            <v>2622CW67</v>
          </cell>
          <cell r="D9133" t="str">
            <v>TTS50</v>
          </cell>
          <cell r="E9133">
            <v>46198</v>
          </cell>
        </row>
        <row r="9134">
          <cell r="A9134" t="str">
            <v>2624JR57</v>
          </cell>
          <cell r="D9134" t="str">
            <v>FTP200</v>
          </cell>
          <cell r="E9134">
            <v>46198</v>
          </cell>
        </row>
        <row r="9135">
          <cell r="A9135" t="str">
            <v>2623KN67</v>
          </cell>
          <cell r="D9135" t="str">
            <v>FTP200</v>
          </cell>
          <cell r="E9135">
            <v>46198</v>
          </cell>
        </row>
        <row r="9136">
          <cell r="A9136" t="str">
            <v>2621X857</v>
          </cell>
          <cell r="D9136" t="str">
            <v>FTW121KE</v>
          </cell>
          <cell r="E9136">
            <v>46198</v>
          </cell>
        </row>
        <row r="9137">
          <cell r="A9137" t="str">
            <v>2622WA57</v>
          </cell>
          <cell r="D9137" t="str">
            <v>TTS50</v>
          </cell>
          <cell r="E9137">
            <v>46198</v>
          </cell>
        </row>
        <row r="9138">
          <cell r="A9138" t="str">
            <v>2624OA57</v>
          </cell>
          <cell r="D9138" t="str">
            <v>KBP55</v>
          </cell>
          <cell r="E9138">
            <v>46198</v>
          </cell>
        </row>
        <row r="9139">
          <cell r="A9139" t="str">
            <v>2622L347</v>
          </cell>
          <cell r="D9139" t="str">
            <v>KBP86</v>
          </cell>
          <cell r="E9139">
            <v>46198</v>
          </cell>
        </row>
        <row r="9140">
          <cell r="A9140" t="str">
            <v>2616GH47</v>
          </cell>
          <cell r="D9140" t="str">
            <v>TTS50</v>
          </cell>
          <cell r="E9140">
            <v>46198</v>
          </cell>
        </row>
        <row r="9141">
          <cell r="A9141" t="str">
            <v>2616IU37</v>
          </cell>
          <cell r="D9141" t="str">
            <v>TTS50</v>
          </cell>
          <cell r="E9141">
            <v>46198</v>
          </cell>
        </row>
        <row r="9142">
          <cell r="A9142" t="str">
            <v>2616GD47</v>
          </cell>
          <cell r="D9142" t="str">
            <v>TTS50</v>
          </cell>
          <cell r="E9142">
            <v>46198</v>
          </cell>
        </row>
        <row r="9143">
          <cell r="A9143" t="str">
            <v>2616P357</v>
          </cell>
          <cell r="D9143" t="str">
            <v>TTS50</v>
          </cell>
          <cell r="E9143">
            <v>46198</v>
          </cell>
        </row>
        <row r="9144">
          <cell r="A9144" t="str">
            <v>2618XL47</v>
          </cell>
          <cell r="D9144" t="str">
            <v>TTS50</v>
          </cell>
          <cell r="E9144">
            <v>46198</v>
          </cell>
        </row>
        <row r="9145">
          <cell r="A9145" t="str">
            <v>2618X147</v>
          </cell>
          <cell r="D9145" t="str">
            <v>TTS50</v>
          </cell>
          <cell r="E9145">
            <v>46198</v>
          </cell>
        </row>
        <row r="9146">
          <cell r="A9146" t="str">
            <v>2618XM47</v>
          </cell>
          <cell r="D9146" t="str">
            <v>TTS50</v>
          </cell>
          <cell r="E9146">
            <v>46198</v>
          </cell>
        </row>
        <row r="9147">
          <cell r="A9147" t="str">
            <v>2618GX57</v>
          </cell>
          <cell r="D9147" t="str">
            <v>TTS50</v>
          </cell>
          <cell r="E9147">
            <v>46198</v>
          </cell>
        </row>
        <row r="9148">
          <cell r="A9148" t="str">
            <v>2618XH47</v>
          </cell>
          <cell r="D9148" t="str">
            <v>TTS50</v>
          </cell>
          <cell r="E9148">
            <v>46198</v>
          </cell>
        </row>
        <row r="9149">
          <cell r="A9149" t="str">
            <v>2618GS57</v>
          </cell>
          <cell r="D9149" t="str">
            <v>TTS50</v>
          </cell>
          <cell r="E9149">
            <v>46198</v>
          </cell>
        </row>
        <row r="9150">
          <cell r="A9150" t="str">
            <v>2618H357</v>
          </cell>
          <cell r="D9150" t="str">
            <v>TTS50</v>
          </cell>
          <cell r="E9150">
            <v>46198</v>
          </cell>
        </row>
        <row r="9151">
          <cell r="A9151" t="str">
            <v>2618WX47</v>
          </cell>
          <cell r="D9151" t="str">
            <v>TTS50</v>
          </cell>
          <cell r="E9151">
            <v>46198</v>
          </cell>
        </row>
        <row r="9152">
          <cell r="A9152" t="str">
            <v>2618XA47</v>
          </cell>
          <cell r="D9152" t="str">
            <v>TTS50</v>
          </cell>
          <cell r="E9152">
            <v>46198</v>
          </cell>
        </row>
        <row r="9153">
          <cell r="A9153" t="str">
            <v>2618H657</v>
          </cell>
          <cell r="D9153" t="str">
            <v>TTS50</v>
          </cell>
          <cell r="E9153">
            <v>46198</v>
          </cell>
        </row>
        <row r="9154">
          <cell r="A9154" t="str">
            <v>2618WY47</v>
          </cell>
          <cell r="D9154" t="str">
            <v>TTS50</v>
          </cell>
          <cell r="E9154">
            <v>46198</v>
          </cell>
        </row>
        <row r="9155">
          <cell r="A9155" t="str">
            <v>2618XQ47</v>
          </cell>
          <cell r="D9155" t="str">
            <v>TTS50</v>
          </cell>
          <cell r="E9155">
            <v>46198</v>
          </cell>
        </row>
        <row r="9156">
          <cell r="A9156" t="str">
            <v>2618HF57</v>
          </cell>
          <cell r="D9156" t="str">
            <v>TTS50</v>
          </cell>
          <cell r="E9156">
            <v>46198</v>
          </cell>
        </row>
        <row r="9157">
          <cell r="A9157" t="str">
            <v>2618HG57</v>
          </cell>
          <cell r="D9157" t="str">
            <v>TTS50</v>
          </cell>
          <cell r="E9157">
            <v>46198</v>
          </cell>
        </row>
        <row r="9158">
          <cell r="A9158" t="str">
            <v>2619JH17</v>
          </cell>
          <cell r="D9158" t="str">
            <v>TTS50</v>
          </cell>
          <cell r="E9158">
            <v>46198</v>
          </cell>
        </row>
        <row r="9159">
          <cell r="A9159" t="str">
            <v>2619JJ17</v>
          </cell>
          <cell r="D9159" t="str">
            <v>TTS50</v>
          </cell>
          <cell r="E9159">
            <v>46198</v>
          </cell>
        </row>
        <row r="9160">
          <cell r="A9160" t="str">
            <v>2618X847</v>
          </cell>
          <cell r="D9160" t="str">
            <v>TTS50</v>
          </cell>
          <cell r="E9160">
            <v>46198</v>
          </cell>
        </row>
        <row r="9161">
          <cell r="A9161" t="str">
            <v>2618GU57</v>
          </cell>
          <cell r="D9161" t="str">
            <v>TTS50</v>
          </cell>
          <cell r="E9161">
            <v>46198</v>
          </cell>
        </row>
        <row r="9162">
          <cell r="A9162" t="str">
            <v>2618HC57</v>
          </cell>
          <cell r="D9162" t="str">
            <v>TTS50</v>
          </cell>
          <cell r="E9162">
            <v>46198</v>
          </cell>
        </row>
        <row r="9163">
          <cell r="A9163" t="str">
            <v>2619IV17</v>
          </cell>
          <cell r="D9163" t="str">
            <v>TTS50</v>
          </cell>
          <cell r="E9163">
            <v>46198</v>
          </cell>
        </row>
        <row r="9164">
          <cell r="A9164" t="str">
            <v>2618H157</v>
          </cell>
          <cell r="D9164" t="str">
            <v>TTS50</v>
          </cell>
          <cell r="E9164">
            <v>46198</v>
          </cell>
        </row>
        <row r="9165">
          <cell r="A9165" t="str">
            <v>2623BQ67</v>
          </cell>
          <cell r="D9165" t="str">
            <v>KBP86F</v>
          </cell>
          <cell r="E9165">
            <v>46198</v>
          </cell>
        </row>
        <row r="9166">
          <cell r="A9166" t="str">
            <v>2624PI37</v>
          </cell>
          <cell r="D9166" t="str">
            <v>S706</v>
          </cell>
          <cell r="E9166">
            <v>46198</v>
          </cell>
        </row>
        <row r="9167">
          <cell r="A9167" t="str">
            <v>2624PJ37</v>
          </cell>
          <cell r="D9167" t="str">
            <v>S706</v>
          </cell>
          <cell r="E9167">
            <v>46198</v>
          </cell>
        </row>
        <row r="9168">
          <cell r="A9168" t="str">
            <v>2624PB37</v>
          </cell>
          <cell r="D9168" t="str">
            <v>S706</v>
          </cell>
          <cell r="E9168">
            <v>46198</v>
          </cell>
        </row>
        <row r="9169">
          <cell r="A9169" t="str">
            <v>2624PG37</v>
          </cell>
          <cell r="D9169" t="str">
            <v>S706</v>
          </cell>
          <cell r="E9169">
            <v>46198</v>
          </cell>
        </row>
        <row r="9170">
          <cell r="A9170" t="str">
            <v>2624PH37</v>
          </cell>
          <cell r="D9170" t="str">
            <v>S706</v>
          </cell>
          <cell r="E9170">
            <v>46198</v>
          </cell>
        </row>
        <row r="9171">
          <cell r="A9171" t="str">
            <v>2619EP57</v>
          </cell>
          <cell r="D9171" t="str">
            <v>KBP84</v>
          </cell>
          <cell r="E9171">
            <v>46198</v>
          </cell>
        </row>
        <row r="9172">
          <cell r="A9172" t="str">
            <v>2619EQ57</v>
          </cell>
          <cell r="D9172" t="str">
            <v>KBP84</v>
          </cell>
          <cell r="E9172">
            <v>46198</v>
          </cell>
        </row>
        <row r="9173">
          <cell r="A9173" t="str">
            <v>2624FC50</v>
          </cell>
          <cell r="D9173" t="str">
            <v>STA200KA</v>
          </cell>
          <cell r="E9173">
            <v>46198</v>
          </cell>
        </row>
        <row r="9174">
          <cell r="A9174" t="str">
            <v>2621BC67</v>
          </cell>
          <cell r="D9174" t="str">
            <v>KBP76</v>
          </cell>
          <cell r="E9174">
            <v>46198</v>
          </cell>
        </row>
        <row r="9175">
          <cell r="A9175" t="str">
            <v>2621WL57</v>
          </cell>
          <cell r="D9175" t="str">
            <v>FTW700</v>
          </cell>
          <cell r="E9175">
            <v>46198</v>
          </cell>
        </row>
        <row r="9176">
          <cell r="A9176" t="str">
            <v>2624CW17</v>
          </cell>
          <cell r="D9176" t="str">
            <v>KBP86</v>
          </cell>
          <cell r="E9176">
            <v>46198</v>
          </cell>
        </row>
        <row r="9177">
          <cell r="A9177" t="str">
            <v>2624HG67</v>
          </cell>
          <cell r="D9177" t="str">
            <v>TTS50</v>
          </cell>
          <cell r="E9177">
            <v>46198</v>
          </cell>
        </row>
        <row r="9178">
          <cell r="A9178" t="str">
            <v>2623FB40</v>
          </cell>
          <cell r="D9178" t="str">
            <v>STA200KA</v>
          </cell>
          <cell r="E9178">
            <v>46198</v>
          </cell>
        </row>
        <row r="9179">
          <cell r="A9179" t="str">
            <v>2624OM27</v>
          </cell>
          <cell r="D9179" t="str">
            <v>S706</v>
          </cell>
          <cell r="E9179">
            <v>46198</v>
          </cell>
        </row>
        <row r="9180">
          <cell r="A9180" t="str">
            <v>2620LO27</v>
          </cell>
          <cell r="D9180" t="str">
            <v>HV80</v>
          </cell>
          <cell r="E9180">
            <v>46198</v>
          </cell>
        </row>
        <row r="9181">
          <cell r="A9181" t="str">
            <v>2621ED67</v>
          </cell>
          <cell r="D9181" t="str">
            <v>HV80</v>
          </cell>
          <cell r="E9181">
            <v>46198</v>
          </cell>
        </row>
        <row r="9182">
          <cell r="A9182" t="str">
            <v>2624O327</v>
          </cell>
          <cell r="D9182" t="str">
            <v>HV80</v>
          </cell>
          <cell r="E9182">
            <v>46198</v>
          </cell>
        </row>
        <row r="9183">
          <cell r="A9183" t="str">
            <v>2624LV27</v>
          </cell>
          <cell r="D9183" t="str">
            <v>HV80</v>
          </cell>
          <cell r="E9183">
            <v>46198</v>
          </cell>
        </row>
        <row r="9184">
          <cell r="A9184" t="str">
            <v>2624OQ47</v>
          </cell>
          <cell r="D9184" t="str">
            <v>HV80</v>
          </cell>
          <cell r="E9184">
            <v>46198</v>
          </cell>
        </row>
        <row r="9185">
          <cell r="A9185" t="str">
            <v>2623PF37</v>
          </cell>
          <cell r="D9185" t="str">
            <v>HV80</v>
          </cell>
          <cell r="E9185">
            <v>46198</v>
          </cell>
        </row>
        <row r="9186">
          <cell r="A9186" t="str">
            <v>2624O127</v>
          </cell>
          <cell r="D9186" t="str">
            <v>HV80</v>
          </cell>
          <cell r="E9186">
            <v>46198</v>
          </cell>
        </row>
        <row r="9187">
          <cell r="A9187" t="str">
            <v>2624OP47</v>
          </cell>
          <cell r="D9187" t="str">
            <v>HV80</v>
          </cell>
          <cell r="E9187">
            <v>46198</v>
          </cell>
        </row>
        <row r="9188">
          <cell r="A9188" t="str">
            <v>2624OP47</v>
          </cell>
          <cell r="D9188" t="str">
            <v>HV80</v>
          </cell>
          <cell r="E9188">
            <v>46198</v>
          </cell>
        </row>
        <row r="9189">
          <cell r="A9189" t="str">
            <v>2623JB47</v>
          </cell>
          <cell r="D9189" t="str">
            <v>TTS50</v>
          </cell>
          <cell r="E9189">
            <v>46198</v>
          </cell>
        </row>
        <row r="9190">
          <cell r="A9190" t="str">
            <v>2624HG17</v>
          </cell>
          <cell r="D9190" t="str">
            <v>HV80</v>
          </cell>
          <cell r="E9190">
            <v>46197</v>
          </cell>
        </row>
        <row r="9191">
          <cell r="A9191" t="str">
            <v>2618Z147</v>
          </cell>
          <cell r="D9191" t="str">
            <v>S805</v>
          </cell>
          <cell r="E9191">
            <v>46197</v>
          </cell>
        </row>
        <row r="9192">
          <cell r="A9192" t="str">
            <v>2614IJ27</v>
          </cell>
          <cell r="D9192" t="str">
            <v>TTS50</v>
          </cell>
          <cell r="E9192">
            <v>46197</v>
          </cell>
        </row>
        <row r="9193">
          <cell r="A9193" t="str">
            <v>2624HW17</v>
          </cell>
          <cell r="D9193" t="str">
            <v>S706</v>
          </cell>
          <cell r="E9193">
            <v>46197</v>
          </cell>
        </row>
        <row r="9194">
          <cell r="A9194" t="str">
            <v>2624LW27</v>
          </cell>
          <cell r="D9194" t="str">
            <v>HV80</v>
          </cell>
          <cell r="E9194">
            <v>46197</v>
          </cell>
        </row>
        <row r="9195">
          <cell r="A9195" t="str">
            <v>2542Z317</v>
          </cell>
          <cell r="D9195" t="str">
            <v>TTS50</v>
          </cell>
          <cell r="E9195">
            <v>46197</v>
          </cell>
        </row>
        <row r="9196">
          <cell r="A9196" t="str">
            <v>2624LW27</v>
          </cell>
          <cell r="D9196" t="str">
            <v>HV80</v>
          </cell>
          <cell r="E9196">
            <v>46197</v>
          </cell>
        </row>
        <row r="9197">
          <cell r="A9197" t="str">
            <v>2624I917</v>
          </cell>
          <cell r="D9197" t="str">
            <v>S706</v>
          </cell>
          <cell r="E9197">
            <v>46197</v>
          </cell>
        </row>
        <row r="9198">
          <cell r="A9198" t="str">
            <v>2623L547</v>
          </cell>
          <cell r="D9198" t="str">
            <v>HV80</v>
          </cell>
          <cell r="E9198">
            <v>46197</v>
          </cell>
        </row>
        <row r="9199">
          <cell r="A9199" t="str">
            <v>2624HV17</v>
          </cell>
          <cell r="D9199" t="str">
            <v>S706</v>
          </cell>
          <cell r="E9199">
            <v>46197</v>
          </cell>
        </row>
        <row r="9200">
          <cell r="A9200" t="str">
            <v>2623L247</v>
          </cell>
          <cell r="D9200" t="str">
            <v>HV80</v>
          </cell>
          <cell r="E9200">
            <v>46197</v>
          </cell>
        </row>
        <row r="9201">
          <cell r="A9201" t="str">
            <v>2624OA27</v>
          </cell>
          <cell r="D9201" t="str">
            <v>S706</v>
          </cell>
          <cell r="E9201">
            <v>46197</v>
          </cell>
        </row>
        <row r="9202">
          <cell r="A9202" t="str">
            <v>2623IG67</v>
          </cell>
          <cell r="D9202" t="str">
            <v>HV80</v>
          </cell>
          <cell r="E9202">
            <v>46197</v>
          </cell>
        </row>
        <row r="9203">
          <cell r="A9203" t="str">
            <v>2624OC27</v>
          </cell>
          <cell r="D9203" t="str">
            <v>S706</v>
          </cell>
          <cell r="E9203">
            <v>46197</v>
          </cell>
        </row>
        <row r="9204">
          <cell r="A9204" t="str">
            <v>2623L447</v>
          </cell>
          <cell r="D9204" t="str">
            <v>HV80</v>
          </cell>
          <cell r="E9204">
            <v>46197</v>
          </cell>
        </row>
        <row r="9205">
          <cell r="A9205" t="str">
            <v>2624OG27</v>
          </cell>
          <cell r="D9205" t="str">
            <v>S706</v>
          </cell>
          <cell r="E9205">
            <v>46197</v>
          </cell>
        </row>
        <row r="9206">
          <cell r="A9206" t="str">
            <v>2623IC67</v>
          </cell>
          <cell r="D9206" t="str">
            <v>HV80</v>
          </cell>
          <cell r="E9206">
            <v>46197</v>
          </cell>
        </row>
        <row r="9207">
          <cell r="A9207" t="str">
            <v>2623IH67</v>
          </cell>
          <cell r="D9207" t="str">
            <v>HV80</v>
          </cell>
          <cell r="E9207">
            <v>46197</v>
          </cell>
        </row>
        <row r="9208">
          <cell r="A9208" t="str">
            <v>2624HI17</v>
          </cell>
          <cell r="D9208" t="str">
            <v>HV80</v>
          </cell>
          <cell r="E9208">
            <v>46197</v>
          </cell>
        </row>
        <row r="9209">
          <cell r="A9209" t="str">
            <v>2623EY30</v>
          </cell>
          <cell r="D9209" t="str">
            <v>HV200</v>
          </cell>
          <cell r="E9209">
            <v>46197</v>
          </cell>
        </row>
        <row r="9210">
          <cell r="A9210" t="str">
            <v>2623L247</v>
          </cell>
          <cell r="D9210" t="str">
            <v>HV80</v>
          </cell>
          <cell r="E9210">
            <v>46197</v>
          </cell>
        </row>
        <row r="9211">
          <cell r="A9211" t="str">
            <v>2624HC17</v>
          </cell>
          <cell r="D9211" t="str">
            <v>HV80</v>
          </cell>
          <cell r="E9211">
            <v>46197</v>
          </cell>
        </row>
        <row r="9212">
          <cell r="A9212" t="str">
            <v>2623L547</v>
          </cell>
          <cell r="D9212" t="str">
            <v>HV80</v>
          </cell>
          <cell r="E9212">
            <v>46197</v>
          </cell>
        </row>
        <row r="9213">
          <cell r="A9213" t="str">
            <v>2623EY40</v>
          </cell>
          <cell r="D9213" t="str">
            <v>HV200</v>
          </cell>
          <cell r="E9213">
            <v>46197</v>
          </cell>
        </row>
        <row r="9214">
          <cell r="A9214" t="str">
            <v>2624HI17</v>
          </cell>
          <cell r="D9214" t="str">
            <v>HV80</v>
          </cell>
          <cell r="E9214">
            <v>46197</v>
          </cell>
        </row>
        <row r="9215">
          <cell r="A9215" t="str">
            <v>2624IX37</v>
          </cell>
          <cell r="D9215" t="str">
            <v>FTW503</v>
          </cell>
          <cell r="E9215">
            <v>46197</v>
          </cell>
        </row>
        <row r="9216">
          <cell r="A9216" t="str">
            <v>2618Z147</v>
          </cell>
          <cell r="D9216" t="str">
            <v>S805</v>
          </cell>
          <cell r="E9216">
            <v>46197</v>
          </cell>
        </row>
        <row r="9217">
          <cell r="A9217" t="str">
            <v>2624L347</v>
          </cell>
          <cell r="D9217" t="str">
            <v>FTW503</v>
          </cell>
          <cell r="E9217">
            <v>46197</v>
          </cell>
        </row>
        <row r="9218">
          <cell r="A9218" t="str">
            <v>2623L447</v>
          </cell>
          <cell r="D9218" t="str">
            <v>HV80</v>
          </cell>
          <cell r="E9218">
            <v>46197</v>
          </cell>
        </row>
        <row r="9219">
          <cell r="A9219" t="str">
            <v>2624Q747</v>
          </cell>
          <cell r="D9219" t="str">
            <v>KBP76</v>
          </cell>
          <cell r="E9219">
            <v>46197</v>
          </cell>
        </row>
        <row r="9220">
          <cell r="A9220" t="str">
            <v>2618Z147</v>
          </cell>
          <cell r="D9220" t="str">
            <v>S805</v>
          </cell>
          <cell r="E9220">
            <v>46197</v>
          </cell>
        </row>
        <row r="9221">
          <cell r="A9221" t="str">
            <v>2623IG47</v>
          </cell>
          <cell r="D9221" t="str">
            <v>KBP76</v>
          </cell>
          <cell r="E9221">
            <v>46197</v>
          </cell>
        </row>
        <row r="9222">
          <cell r="A9222" t="str">
            <v>2615LN47</v>
          </cell>
          <cell r="D9222" t="str">
            <v>TTS50</v>
          </cell>
          <cell r="E9222">
            <v>46197</v>
          </cell>
        </row>
        <row r="9223">
          <cell r="A9223" t="str">
            <v>2615EC17</v>
          </cell>
          <cell r="D9223" t="str">
            <v>TTS50</v>
          </cell>
          <cell r="E9223">
            <v>46197</v>
          </cell>
        </row>
        <row r="9224">
          <cell r="A9224" t="str">
            <v>2618Z147</v>
          </cell>
          <cell r="D9224" t="str">
            <v>S805</v>
          </cell>
          <cell r="E9224">
            <v>46197</v>
          </cell>
        </row>
        <row r="9225">
          <cell r="A9225" t="str">
            <v>2614ZY47</v>
          </cell>
          <cell r="D9225" t="str">
            <v>TTS50</v>
          </cell>
          <cell r="E9225">
            <v>46197</v>
          </cell>
        </row>
        <row r="9226">
          <cell r="A9226" t="str">
            <v>2623SC37</v>
          </cell>
          <cell r="D9226" t="str">
            <v>FTP200</v>
          </cell>
          <cell r="E9226">
            <v>46197</v>
          </cell>
        </row>
        <row r="9227">
          <cell r="A9227" t="str">
            <v>2622Q927</v>
          </cell>
          <cell r="D9227" t="str">
            <v>KBP55</v>
          </cell>
          <cell r="E9227">
            <v>46197</v>
          </cell>
        </row>
        <row r="9228">
          <cell r="A9228" t="str">
            <v>2622P417</v>
          </cell>
          <cell r="D9228" t="str">
            <v>KBP86</v>
          </cell>
          <cell r="E9228">
            <v>46197</v>
          </cell>
        </row>
        <row r="9229">
          <cell r="A9229" t="str">
            <v>2622VP47</v>
          </cell>
          <cell r="D9229" t="str">
            <v>KBP76</v>
          </cell>
          <cell r="E9229">
            <v>46197</v>
          </cell>
        </row>
        <row r="9230">
          <cell r="A9230" t="str">
            <v>2622OT17</v>
          </cell>
          <cell r="D9230" t="str">
            <v>KBP86</v>
          </cell>
          <cell r="E9230">
            <v>46197</v>
          </cell>
        </row>
        <row r="9231">
          <cell r="A9231" t="str">
            <v>2624Q727</v>
          </cell>
          <cell r="D9231" t="str">
            <v>TTS80</v>
          </cell>
          <cell r="E9231">
            <v>46197</v>
          </cell>
        </row>
        <row r="9232">
          <cell r="A9232" t="str">
            <v>2624HO27</v>
          </cell>
          <cell r="D9232" t="str">
            <v>KBP76</v>
          </cell>
          <cell r="E9232">
            <v>46197</v>
          </cell>
        </row>
        <row r="9233">
          <cell r="A9233" t="str">
            <v>2623BK67</v>
          </cell>
          <cell r="D9233" t="str">
            <v>KBP86</v>
          </cell>
          <cell r="E9233">
            <v>46197</v>
          </cell>
        </row>
        <row r="9234">
          <cell r="A9234" t="str">
            <v>2624ID37</v>
          </cell>
          <cell r="D9234" t="str">
            <v>FTP150</v>
          </cell>
          <cell r="E9234">
            <v>46197</v>
          </cell>
        </row>
        <row r="9235">
          <cell r="A9235" t="str">
            <v>2624KI37</v>
          </cell>
          <cell r="D9235" t="str">
            <v>FTW121KE</v>
          </cell>
          <cell r="E9235">
            <v>46197</v>
          </cell>
        </row>
        <row r="9236">
          <cell r="A9236" t="str">
            <v>2623CK67</v>
          </cell>
          <cell r="D9236" t="str">
            <v>KBP86</v>
          </cell>
          <cell r="E9236">
            <v>46197</v>
          </cell>
        </row>
        <row r="9237">
          <cell r="A9237" t="str">
            <v>2614A257</v>
          </cell>
          <cell r="D9237" t="str">
            <v>TTS50</v>
          </cell>
          <cell r="E9237">
            <v>46197</v>
          </cell>
        </row>
        <row r="9238">
          <cell r="A9238" t="str">
            <v>2621E457</v>
          </cell>
          <cell r="D9238" t="str">
            <v>FTW121KE</v>
          </cell>
          <cell r="E9238">
            <v>46197</v>
          </cell>
        </row>
        <row r="9239">
          <cell r="A9239" t="str">
            <v>2624KB47</v>
          </cell>
          <cell r="D9239" t="str">
            <v>KBP76</v>
          </cell>
          <cell r="E9239">
            <v>46197</v>
          </cell>
        </row>
        <row r="9240">
          <cell r="A9240" t="str">
            <v>2623KF67</v>
          </cell>
          <cell r="D9240" t="str">
            <v>FTP200</v>
          </cell>
          <cell r="E9240">
            <v>46197</v>
          </cell>
        </row>
        <row r="9241">
          <cell r="A9241" t="str">
            <v>2614AD57</v>
          </cell>
          <cell r="D9241" t="str">
            <v>TTS50</v>
          </cell>
          <cell r="E9241">
            <v>46197</v>
          </cell>
        </row>
        <row r="9242">
          <cell r="A9242" t="str">
            <v>2620PY37</v>
          </cell>
          <cell r="D9242" t="str">
            <v>KBP76</v>
          </cell>
          <cell r="E9242">
            <v>46197</v>
          </cell>
        </row>
        <row r="9243">
          <cell r="A9243" t="str">
            <v>2623D937</v>
          </cell>
          <cell r="D9243" t="str">
            <v>STA200KA</v>
          </cell>
          <cell r="E9243">
            <v>46197</v>
          </cell>
        </row>
        <row r="9244">
          <cell r="A9244" t="str">
            <v>2624CZ17</v>
          </cell>
          <cell r="D9244" t="str">
            <v>KBP76</v>
          </cell>
          <cell r="E9244">
            <v>46197</v>
          </cell>
        </row>
        <row r="9245">
          <cell r="A9245" t="str">
            <v>2623G267</v>
          </cell>
          <cell r="D9245" t="str">
            <v>KBP86</v>
          </cell>
          <cell r="E9245">
            <v>46197</v>
          </cell>
        </row>
        <row r="9246">
          <cell r="A9246" t="str">
            <v>2623BJ67</v>
          </cell>
          <cell r="D9246" t="str">
            <v>KBP86</v>
          </cell>
          <cell r="E9246">
            <v>46197</v>
          </cell>
        </row>
        <row r="9247">
          <cell r="A9247" t="str">
            <v>2624HP27</v>
          </cell>
          <cell r="D9247" t="str">
            <v>KBP76</v>
          </cell>
          <cell r="E9247">
            <v>46197</v>
          </cell>
        </row>
        <row r="9248">
          <cell r="A9248" t="str">
            <v>2611E357</v>
          </cell>
          <cell r="D9248" t="str">
            <v>TTS50</v>
          </cell>
          <cell r="E9248">
            <v>46197</v>
          </cell>
        </row>
        <row r="9249">
          <cell r="A9249" t="str">
            <v>2615I927</v>
          </cell>
          <cell r="D9249" t="str">
            <v>TTS50</v>
          </cell>
          <cell r="E9249">
            <v>46197</v>
          </cell>
        </row>
        <row r="9250">
          <cell r="A9250" t="str">
            <v>2623JP67</v>
          </cell>
          <cell r="D9250" t="str">
            <v>KBP76</v>
          </cell>
          <cell r="E9250">
            <v>46197</v>
          </cell>
        </row>
        <row r="9251">
          <cell r="A9251" t="str">
            <v>2623DT47</v>
          </cell>
          <cell r="D9251" t="str">
            <v>STA200KA</v>
          </cell>
          <cell r="E9251">
            <v>46197</v>
          </cell>
        </row>
        <row r="9252">
          <cell r="A9252" t="str">
            <v>2621OX27</v>
          </cell>
          <cell r="D9252" t="str">
            <v>KBP76</v>
          </cell>
          <cell r="E9252">
            <v>46197</v>
          </cell>
        </row>
        <row r="9253">
          <cell r="A9253" t="str">
            <v>2622OF17</v>
          </cell>
          <cell r="D9253" t="str">
            <v>FTW121KE</v>
          </cell>
          <cell r="E9253">
            <v>46197</v>
          </cell>
        </row>
        <row r="9254">
          <cell r="A9254" t="str">
            <v>2623J627</v>
          </cell>
          <cell r="D9254" t="str">
            <v>KBP74</v>
          </cell>
          <cell r="E9254">
            <v>46197</v>
          </cell>
        </row>
        <row r="9255">
          <cell r="A9255" t="str">
            <v>2615DM37</v>
          </cell>
          <cell r="D9255" t="str">
            <v>TTS50</v>
          </cell>
          <cell r="E9255">
            <v>46197</v>
          </cell>
        </row>
        <row r="9256">
          <cell r="A9256" t="str">
            <v>2623G527</v>
          </cell>
          <cell r="D9256" t="str">
            <v>KBP86</v>
          </cell>
          <cell r="E9256">
            <v>46197</v>
          </cell>
        </row>
        <row r="9257">
          <cell r="A9257" t="str">
            <v>2622V647</v>
          </cell>
          <cell r="D9257" t="str">
            <v>TTS50</v>
          </cell>
          <cell r="E9257">
            <v>46197</v>
          </cell>
        </row>
        <row r="9258">
          <cell r="A9258" t="str">
            <v>2622KE27</v>
          </cell>
          <cell r="D9258" t="str">
            <v>FTW121KE</v>
          </cell>
          <cell r="E9258">
            <v>46197</v>
          </cell>
        </row>
        <row r="9259">
          <cell r="A9259" t="str">
            <v>2622KK27</v>
          </cell>
          <cell r="D9259" t="str">
            <v>FTW121KE</v>
          </cell>
          <cell r="E9259">
            <v>46197</v>
          </cell>
        </row>
        <row r="9260">
          <cell r="A9260" t="str">
            <v>2624KX37</v>
          </cell>
          <cell r="D9260" t="str">
            <v>KBP86</v>
          </cell>
          <cell r="E9260">
            <v>46197</v>
          </cell>
        </row>
        <row r="9261">
          <cell r="A9261" t="str">
            <v>2623FF67</v>
          </cell>
          <cell r="D9261" t="str">
            <v>FTW121KE</v>
          </cell>
          <cell r="E9261">
            <v>46197</v>
          </cell>
        </row>
        <row r="9262">
          <cell r="A9262" t="str">
            <v>2623L367</v>
          </cell>
          <cell r="D9262" t="str">
            <v>TTS80</v>
          </cell>
          <cell r="E9262">
            <v>46197</v>
          </cell>
        </row>
        <row r="9263">
          <cell r="A9263" t="str">
            <v>2624PE17</v>
          </cell>
          <cell r="D9263" t="str">
            <v>TTS80</v>
          </cell>
          <cell r="E9263">
            <v>46197</v>
          </cell>
        </row>
        <row r="9264">
          <cell r="A9264" t="str">
            <v>2624PF17</v>
          </cell>
          <cell r="D9264" t="str">
            <v>TTS80</v>
          </cell>
          <cell r="E9264">
            <v>46197</v>
          </cell>
        </row>
        <row r="9265">
          <cell r="A9265" t="str">
            <v>2623ES67</v>
          </cell>
          <cell r="D9265" t="str">
            <v>FTW700</v>
          </cell>
          <cell r="E9265">
            <v>46197</v>
          </cell>
        </row>
        <row r="9266">
          <cell r="A9266" t="str">
            <v>2622S237</v>
          </cell>
          <cell r="D9266" t="str">
            <v>KBP55</v>
          </cell>
          <cell r="E9266">
            <v>46197</v>
          </cell>
        </row>
        <row r="9267">
          <cell r="A9267" t="str">
            <v>2624CM17</v>
          </cell>
          <cell r="D9267" t="str">
            <v>KBP86</v>
          </cell>
          <cell r="E9267">
            <v>46197</v>
          </cell>
        </row>
        <row r="9268">
          <cell r="A9268" t="str">
            <v>2614ZX47</v>
          </cell>
          <cell r="D9268" t="str">
            <v>TTS50</v>
          </cell>
          <cell r="E9268">
            <v>46197</v>
          </cell>
        </row>
        <row r="9269">
          <cell r="A9269" t="str">
            <v>2623SA37</v>
          </cell>
          <cell r="D9269" t="str">
            <v>FTP200</v>
          </cell>
          <cell r="E9269">
            <v>46197</v>
          </cell>
        </row>
        <row r="9270">
          <cell r="A9270" t="str">
            <v>2624F417</v>
          </cell>
          <cell r="D9270" t="str">
            <v>KBP126</v>
          </cell>
          <cell r="E9270">
            <v>46197</v>
          </cell>
        </row>
        <row r="9271">
          <cell r="A9271" t="str">
            <v>2615EH17</v>
          </cell>
          <cell r="D9271" t="str">
            <v>TTS50</v>
          </cell>
          <cell r="E9271">
            <v>46197</v>
          </cell>
        </row>
        <row r="9272">
          <cell r="A9272" t="str">
            <v>2622OF57</v>
          </cell>
          <cell r="D9272" t="str">
            <v>STA200KA</v>
          </cell>
          <cell r="E9272">
            <v>46197</v>
          </cell>
        </row>
        <row r="9273">
          <cell r="A9273" t="str">
            <v>2624J617</v>
          </cell>
          <cell r="D9273" t="str">
            <v>KBP55</v>
          </cell>
          <cell r="E9273">
            <v>46197</v>
          </cell>
        </row>
        <row r="9274">
          <cell r="A9274" t="str">
            <v>2614AE57</v>
          </cell>
          <cell r="D9274" t="str">
            <v>TTS50</v>
          </cell>
          <cell r="E9274">
            <v>46197</v>
          </cell>
        </row>
        <row r="9275">
          <cell r="A9275" t="str">
            <v>2623O217</v>
          </cell>
          <cell r="D9275" t="str">
            <v>KBP52</v>
          </cell>
          <cell r="E9275">
            <v>46197</v>
          </cell>
        </row>
        <row r="9276">
          <cell r="A9276" t="str">
            <v>2622S337</v>
          </cell>
          <cell r="D9276" t="str">
            <v>KBP55</v>
          </cell>
          <cell r="E9276">
            <v>46197</v>
          </cell>
        </row>
        <row r="9277">
          <cell r="A9277" t="str">
            <v>2624PO17</v>
          </cell>
          <cell r="D9277" t="str">
            <v>TTS80</v>
          </cell>
          <cell r="E9277">
            <v>46197</v>
          </cell>
        </row>
        <row r="9278">
          <cell r="A9278" t="str">
            <v>2609H157</v>
          </cell>
          <cell r="D9278" t="str">
            <v>KBP52</v>
          </cell>
          <cell r="E9278">
            <v>46197</v>
          </cell>
        </row>
        <row r="9279">
          <cell r="A9279" t="str">
            <v>2623LR27</v>
          </cell>
          <cell r="D9279" t="str">
            <v>KBP86</v>
          </cell>
          <cell r="E9279">
            <v>46197</v>
          </cell>
        </row>
        <row r="9280">
          <cell r="A9280" t="str">
            <v>2623B567</v>
          </cell>
          <cell r="D9280" t="str">
            <v>KBP86</v>
          </cell>
          <cell r="E9280">
            <v>46197</v>
          </cell>
        </row>
        <row r="9281">
          <cell r="A9281" t="str">
            <v>2623C867</v>
          </cell>
          <cell r="D9281" t="str">
            <v>KBP86</v>
          </cell>
          <cell r="E9281">
            <v>46197</v>
          </cell>
        </row>
        <row r="9282">
          <cell r="A9282" t="str">
            <v>2615OF37</v>
          </cell>
          <cell r="D9282" t="str">
            <v>TTS50</v>
          </cell>
          <cell r="E9282">
            <v>46197</v>
          </cell>
        </row>
        <row r="9283">
          <cell r="A9283" t="str">
            <v>2621JK37</v>
          </cell>
          <cell r="D9283" t="str">
            <v>FTW121KE</v>
          </cell>
          <cell r="E9283">
            <v>46197</v>
          </cell>
        </row>
        <row r="9284">
          <cell r="A9284" t="str">
            <v>2623C267</v>
          </cell>
          <cell r="D9284" t="str">
            <v>KBP86</v>
          </cell>
          <cell r="E9284">
            <v>46197</v>
          </cell>
        </row>
        <row r="9285">
          <cell r="A9285" t="str">
            <v>2623LN37</v>
          </cell>
          <cell r="D9285" t="str">
            <v>FTW121KE</v>
          </cell>
          <cell r="E9285">
            <v>46197</v>
          </cell>
        </row>
        <row r="9286">
          <cell r="A9286" t="str">
            <v>2624O257</v>
          </cell>
          <cell r="D9286" t="str">
            <v>KBP76</v>
          </cell>
          <cell r="E9286">
            <v>46197</v>
          </cell>
        </row>
        <row r="9287">
          <cell r="A9287" t="str">
            <v>2621HK27</v>
          </cell>
          <cell r="D9287" t="str">
            <v>FTW121KE</v>
          </cell>
          <cell r="E9287">
            <v>46197</v>
          </cell>
        </row>
        <row r="9288">
          <cell r="A9288" t="str">
            <v>2623SE37</v>
          </cell>
          <cell r="D9288" t="str">
            <v>FTP200</v>
          </cell>
          <cell r="E9288">
            <v>46197</v>
          </cell>
        </row>
        <row r="9289">
          <cell r="A9289" t="str">
            <v>2624GY27</v>
          </cell>
          <cell r="D9289" t="str">
            <v>KBP86</v>
          </cell>
          <cell r="E9289">
            <v>46197</v>
          </cell>
        </row>
        <row r="9290">
          <cell r="A9290" t="str">
            <v>2623LM67</v>
          </cell>
          <cell r="D9290" t="str">
            <v>TTS80</v>
          </cell>
          <cell r="E9290">
            <v>46197</v>
          </cell>
        </row>
        <row r="9291">
          <cell r="A9291" t="str">
            <v>2623BT67</v>
          </cell>
          <cell r="D9291" t="str">
            <v>KBP86</v>
          </cell>
          <cell r="E9291">
            <v>46197</v>
          </cell>
        </row>
        <row r="9292">
          <cell r="A9292" t="str">
            <v>2614I737</v>
          </cell>
          <cell r="D9292" t="str">
            <v>TTS50</v>
          </cell>
          <cell r="E9292">
            <v>46197</v>
          </cell>
        </row>
        <row r="9293">
          <cell r="A9293" t="str">
            <v>2624O727</v>
          </cell>
          <cell r="D9293" t="str">
            <v>TTS50</v>
          </cell>
          <cell r="E9293">
            <v>46197</v>
          </cell>
        </row>
        <row r="9294">
          <cell r="A9294" t="str">
            <v>2611GX27</v>
          </cell>
          <cell r="D9294" t="str">
            <v>TTS50</v>
          </cell>
          <cell r="E9294">
            <v>46197</v>
          </cell>
        </row>
        <row r="9295">
          <cell r="A9295" t="str">
            <v>2624PB17</v>
          </cell>
          <cell r="D9295" t="str">
            <v>TTS80</v>
          </cell>
          <cell r="E9295">
            <v>46197</v>
          </cell>
        </row>
        <row r="9296">
          <cell r="A9296" t="str">
            <v>2614ZC57</v>
          </cell>
          <cell r="D9296" t="str">
            <v>TTS50</v>
          </cell>
          <cell r="E9296">
            <v>46197</v>
          </cell>
        </row>
        <row r="9297">
          <cell r="A9297" t="str">
            <v>2623EX67</v>
          </cell>
          <cell r="D9297" t="str">
            <v>FTW102K</v>
          </cell>
          <cell r="E9297">
            <v>46197</v>
          </cell>
        </row>
        <row r="9298">
          <cell r="A9298" t="str">
            <v>2623EZ30</v>
          </cell>
          <cell r="D9298" t="str">
            <v>TTS125</v>
          </cell>
          <cell r="E9298">
            <v>46197</v>
          </cell>
        </row>
        <row r="9299">
          <cell r="A9299" t="str">
            <v>2623L867</v>
          </cell>
          <cell r="D9299" t="str">
            <v>TTS80</v>
          </cell>
          <cell r="E9299">
            <v>46197</v>
          </cell>
        </row>
        <row r="9300">
          <cell r="A9300" t="str">
            <v>2624KI47</v>
          </cell>
          <cell r="D9300" t="str">
            <v>FTP150</v>
          </cell>
          <cell r="E9300">
            <v>46197</v>
          </cell>
        </row>
        <row r="9301">
          <cell r="A9301" t="str">
            <v>2621LU47</v>
          </cell>
          <cell r="D9301" t="str">
            <v>KBP86</v>
          </cell>
          <cell r="E9301">
            <v>46197</v>
          </cell>
        </row>
        <row r="9302">
          <cell r="A9302" t="str">
            <v>2622X257</v>
          </cell>
          <cell r="D9302" t="str">
            <v>FTW121KE</v>
          </cell>
          <cell r="E9302">
            <v>46197</v>
          </cell>
        </row>
        <row r="9303">
          <cell r="A9303" t="str">
            <v>2623EY50</v>
          </cell>
          <cell r="D9303" t="str">
            <v>TTS125</v>
          </cell>
          <cell r="E9303">
            <v>46197</v>
          </cell>
        </row>
        <row r="9304">
          <cell r="A9304" t="str">
            <v>2624F817</v>
          </cell>
          <cell r="D9304" t="str">
            <v>FTW102K</v>
          </cell>
          <cell r="E9304">
            <v>46197</v>
          </cell>
        </row>
        <row r="9305">
          <cell r="A9305" t="str">
            <v>2621PT27</v>
          </cell>
          <cell r="D9305" t="str">
            <v>TTS80</v>
          </cell>
          <cell r="E9305">
            <v>46197</v>
          </cell>
        </row>
        <row r="9306">
          <cell r="A9306" t="str">
            <v>2624CC17</v>
          </cell>
          <cell r="D9306" t="str">
            <v>KBP86</v>
          </cell>
          <cell r="E9306">
            <v>46197</v>
          </cell>
        </row>
        <row r="9307">
          <cell r="A9307" t="str">
            <v>2624PK47</v>
          </cell>
          <cell r="D9307" t="str">
            <v>KBP76</v>
          </cell>
          <cell r="E9307">
            <v>46197</v>
          </cell>
        </row>
        <row r="9308">
          <cell r="A9308" t="str">
            <v>2620KG27</v>
          </cell>
          <cell r="D9308" t="str">
            <v>KBP86</v>
          </cell>
          <cell r="E9308">
            <v>46197</v>
          </cell>
        </row>
        <row r="9309">
          <cell r="A9309" t="str">
            <v>2623F667</v>
          </cell>
          <cell r="D9309" t="str">
            <v>FTW121KE</v>
          </cell>
          <cell r="E9309">
            <v>46197</v>
          </cell>
        </row>
        <row r="9310">
          <cell r="A9310" t="str">
            <v>2614AI57</v>
          </cell>
          <cell r="D9310" t="str">
            <v>TTS50</v>
          </cell>
          <cell r="E9310">
            <v>46197</v>
          </cell>
        </row>
        <row r="9311">
          <cell r="A9311" t="str">
            <v>2623OW17</v>
          </cell>
          <cell r="D9311" t="str">
            <v>TTS50</v>
          </cell>
          <cell r="E9311">
            <v>46197</v>
          </cell>
        </row>
        <row r="9312">
          <cell r="A9312" t="str">
            <v>2622VD47</v>
          </cell>
          <cell r="D9312" t="str">
            <v>TTS50</v>
          </cell>
          <cell r="E9312">
            <v>46197</v>
          </cell>
        </row>
        <row r="9313">
          <cell r="A9313" t="str">
            <v>2624CH37</v>
          </cell>
          <cell r="D9313" t="str">
            <v>S15MB</v>
          </cell>
          <cell r="E9313">
            <v>46197</v>
          </cell>
        </row>
        <row r="9314">
          <cell r="A9314" t="str">
            <v>2614IJ27</v>
          </cell>
          <cell r="D9314" t="str">
            <v>TTS50</v>
          </cell>
          <cell r="E9314">
            <v>46197</v>
          </cell>
        </row>
        <row r="9315">
          <cell r="A9315" t="str">
            <v>2623CD67</v>
          </cell>
          <cell r="D9315" t="str">
            <v>KBP86</v>
          </cell>
          <cell r="E9315">
            <v>46197</v>
          </cell>
        </row>
        <row r="9316">
          <cell r="A9316" t="str">
            <v>2622AI67</v>
          </cell>
          <cell r="D9316" t="str">
            <v>KBP86</v>
          </cell>
          <cell r="E9316">
            <v>46197</v>
          </cell>
        </row>
        <row r="9317">
          <cell r="A9317" t="str">
            <v>2623D767</v>
          </cell>
          <cell r="D9317" t="str">
            <v>KBP76</v>
          </cell>
          <cell r="E9317">
            <v>46197</v>
          </cell>
        </row>
        <row r="9318">
          <cell r="A9318" t="str">
            <v>2624HZ27</v>
          </cell>
          <cell r="D9318" t="str">
            <v>FTP150</v>
          </cell>
          <cell r="E9318">
            <v>46197</v>
          </cell>
        </row>
        <row r="9319">
          <cell r="A9319" t="str">
            <v>2622CS67</v>
          </cell>
          <cell r="D9319" t="str">
            <v>TTS50</v>
          </cell>
          <cell r="E9319">
            <v>46197</v>
          </cell>
        </row>
        <row r="9320">
          <cell r="A9320" t="str">
            <v>2614IA27</v>
          </cell>
          <cell r="D9320" t="str">
            <v>TTS50</v>
          </cell>
          <cell r="E9320">
            <v>46197</v>
          </cell>
        </row>
        <row r="9321">
          <cell r="A9321" t="str">
            <v>2621PB17</v>
          </cell>
          <cell r="D9321" t="str">
            <v>KBP86</v>
          </cell>
          <cell r="E9321">
            <v>46197</v>
          </cell>
        </row>
        <row r="9322">
          <cell r="A9322" t="str">
            <v>2623LS67</v>
          </cell>
          <cell r="D9322" t="str">
            <v>TTS80</v>
          </cell>
          <cell r="E9322">
            <v>46197</v>
          </cell>
        </row>
        <row r="9323">
          <cell r="A9323" t="str">
            <v>2621I327</v>
          </cell>
          <cell r="D9323" t="str">
            <v>FTW121KE</v>
          </cell>
          <cell r="E9323">
            <v>46197</v>
          </cell>
        </row>
        <row r="9324">
          <cell r="A9324" t="str">
            <v>2623FC67</v>
          </cell>
          <cell r="D9324" t="str">
            <v>FTW121KE</v>
          </cell>
          <cell r="E9324">
            <v>46197</v>
          </cell>
        </row>
        <row r="9325">
          <cell r="A9325" t="str">
            <v>2624CV17</v>
          </cell>
          <cell r="D9325" t="str">
            <v>KBP86</v>
          </cell>
          <cell r="E9325">
            <v>46197</v>
          </cell>
        </row>
        <row r="9326">
          <cell r="A9326" t="str">
            <v>2623FM67</v>
          </cell>
          <cell r="D9326" t="str">
            <v>FTW121KE</v>
          </cell>
          <cell r="E9326">
            <v>46197</v>
          </cell>
        </row>
        <row r="9327">
          <cell r="A9327" t="str">
            <v>2624KB27</v>
          </cell>
          <cell r="D9327" t="str">
            <v>FTW700</v>
          </cell>
          <cell r="E9327">
            <v>46197</v>
          </cell>
        </row>
        <row r="9328">
          <cell r="A9328" t="str">
            <v>2624JM27</v>
          </cell>
          <cell r="D9328" t="str">
            <v>FTW121KE</v>
          </cell>
          <cell r="E9328">
            <v>46197</v>
          </cell>
        </row>
        <row r="9329">
          <cell r="A9329" t="str">
            <v>2624D817</v>
          </cell>
          <cell r="D9329" t="str">
            <v>KBP76</v>
          </cell>
          <cell r="E9329">
            <v>46197</v>
          </cell>
        </row>
        <row r="9330">
          <cell r="A9330" t="str">
            <v>2623G627</v>
          </cell>
          <cell r="D9330" t="str">
            <v>KBP86</v>
          </cell>
          <cell r="E9330">
            <v>46197</v>
          </cell>
        </row>
        <row r="9331">
          <cell r="A9331" t="str">
            <v>2623LB37</v>
          </cell>
          <cell r="D9331" t="str">
            <v>FTW121KE</v>
          </cell>
          <cell r="E9331">
            <v>46197</v>
          </cell>
        </row>
        <row r="9332">
          <cell r="A9332" t="str">
            <v>2624Q647</v>
          </cell>
          <cell r="D9332" t="str">
            <v>KBP76</v>
          </cell>
          <cell r="E9332">
            <v>46197</v>
          </cell>
        </row>
        <row r="9333">
          <cell r="A9333" t="str">
            <v>2624I227</v>
          </cell>
          <cell r="D9333" t="str">
            <v>FTW503</v>
          </cell>
          <cell r="E9333">
            <v>46197</v>
          </cell>
        </row>
        <row r="9334">
          <cell r="A9334" t="str">
            <v>2624K647</v>
          </cell>
          <cell r="D9334" t="str">
            <v>KBP76</v>
          </cell>
          <cell r="E9334">
            <v>46197</v>
          </cell>
        </row>
        <row r="9335">
          <cell r="A9335" t="str">
            <v>2623IV57</v>
          </cell>
          <cell r="D9335" t="str">
            <v>FTW121KE</v>
          </cell>
          <cell r="E9335">
            <v>46197</v>
          </cell>
        </row>
        <row r="9336">
          <cell r="A9336" t="str">
            <v>2623D867</v>
          </cell>
          <cell r="D9336" t="str">
            <v>KBP76</v>
          </cell>
          <cell r="E9336">
            <v>46197</v>
          </cell>
        </row>
        <row r="9337">
          <cell r="A9337" t="str">
            <v>2624K937</v>
          </cell>
          <cell r="D9337" t="str">
            <v>FTW121KE</v>
          </cell>
          <cell r="E9337">
            <v>46197</v>
          </cell>
        </row>
        <row r="9338">
          <cell r="A9338" t="str">
            <v>2622OE57</v>
          </cell>
          <cell r="D9338" t="str">
            <v>STA200KA</v>
          </cell>
          <cell r="E9338">
            <v>46197</v>
          </cell>
        </row>
        <row r="9339">
          <cell r="A9339" t="str">
            <v>2614ID37</v>
          </cell>
          <cell r="D9339" t="str">
            <v>TTS50</v>
          </cell>
          <cell r="E9339">
            <v>46197</v>
          </cell>
        </row>
        <row r="9340">
          <cell r="A9340" t="str">
            <v>2624J827</v>
          </cell>
          <cell r="D9340" t="str">
            <v>KBP126</v>
          </cell>
          <cell r="E9340">
            <v>46197</v>
          </cell>
        </row>
        <row r="9341">
          <cell r="A9341" t="str">
            <v>2623L947</v>
          </cell>
          <cell r="D9341" t="str">
            <v>TTS50</v>
          </cell>
          <cell r="E9341">
            <v>46197</v>
          </cell>
        </row>
        <row r="9342">
          <cell r="A9342" t="str">
            <v>2622CP67</v>
          </cell>
          <cell r="D9342" t="str">
            <v>TTS50</v>
          </cell>
          <cell r="E9342">
            <v>46197</v>
          </cell>
        </row>
        <row r="9343">
          <cell r="A9343" t="str">
            <v>2623H967</v>
          </cell>
          <cell r="D9343" t="str">
            <v>KBP52</v>
          </cell>
          <cell r="E9343">
            <v>46197</v>
          </cell>
        </row>
        <row r="9344">
          <cell r="A9344" t="str">
            <v>2623LG17</v>
          </cell>
          <cell r="D9344" t="str">
            <v>KBP86</v>
          </cell>
          <cell r="E9344">
            <v>46197</v>
          </cell>
        </row>
        <row r="9345">
          <cell r="A9345" t="str">
            <v>2618CF57</v>
          </cell>
          <cell r="D9345" t="str">
            <v>TTS50</v>
          </cell>
          <cell r="E9345">
            <v>46197</v>
          </cell>
        </row>
        <row r="9346">
          <cell r="A9346" t="str">
            <v>2624K947</v>
          </cell>
          <cell r="D9346" t="str">
            <v>KBP76</v>
          </cell>
          <cell r="E9346">
            <v>46197</v>
          </cell>
        </row>
        <row r="9347">
          <cell r="A9347" t="str">
            <v>2624JR27</v>
          </cell>
          <cell r="D9347" t="str">
            <v>FTW121KE</v>
          </cell>
          <cell r="E9347">
            <v>46197</v>
          </cell>
        </row>
        <row r="9348">
          <cell r="A9348" t="str">
            <v>2623CT27</v>
          </cell>
          <cell r="D9348" t="str">
            <v>KBP76</v>
          </cell>
          <cell r="E9348">
            <v>46197</v>
          </cell>
        </row>
        <row r="9349">
          <cell r="A9349" t="str">
            <v>2624IC27</v>
          </cell>
          <cell r="D9349" t="str">
            <v>FTW503</v>
          </cell>
          <cell r="E9349">
            <v>46197</v>
          </cell>
        </row>
        <row r="9350">
          <cell r="A9350" t="str">
            <v>2624HW37</v>
          </cell>
          <cell r="D9350" t="str">
            <v>KBP76</v>
          </cell>
          <cell r="E9350">
            <v>46197</v>
          </cell>
        </row>
        <row r="9351">
          <cell r="A9351" t="str">
            <v>2622Q147</v>
          </cell>
          <cell r="D9351" t="str">
            <v>FTW121KE</v>
          </cell>
          <cell r="E9351">
            <v>46197</v>
          </cell>
        </row>
        <row r="9352">
          <cell r="A9352" t="str">
            <v>2622E767</v>
          </cell>
          <cell r="D9352" t="str">
            <v>KBP74</v>
          </cell>
          <cell r="E9352">
            <v>46197</v>
          </cell>
        </row>
        <row r="9353">
          <cell r="A9353" t="str">
            <v>2624CI37</v>
          </cell>
          <cell r="D9353" t="str">
            <v>S15MB</v>
          </cell>
          <cell r="E9353">
            <v>46197</v>
          </cell>
        </row>
        <row r="9354">
          <cell r="A9354" t="str">
            <v>2624HM27</v>
          </cell>
          <cell r="D9354" t="str">
            <v>KBP76</v>
          </cell>
          <cell r="E9354">
            <v>46197</v>
          </cell>
        </row>
        <row r="9355">
          <cell r="A9355" t="str">
            <v>2623CH67</v>
          </cell>
          <cell r="D9355" t="str">
            <v>KBP86</v>
          </cell>
          <cell r="E9355">
            <v>46197</v>
          </cell>
        </row>
        <row r="9356">
          <cell r="A9356" t="str">
            <v>2622WU57</v>
          </cell>
          <cell r="D9356" t="str">
            <v>FTW700</v>
          </cell>
          <cell r="E9356">
            <v>46197</v>
          </cell>
        </row>
        <row r="9357">
          <cell r="A9357" t="str">
            <v>2623EM67</v>
          </cell>
          <cell r="D9357" t="str">
            <v>FTW700</v>
          </cell>
          <cell r="E9357">
            <v>46197</v>
          </cell>
        </row>
        <row r="9358">
          <cell r="A9358" t="str">
            <v>2624GX17</v>
          </cell>
          <cell r="D9358" t="str">
            <v>KBP52</v>
          </cell>
          <cell r="E9358">
            <v>46197</v>
          </cell>
        </row>
        <row r="9359">
          <cell r="A9359" t="str">
            <v>2624CU17</v>
          </cell>
          <cell r="D9359" t="str">
            <v>KBP86</v>
          </cell>
          <cell r="E9359">
            <v>46197</v>
          </cell>
        </row>
        <row r="9360">
          <cell r="A9360" t="str">
            <v>2623D567</v>
          </cell>
          <cell r="D9360" t="str">
            <v>KBP76</v>
          </cell>
          <cell r="E9360">
            <v>46197</v>
          </cell>
        </row>
        <row r="9361">
          <cell r="A9361" t="str">
            <v>2624IJ57</v>
          </cell>
          <cell r="D9361" t="str">
            <v>FTP150</v>
          </cell>
          <cell r="E9361">
            <v>46197</v>
          </cell>
        </row>
        <row r="9362">
          <cell r="A9362" t="str">
            <v>2623B367</v>
          </cell>
          <cell r="D9362" t="str">
            <v>KBP86</v>
          </cell>
          <cell r="E9362">
            <v>46197</v>
          </cell>
        </row>
        <row r="9363">
          <cell r="A9363" t="str">
            <v>2623I867</v>
          </cell>
          <cell r="D9363" t="str">
            <v>KBP52</v>
          </cell>
          <cell r="E9363">
            <v>46197</v>
          </cell>
        </row>
        <row r="9364">
          <cell r="A9364" t="str">
            <v>2623CP67</v>
          </cell>
          <cell r="D9364" t="str">
            <v>KBP86</v>
          </cell>
          <cell r="E9364">
            <v>46197</v>
          </cell>
        </row>
        <row r="9365">
          <cell r="A9365" t="str">
            <v>2622AA67</v>
          </cell>
          <cell r="D9365" t="str">
            <v>KBP86</v>
          </cell>
          <cell r="E9365">
            <v>46197</v>
          </cell>
        </row>
        <row r="9366">
          <cell r="A9366" t="str">
            <v>2623L167</v>
          </cell>
          <cell r="D9366" t="str">
            <v>TTS80</v>
          </cell>
          <cell r="E9366">
            <v>46197</v>
          </cell>
        </row>
        <row r="9367">
          <cell r="A9367" t="str">
            <v>2624K537</v>
          </cell>
          <cell r="D9367" t="str">
            <v>FTW102K</v>
          </cell>
          <cell r="E9367">
            <v>46197</v>
          </cell>
        </row>
        <row r="9368">
          <cell r="A9368" t="str">
            <v>2623EY60</v>
          </cell>
          <cell r="D9368" t="str">
            <v>TTS125</v>
          </cell>
          <cell r="E9368">
            <v>46197</v>
          </cell>
        </row>
        <row r="9369">
          <cell r="A9369" t="str">
            <v>2623L637</v>
          </cell>
          <cell r="D9369" t="str">
            <v>FTW121KE</v>
          </cell>
          <cell r="E9369">
            <v>46197</v>
          </cell>
        </row>
        <row r="9370">
          <cell r="A9370" t="str">
            <v>2623L737</v>
          </cell>
          <cell r="D9370" t="str">
            <v>FTW121KE</v>
          </cell>
          <cell r="E9370">
            <v>46197</v>
          </cell>
        </row>
        <row r="9371">
          <cell r="A9371" t="str">
            <v>2624J737</v>
          </cell>
          <cell r="D9371" t="str">
            <v>FTW503</v>
          </cell>
          <cell r="E9371">
            <v>46197</v>
          </cell>
        </row>
        <row r="9372">
          <cell r="A9372" t="str">
            <v>2624PA17</v>
          </cell>
          <cell r="D9372" t="str">
            <v>TTS80</v>
          </cell>
          <cell r="E9372">
            <v>46197</v>
          </cell>
        </row>
        <row r="9373">
          <cell r="A9373" t="str">
            <v>2620XC57</v>
          </cell>
          <cell r="D9373" t="str">
            <v>KBP86</v>
          </cell>
          <cell r="E9373">
            <v>46197</v>
          </cell>
        </row>
        <row r="9374">
          <cell r="A9374" t="str">
            <v>2615LP17</v>
          </cell>
          <cell r="D9374" t="str">
            <v>TTS50</v>
          </cell>
          <cell r="E9374">
            <v>46197</v>
          </cell>
        </row>
        <row r="9375">
          <cell r="A9375" t="str">
            <v>2622PX27</v>
          </cell>
          <cell r="D9375" t="str">
            <v>KBP76</v>
          </cell>
          <cell r="E9375">
            <v>46197</v>
          </cell>
        </row>
        <row r="9376">
          <cell r="A9376" t="str">
            <v>2611Z327</v>
          </cell>
          <cell r="D9376" t="str">
            <v>S15MF</v>
          </cell>
          <cell r="E9376">
            <v>46196</v>
          </cell>
        </row>
        <row r="9377">
          <cell r="A9377" t="str">
            <v>2623OH17</v>
          </cell>
          <cell r="D9377" t="str">
            <v>HV80</v>
          </cell>
          <cell r="E9377">
            <v>46196</v>
          </cell>
        </row>
        <row r="9378">
          <cell r="A9378" t="str">
            <v>2623OI17</v>
          </cell>
          <cell r="D9378" t="str">
            <v>HV80</v>
          </cell>
          <cell r="E9378">
            <v>46196</v>
          </cell>
        </row>
        <row r="9379">
          <cell r="A9379" t="str">
            <v>2624I827</v>
          </cell>
          <cell r="D9379" t="str">
            <v>FTW503</v>
          </cell>
          <cell r="E9379">
            <v>46196</v>
          </cell>
        </row>
        <row r="9380">
          <cell r="A9380" t="str">
            <v>2548C367</v>
          </cell>
          <cell r="D9380" t="str">
            <v>S706</v>
          </cell>
          <cell r="E9380">
            <v>46196</v>
          </cell>
        </row>
        <row r="9381">
          <cell r="A9381" t="str">
            <v>2548C367</v>
          </cell>
          <cell r="D9381" t="str">
            <v>S706</v>
          </cell>
          <cell r="E9381">
            <v>46196</v>
          </cell>
        </row>
        <row r="9382">
          <cell r="A9382" t="str">
            <v>2620LT27</v>
          </cell>
          <cell r="D9382" t="str">
            <v>HV80</v>
          </cell>
          <cell r="E9382">
            <v>46196</v>
          </cell>
        </row>
        <row r="9383">
          <cell r="A9383" t="str">
            <v>2624FT17</v>
          </cell>
          <cell r="D9383" t="str">
            <v>KBP86</v>
          </cell>
          <cell r="E9383">
            <v>46196</v>
          </cell>
        </row>
        <row r="9384">
          <cell r="A9384" t="str">
            <v>2548C367</v>
          </cell>
          <cell r="D9384" t="str">
            <v>S706</v>
          </cell>
          <cell r="E9384">
            <v>46196</v>
          </cell>
        </row>
        <row r="9385">
          <cell r="A9385" t="str">
            <v>2622C167</v>
          </cell>
          <cell r="D9385" t="str">
            <v>HV80</v>
          </cell>
          <cell r="E9385">
            <v>46196</v>
          </cell>
        </row>
        <row r="9386">
          <cell r="A9386" t="str">
            <v>2624HE17</v>
          </cell>
          <cell r="D9386" t="str">
            <v>HV80</v>
          </cell>
          <cell r="E9386">
            <v>46196</v>
          </cell>
        </row>
        <row r="9387">
          <cell r="A9387" t="str">
            <v>2624IR37</v>
          </cell>
          <cell r="D9387" t="str">
            <v>FTW503</v>
          </cell>
          <cell r="E9387">
            <v>46196</v>
          </cell>
        </row>
        <row r="9388">
          <cell r="A9388" t="str">
            <v>2548C367</v>
          </cell>
          <cell r="D9388" t="str">
            <v>S706</v>
          </cell>
          <cell r="E9388">
            <v>46196</v>
          </cell>
        </row>
        <row r="9389">
          <cell r="A9389" t="str">
            <v>2620P937</v>
          </cell>
          <cell r="D9389" t="str">
            <v>HV80</v>
          </cell>
          <cell r="E9389">
            <v>46196</v>
          </cell>
        </row>
        <row r="9390">
          <cell r="A9390" t="str">
            <v>2623PH37</v>
          </cell>
          <cell r="D9390" t="str">
            <v>HV80</v>
          </cell>
          <cell r="E9390">
            <v>46196</v>
          </cell>
        </row>
        <row r="9391">
          <cell r="A9391" t="str">
            <v>2623KG67</v>
          </cell>
          <cell r="D9391" t="str">
            <v>FTP200</v>
          </cell>
          <cell r="E9391">
            <v>46196</v>
          </cell>
        </row>
        <row r="9392">
          <cell r="A9392" t="str">
            <v>2548C367</v>
          </cell>
          <cell r="D9392" t="str">
            <v>S706</v>
          </cell>
          <cell r="E9392">
            <v>46196</v>
          </cell>
        </row>
        <row r="9393">
          <cell r="A9393" t="str">
            <v>2624HE17</v>
          </cell>
          <cell r="D9393" t="str">
            <v>HV80</v>
          </cell>
          <cell r="E9393">
            <v>46196</v>
          </cell>
        </row>
        <row r="9394">
          <cell r="A9394" t="str">
            <v>2623IF67</v>
          </cell>
          <cell r="D9394" t="str">
            <v>HV80</v>
          </cell>
          <cell r="E9394">
            <v>46196</v>
          </cell>
        </row>
        <row r="9395">
          <cell r="A9395" t="str">
            <v>2621UP57</v>
          </cell>
          <cell r="D9395" t="str">
            <v>FTW400</v>
          </cell>
          <cell r="E9395">
            <v>46196</v>
          </cell>
        </row>
        <row r="9396">
          <cell r="A9396" t="str">
            <v>2548C367</v>
          </cell>
          <cell r="D9396" t="str">
            <v>S706</v>
          </cell>
          <cell r="E9396">
            <v>46196</v>
          </cell>
        </row>
        <row r="9397">
          <cell r="A9397" t="str">
            <v>2622SV57</v>
          </cell>
          <cell r="D9397" t="str">
            <v>KBP76</v>
          </cell>
          <cell r="E9397">
            <v>46196</v>
          </cell>
        </row>
        <row r="9398">
          <cell r="A9398" t="str">
            <v>2620P937</v>
          </cell>
          <cell r="D9398" t="str">
            <v>HV80</v>
          </cell>
          <cell r="E9398">
            <v>46196</v>
          </cell>
        </row>
        <row r="9399">
          <cell r="A9399" t="str">
            <v>2622O417</v>
          </cell>
          <cell r="D9399" t="str">
            <v>FTW121KE</v>
          </cell>
          <cell r="E9399">
            <v>46196</v>
          </cell>
        </row>
        <row r="9400">
          <cell r="A9400" t="str">
            <v>2624L847</v>
          </cell>
          <cell r="D9400" t="str">
            <v>FTW503</v>
          </cell>
          <cell r="E9400">
            <v>46196</v>
          </cell>
        </row>
        <row r="9401">
          <cell r="A9401" t="str">
            <v>2623KV67</v>
          </cell>
          <cell r="D9401" t="str">
            <v>TTS80</v>
          </cell>
          <cell r="E9401">
            <v>46196</v>
          </cell>
        </row>
        <row r="9402">
          <cell r="A9402" t="str">
            <v>2622C167</v>
          </cell>
          <cell r="D9402" t="str">
            <v>HV80</v>
          </cell>
          <cell r="E9402">
            <v>46196</v>
          </cell>
        </row>
        <row r="9403">
          <cell r="A9403" t="str">
            <v>2622XO57</v>
          </cell>
          <cell r="D9403" t="str">
            <v>FTW121KE</v>
          </cell>
          <cell r="E9403">
            <v>46196</v>
          </cell>
        </row>
        <row r="9404">
          <cell r="A9404" t="str">
            <v>2624HH17</v>
          </cell>
          <cell r="D9404" t="str">
            <v>HV80</v>
          </cell>
          <cell r="E9404">
            <v>46196</v>
          </cell>
        </row>
        <row r="9405">
          <cell r="A9405" t="str">
            <v>2622OX47</v>
          </cell>
          <cell r="D9405" t="str">
            <v>FTW503</v>
          </cell>
          <cell r="E9405">
            <v>46196</v>
          </cell>
        </row>
        <row r="9406">
          <cell r="A9406" t="str">
            <v>2623OH17</v>
          </cell>
          <cell r="D9406" t="str">
            <v>HV80</v>
          </cell>
          <cell r="E9406">
            <v>46196</v>
          </cell>
        </row>
        <row r="9407">
          <cell r="A9407" t="str">
            <v>2624HY27</v>
          </cell>
          <cell r="D9407" t="str">
            <v>FTP150</v>
          </cell>
          <cell r="E9407">
            <v>46196</v>
          </cell>
        </row>
        <row r="9408">
          <cell r="A9408" t="str">
            <v>2624IF27</v>
          </cell>
          <cell r="D9408" t="str">
            <v>FTW503</v>
          </cell>
          <cell r="E9408">
            <v>46196</v>
          </cell>
        </row>
        <row r="9409">
          <cell r="A9409" t="str">
            <v>2624LB37</v>
          </cell>
          <cell r="D9409" t="str">
            <v>FTW700</v>
          </cell>
          <cell r="E9409">
            <v>46196</v>
          </cell>
        </row>
        <row r="9410">
          <cell r="A9410" t="str">
            <v>2624KD27</v>
          </cell>
          <cell r="D9410" t="str">
            <v>FTW700</v>
          </cell>
          <cell r="E9410">
            <v>46196</v>
          </cell>
        </row>
        <row r="9411">
          <cell r="A9411" t="str">
            <v>2624HA37</v>
          </cell>
          <cell r="D9411" t="str">
            <v>KBP86</v>
          </cell>
          <cell r="E9411">
            <v>46196</v>
          </cell>
        </row>
        <row r="9412">
          <cell r="A9412" t="str">
            <v>2623SJ27</v>
          </cell>
          <cell r="D9412" t="str">
            <v>KBP126</v>
          </cell>
          <cell r="E9412">
            <v>46196</v>
          </cell>
        </row>
        <row r="9413">
          <cell r="A9413" t="str">
            <v>2623DI67</v>
          </cell>
          <cell r="D9413" t="str">
            <v>FTW503</v>
          </cell>
          <cell r="E9413">
            <v>46196</v>
          </cell>
        </row>
        <row r="9414">
          <cell r="A9414" t="str">
            <v>2622Q527</v>
          </cell>
          <cell r="D9414" t="str">
            <v>STA156KA</v>
          </cell>
          <cell r="E9414">
            <v>46196</v>
          </cell>
        </row>
        <row r="9415">
          <cell r="A9415" t="str">
            <v>2623AA67</v>
          </cell>
          <cell r="D9415" t="str">
            <v>S15MB</v>
          </cell>
          <cell r="E9415">
            <v>46196</v>
          </cell>
        </row>
        <row r="9416">
          <cell r="A9416" t="str">
            <v>2623KL67</v>
          </cell>
          <cell r="D9416" t="str">
            <v>FTP200</v>
          </cell>
          <cell r="E9416">
            <v>46196</v>
          </cell>
        </row>
        <row r="9417">
          <cell r="A9417" t="str">
            <v>2624QB37</v>
          </cell>
          <cell r="D9417" t="str">
            <v>KBP76</v>
          </cell>
          <cell r="E9417">
            <v>46196</v>
          </cell>
        </row>
        <row r="9418">
          <cell r="A9418" t="str">
            <v>2622PY47</v>
          </cell>
          <cell r="D9418" t="str">
            <v>FTW121KE</v>
          </cell>
          <cell r="E9418">
            <v>46196</v>
          </cell>
        </row>
        <row r="9419">
          <cell r="A9419" t="str">
            <v>2613B127</v>
          </cell>
          <cell r="D9419" t="str">
            <v>FTW503</v>
          </cell>
          <cell r="E9419">
            <v>46196</v>
          </cell>
        </row>
        <row r="9420">
          <cell r="A9420" t="str">
            <v>2624C517</v>
          </cell>
          <cell r="D9420" t="str">
            <v>STA156KA</v>
          </cell>
          <cell r="E9420">
            <v>46196</v>
          </cell>
        </row>
        <row r="9421">
          <cell r="A9421" t="str">
            <v>2624C817</v>
          </cell>
          <cell r="D9421" t="str">
            <v>KBP76</v>
          </cell>
          <cell r="E9421">
            <v>46196</v>
          </cell>
        </row>
        <row r="9422">
          <cell r="A9422" t="str">
            <v>2611FU17</v>
          </cell>
          <cell r="D9422" t="str">
            <v>KBP52</v>
          </cell>
          <cell r="E9422">
            <v>46196</v>
          </cell>
        </row>
        <row r="9423">
          <cell r="A9423" t="str">
            <v>2623A767</v>
          </cell>
          <cell r="D9423" t="str">
            <v>S15MB</v>
          </cell>
          <cell r="E9423">
            <v>46196</v>
          </cell>
        </row>
        <row r="9424">
          <cell r="A9424" t="str">
            <v>2624JQ57</v>
          </cell>
          <cell r="D9424" t="str">
            <v>FTP200</v>
          </cell>
          <cell r="E9424">
            <v>46196</v>
          </cell>
        </row>
        <row r="9425">
          <cell r="A9425" t="str">
            <v>2624DP17</v>
          </cell>
          <cell r="D9425" t="str">
            <v>FTW503</v>
          </cell>
          <cell r="E9425">
            <v>46196</v>
          </cell>
        </row>
        <row r="9426">
          <cell r="A9426" t="str">
            <v>2622D757</v>
          </cell>
          <cell r="D9426" t="str">
            <v>S805</v>
          </cell>
          <cell r="E9426">
            <v>46196</v>
          </cell>
        </row>
        <row r="9427">
          <cell r="A9427" t="str">
            <v>2623S337</v>
          </cell>
          <cell r="D9427" t="str">
            <v>STA156KA</v>
          </cell>
          <cell r="E9427">
            <v>46196</v>
          </cell>
        </row>
        <row r="9428">
          <cell r="A9428" t="str">
            <v>2621O247</v>
          </cell>
          <cell r="D9428" t="str">
            <v>KBP86</v>
          </cell>
          <cell r="E9428">
            <v>46196</v>
          </cell>
        </row>
        <row r="9429">
          <cell r="A9429" t="str">
            <v>2623IJ47</v>
          </cell>
          <cell r="D9429" t="str">
            <v>S805</v>
          </cell>
          <cell r="E9429">
            <v>46196</v>
          </cell>
        </row>
        <row r="9430">
          <cell r="A9430" t="str">
            <v>2622XR57</v>
          </cell>
          <cell r="D9430" t="str">
            <v>FTW121KE</v>
          </cell>
          <cell r="E9430">
            <v>46196</v>
          </cell>
        </row>
        <row r="9431">
          <cell r="A9431" t="str">
            <v>2624J317</v>
          </cell>
          <cell r="D9431" t="str">
            <v>FTP150</v>
          </cell>
          <cell r="E9431">
            <v>46196</v>
          </cell>
        </row>
        <row r="9432">
          <cell r="A9432" t="str">
            <v>2624F217</v>
          </cell>
          <cell r="D9432" t="str">
            <v>KBP126</v>
          </cell>
          <cell r="E9432">
            <v>46196</v>
          </cell>
        </row>
        <row r="9433">
          <cell r="A9433" t="str">
            <v>2624HW27</v>
          </cell>
          <cell r="D9433" t="str">
            <v>FTP150</v>
          </cell>
          <cell r="E9433">
            <v>46196</v>
          </cell>
        </row>
        <row r="9434">
          <cell r="A9434" t="str">
            <v>2623G167</v>
          </cell>
          <cell r="D9434" t="str">
            <v>KBP86</v>
          </cell>
          <cell r="E9434">
            <v>46196</v>
          </cell>
        </row>
        <row r="9435">
          <cell r="A9435" t="str">
            <v>2623JW67</v>
          </cell>
          <cell r="D9435" t="str">
            <v>KBP76</v>
          </cell>
          <cell r="E9435">
            <v>46196</v>
          </cell>
        </row>
        <row r="9436">
          <cell r="A9436" t="str">
            <v>2623LQ67</v>
          </cell>
          <cell r="D9436" t="str">
            <v>TTS80</v>
          </cell>
          <cell r="E9436">
            <v>46196</v>
          </cell>
        </row>
        <row r="9437">
          <cell r="A9437" t="str">
            <v>2623KT67</v>
          </cell>
          <cell r="D9437" t="str">
            <v>TTS80</v>
          </cell>
          <cell r="E9437">
            <v>46196</v>
          </cell>
        </row>
        <row r="9438">
          <cell r="A9438" t="str">
            <v>2624PM17</v>
          </cell>
          <cell r="D9438" t="str">
            <v>TTS80</v>
          </cell>
          <cell r="E9438">
            <v>46196</v>
          </cell>
        </row>
        <row r="9439">
          <cell r="A9439" t="str">
            <v>2623H567</v>
          </cell>
          <cell r="D9439" t="str">
            <v>KBP52</v>
          </cell>
          <cell r="E9439">
            <v>46196</v>
          </cell>
        </row>
        <row r="9440">
          <cell r="A9440" t="str">
            <v>2624IM27</v>
          </cell>
          <cell r="D9440" t="str">
            <v>FTW503</v>
          </cell>
          <cell r="E9440">
            <v>46196</v>
          </cell>
        </row>
        <row r="9441">
          <cell r="A9441" t="str">
            <v>2624H127</v>
          </cell>
          <cell r="D9441" t="str">
            <v>KBP86</v>
          </cell>
          <cell r="E9441">
            <v>46196</v>
          </cell>
        </row>
        <row r="9442">
          <cell r="A9442" t="str">
            <v>2617F637</v>
          </cell>
          <cell r="D9442" t="str">
            <v>FTW503</v>
          </cell>
          <cell r="E9442">
            <v>46196</v>
          </cell>
        </row>
        <row r="9443">
          <cell r="A9443" t="str">
            <v>2623CN67</v>
          </cell>
          <cell r="D9443" t="str">
            <v>KBP86</v>
          </cell>
          <cell r="E9443">
            <v>46196</v>
          </cell>
        </row>
        <row r="9444">
          <cell r="A9444" t="str">
            <v>2623SD37</v>
          </cell>
          <cell r="D9444" t="str">
            <v>FTP200</v>
          </cell>
          <cell r="E9444">
            <v>46196</v>
          </cell>
        </row>
        <row r="9445">
          <cell r="A9445" t="str">
            <v>2624L937</v>
          </cell>
          <cell r="D9445" t="str">
            <v>FTW700</v>
          </cell>
          <cell r="E9445">
            <v>46196</v>
          </cell>
        </row>
        <row r="9446">
          <cell r="A9446" t="str">
            <v>2623O847</v>
          </cell>
          <cell r="D9446" t="str">
            <v>KBP55</v>
          </cell>
          <cell r="E9446">
            <v>46196</v>
          </cell>
        </row>
        <row r="9447">
          <cell r="A9447" t="str">
            <v>2624PI27</v>
          </cell>
          <cell r="D9447" t="str">
            <v>KBP76</v>
          </cell>
          <cell r="E9447">
            <v>46196</v>
          </cell>
        </row>
        <row r="9448">
          <cell r="A9448" t="str">
            <v>2623IK47</v>
          </cell>
          <cell r="D9448" t="str">
            <v>S805</v>
          </cell>
          <cell r="E9448">
            <v>46196</v>
          </cell>
        </row>
        <row r="9449">
          <cell r="A9449" t="str">
            <v>2623C667</v>
          </cell>
          <cell r="D9449" t="str">
            <v>KBP86</v>
          </cell>
          <cell r="E9449">
            <v>46196</v>
          </cell>
        </row>
        <row r="9450">
          <cell r="A9450" t="str">
            <v>2622X557</v>
          </cell>
          <cell r="D9450" t="str">
            <v>FTW121KE</v>
          </cell>
          <cell r="E9450">
            <v>46196</v>
          </cell>
        </row>
        <row r="9451">
          <cell r="A9451" t="str">
            <v>2623PZ57</v>
          </cell>
          <cell r="D9451" t="str">
            <v>S15MB</v>
          </cell>
          <cell r="E9451">
            <v>46196</v>
          </cell>
        </row>
        <row r="9452">
          <cell r="A9452" t="str">
            <v>2623I757</v>
          </cell>
          <cell r="D9452" t="str">
            <v>KBP126</v>
          </cell>
          <cell r="E9452">
            <v>46196</v>
          </cell>
        </row>
        <row r="9453">
          <cell r="A9453" t="str">
            <v>2624I927</v>
          </cell>
          <cell r="D9453" t="str">
            <v>FTW503</v>
          </cell>
          <cell r="E9453">
            <v>46196</v>
          </cell>
        </row>
        <row r="9454">
          <cell r="A9454" t="str">
            <v>2623GH67</v>
          </cell>
          <cell r="D9454" t="str">
            <v>KBP86</v>
          </cell>
          <cell r="E9454">
            <v>46196</v>
          </cell>
        </row>
        <row r="9455">
          <cell r="A9455" t="str">
            <v>2623G667</v>
          </cell>
          <cell r="D9455" t="str">
            <v>KBP86</v>
          </cell>
          <cell r="E9455">
            <v>46196</v>
          </cell>
        </row>
        <row r="9456">
          <cell r="A9456" t="str">
            <v>2624ID27</v>
          </cell>
          <cell r="D9456" t="str">
            <v>FTW503</v>
          </cell>
          <cell r="E9456">
            <v>46196</v>
          </cell>
        </row>
        <row r="9457">
          <cell r="A9457" t="str">
            <v>2623CO67</v>
          </cell>
          <cell r="D9457" t="str">
            <v>KBP86</v>
          </cell>
          <cell r="E9457">
            <v>46196</v>
          </cell>
        </row>
        <row r="9458">
          <cell r="A9458" t="str">
            <v>2617F437</v>
          </cell>
          <cell r="D9458" t="str">
            <v>FTW503</v>
          </cell>
          <cell r="E9458">
            <v>46196</v>
          </cell>
        </row>
        <row r="9459">
          <cell r="A9459" t="str">
            <v>2624CK27</v>
          </cell>
          <cell r="D9459" t="str">
            <v>S15MB</v>
          </cell>
          <cell r="E9459">
            <v>46196</v>
          </cell>
        </row>
        <row r="9460">
          <cell r="A9460" t="str">
            <v>2623I927</v>
          </cell>
          <cell r="D9460" t="str">
            <v>KBP76</v>
          </cell>
          <cell r="E9460">
            <v>46196</v>
          </cell>
        </row>
        <row r="9461">
          <cell r="A9461" t="str">
            <v>2623KY67</v>
          </cell>
          <cell r="D9461" t="str">
            <v>TTS80</v>
          </cell>
          <cell r="E9461">
            <v>46196</v>
          </cell>
        </row>
        <row r="9462">
          <cell r="A9462" t="str">
            <v>2624PH17</v>
          </cell>
          <cell r="D9462" t="str">
            <v>TTS80</v>
          </cell>
          <cell r="E9462">
            <v>46196</v>
          </cell>
        </row>
        <row r="9463">
          <cell r="A9463" t="str">
            <v>2624J627</v>
          </cell>
          <cell r="D9463" t="str">
            <v>FTW700</v>
          </cell>
          <cell r="E9463">
            <v>46196</v>
          </cell>
        </row>
        <row r="9464">
          <cell r="A9464" t="str">
            <v>2622JK37</v>
          </cell>
          <cell r="D9464" t="str">
            <v>FTW503</v>
          </cell>
          <cell r="E9464">
            <v>46196</v>
          </cell>
        </row>
        <row r="9465">
          <cell r="A9465" t="str">
            <v>2621XQ57</v>
          </cell>
          <cell r="D9465" t="str">
            <v>FTW121KE</v>
          </cell>
          <cell r="E9465">
            <v>46196</v>
          </cell>
        </row>
        <row r="9466">
          <cell r="A9466" t="str">
            <v>2622LH37</v>
          </cell>
          <cell r="D9466" t="str">
            <v>FTW121KE</v>
          </cell>
          <cell r="E9466">
            <v>46196</v>
          </cell>
        </row>
        <row r="9467">
          <cell r="A9467" t="str">
            <v>2621LH47</v>
          </cell>
          <cell r="D9467" t="str">
            <v>FTW121KE</v>
          </cell>
          <cell r="E9467">
            <v>46196</v>
          </cell>
        </row>
        <row r="9468">
          <cell r="A9468" t="str">
            <v>2623O647</v>
          </cell>
          <cell r="D9468" t="str">
            <v>KBP55</v>
          </cell>
          <cell r="E9468">
            <v>46196</v>
          </cell>
        </row>
        <row r="9469">
          <cell r="A9469" t="str">
            <v>2622O157</v>
          </cell>
          <cell r="D9469" t="str">
            <v>S15MB</v>
          </cell>
          <cell r="E9469">
            <v>46196</v>
          </cell>
        </row>
        <row r="9470">
          <cell r="A9470" t="str">
            <v>2623IU57</v>
          </cell>
          <cell r="D9470" t="str">
            <v>FTW121KE</v>
          </cell>
          <cell r="E9470">
            <v>46196</v>
          </cell>
        </row>
        <row r="9471">
          <cell r="A9471" t="str">
            <v>2623KR17</v>
          </cell>
          <cell r="D9471" t="str">
            <v>FTW121KE</v>
          </cell>
          <cell r="E9471">
            <v>46196</v>
          </cell>
        </row>
        <row r="9472">
          <cell r="A9472" t="str">
            <v>2623LX37</v>
          </cell>
          <cell r="D9472" t="str">
            <v>KBP86</v>
          </cell>
          <cell r="E9472">
            <v>46196</v>
          </cell>
        </row>
        <row r="9473">
          <cell r="A9473" t="str">
            <v>2623L617</v>
          </cell>
          <cell r="D9473" t="str">
            <v>FTW121KE</v>
          </cell>
          <cell r="E9473">
            <v>46196</v>
          </cell>
        </row>
        <row r="9474">
          <cell r="A9474" t="str">
            <v>2623CJ67</v>
          </cell>
          <cell r="D9474" t="str">
            <v>KBP86</v>
          </cell>
          <cell r="E9474">
            <v>46196</v>
          </cell>
        </row>
        <row r="9475">
          <cell r="A9475" t="str">
            <v>2623CI67</v>
          </cell>
          <cell r="D9475" t="str">
            <v>KBP86</v>
          </cell>
          <cell r="E9475">
            <v>46196</v>
          </cell>
        </row>
        <row r="9476">
          <cell r="A9476" t="str">
            <v>2624H327</v>
          </cell>
          <cell r="D9476" t="str">
            <v>KBP86</v>
          </cell>
          <cell r="E9476">
            <v>46196</v>
          </cell>
        </row>
        <row r="9477">
          <cell r="A9477" t="str">
            <v>2624PK17</v>
          </cell>
          <cell r="D9477" t="str">
            <v>TTS80</v>
          </cell>
          <cell r="E9477">
            <v>46196</v>
          </cell>
        </row>
        <row r="9478">
          <cell r="A9478" t="str">
            <v>2622SV57</v>
          </cell>
          <cell r="D9478" t="str">
            <v>KBP76</v>
          </cell>
          <cell r="E9478">
            <v>46196</v>
          </cell>
        </row>
        <row r="9479">
          <cell r="A9479" t="str">
            <v>2624PI47</v>
          </cell>
          <cell r="D9479" t="str">
            <v>KBP76</v>
          </cell>
          <cell r="E9479">
            <v>46196</v>
          </cell>
        </row>
        <row r="9480">
          <cell r="A9480" t="str">
            <v>2623O347</v>
          </cell>
          <cell r="D9480" t="str">
            <v>KBP55</v>
          </cell>
          <cell r="E9480">
            <v>46196</v>
          </cell>
        </row>
        <row r="9481">
          <cell r="A9481" t="str">
            <v>2623CZ67</v>
          </cell>
          <cell r="D9481" t="str">
            <v>KBP86</v>
          </cell>
          <cell r="E9481">
            <v>46196</v>
          </cell>
        </row>
        <row r="9482">
          <cell r="A9482" t="str">
            <v>2622UN47</v>
          </cell>
          <cell r="D9482" t="str">
            <v>TTS50</v>
          </cell>
          <cell r="E9482">
            <v>46196</v>
          </cell>
        </row>
        <row r="9483">
          <cell r="A9483" t="str">
            <v>2622VB47</v>
          </cell>
          <cell r="D9483" t="str">
            <v>TTS50</v>
          </cell>
          <cell r="E9483">
            <v>46196</v>
          </cell>
        </row>
        <row r="9484">
          <cell r="A9484" t="str">
            <v>2623IJ67</v>
          </cell>
          <cell r="D9484" t="str">
            <v>TTS50</v>
          </cell>
          <cell r="E9484">
            <v>46196</v>
          </cell>
        </row>
        <row r="9485">
          <cell r="A9485" t="str">
            <v>2624KJ47</v>
          </cell>
          <cell r="D9485" t="str">
            <v>FTP150</v>
          </cell>
          <cell r="E9485">
            <v>46196</v>
          </cell>
        </row>
        <row r="9486">
          <cell r="A9486" t="str">
            <v>2624KC27</v>
          </cell>
          <cell r="D9486" t="str">
            <v>FTW700</v>
          </cell>
          <cell r="E9486">
            <v>46196</v>
          </cell>
        </row>
        <row r="9487">
          <cell r="A9487" t="str">
            <v>2621X757</v>
          </cell>
          <cell r="D9487" t="str">
            <v>FTW121KE</v>
          </cell>
          <cell r="E9487">
            <v>46196</v>
          </cell>
        </row>
        <row r="9488">
          <cell r="A9488" t="str">
            <v>2622SB17</v>
          </cell>
          <cell r="D9488" t="str">
            <v>STA156KA</v>
          </cell>
          <cell r="E9488">
            <v>46196</v>
          </cell>
        </row>
        <row r="9489">
          <cell r="A9489" t="str">
            <v>2624II27</v>
          </cell>
          <cell r="D9489" t="str">
            <v>FTW503</v>
          </cell>
          <cell r="E9489">
            <v>46196</v>
          </cell>
        </row>
        <row r="9490">
          <cell r="A9490" t="str">
            <v>2621A167</v>
          </cell>
          <cell r="D9490" t="str">
            <v>FTW121KE</v>
          </cell>
          <cell r="E9490">
            <v>46196</v>
          </cell>
        </row>
        <row r="9491">
          <cell r="A9491" t="str">
            <v>2621HP67</v>
          </cell>
          <cell r="D9491" t="str">
            <v>KBP55</v>
          </cell>
          <cell r="E9491">
            <v>46196</v>
          </cell>
        </row>
        <row r="9492">
          <cell r="A9492" t="str">
            <v>2623O367</v>
          </cell>
          <cell r="D9492" t="str">
            <v>TTS80</v>
          </cell>
          <cell r="E9492">
            <v>46196</v>
          </cell>
        </row>
        <row r="9493">
          <cell r="A9493" t="str">
            <v>2624L847</v>
          </cell>
          <cell r="D9493" t="str">
            <v>FTW503</v>
          </cell>
          <cell r="E9493">
            <v>46196</v>
          </cell>
        </row>
        <row r="9494">
          <cell r="A9494" t="str">
            <v>2622IT27</v>
          </cell>
          <cell r="D9494" t="str">
            <v>FTW503</v>
          </cell>
          <cell r="E9494">
            <v>46196</v>
          </cell>
        </row>
        <row r="9495">
          <cell r="A9495" t="str">
            <v>2623HI57</v>
          </cell>
          <cell r="D9495" t="str">
            <v>S805</v>
          </cell>
          <cell r="E9495">
            <v>46196</v>
          </cell>
        </row>
        <row r="9496">
          <cell r="A9496" t="str">
            <v>2622WJ47</v>
          </cell>
          <cell r="D9496" t="str">
            <v>KBP55</v>
          </cell>
          <cell r="E9496">
            <v>46196</v>
          </cell>
        </row>
        <row r="9497">
          <cell r="A9497" t="str">
            <v>2623KC47</v>
          </cell>
          <cell r="D9497" t="str">
            <v>FTW121KE</v>
          </cell>
          <cell r="E9497">
            <v>46196</v>
          </cell>
        </row>
        <row r="9498">
          <cell r="A9498" t="str">
            <v>2618HN17</v>
          </cell>
          <cell r="D9498" t="str">
            <v>FTW503</v>
          </cell>
          <cell r="E9498">
            <v>46196</v>
          </cell>
        </row>
        <row r="9499">
          <cell r="A9499" t="str">
            <v>2624P817</v>
          </cell>
          <cell r="D9499" t="str">
            <v>STA156KA</v>
          </cell>
          <cell r="E9499">
            <v>46196</v>
          </cell>
        </row>
        <row r="9500">
          <cell r="A9500" t="str">
            <v>2623LW47</v>
          </cell>
          <cell r="D9500" t="str">
            <v>STA156KA</v>
          </cell>
          <cell r="E9500">
            <v>46196</v>
          </cell>
        </row>
        <row r="9501">
          <cell r="A9501" t="str">
            <v>2623EY47</v>
          </cell>
          <cell r="D9501" t="str">
            <v>KBP76</v>
          </cell>
          <cell r="E9501">
            <v>46196</v>
          </cell>
        </row>
        <row r="9502">
          <cell r="A9502" t="str">
            <v>2623KO67</v>
          </cell>
          <cell r="D9502" t="str">
            <v>KBP55</v>
          </cell>
          <cell r="E9502">
            <v>46196</v>
          </cell>
        </row>
        <row r="9503">
          <cell r="A9503" t="str">
            <v>2616H527</v>
          </cell>
          <cell r="D9503" t="str">
            <v>TTS50</v>
          </cell>
          <cell r="E9503">
            <v>46196</v>
          </cell>
        </row>
        <row r="9504">
          <cell r="A9504" t="str">
            <v>2623H827</v>
          </cell>
          <cell r="D9504" t="str">
            <v>KBP86</v>
          </cell>
          <cell r="E9504">
            <v>46196</v>
          </cell>
        </row>
        <row r="9505">
          <cell r="A9505" t="str">
            <v>2623FV27</v>
          </cell>
          <cell r="D9505" t="str">
            <v>FTW121KE</v>
          </cell>
          <cell r="E9505">
            <v>46196</v>
          </cell>
        </row>
        <row r="9506">
          <cell r="A9506" t="str">
            <v>2622XN57</v>
          </cell>
          <cell r="D9506" t="str">
            <v>FTW121KE</v>
          </cell>
          <cell r="E9506">
            <v>46196</v>
          </cell>
        </row>
        <row r="9507">
          <cell r="A9507" t="str">
            <v>2623LG67</v>
          </cell>
          <cell r="D9507" t="str">
            <v>TTS80</v>
          </cell>
          <cell r="E9507">
            <v>46196</v>
          </cell>
        </row>
        <row r="9508">
          <cell r="A9508" t="str">
            <v>2623IM67</v>
          </cell>
          <cell r="D9508" t="str">
            <v>TTS50</v>
          </cell>
          <cell r="E9508">
            <v>46196</v>
          </cell>
        </row>
        <row r="9509">
          <cell r="A9509" t="str">
            <v>2621IB27</v>
          </cell>
          <cell r="D9509" t="str">
            <v>FTW121KE</v>
          </cell>
          <cell r="E9509">
            <v>46196</v>
          </cell>
        </row>
        <row r="9510">
          <cell r="A9510" t="str">
            <v>2623G827</v>
          </cell>
          <cell r="D9510" t="str">
            <v>KBP86</v>
          </cell>
          <cell r="E9510">
            <v>46196</v>
          </cell>
        </row>
        <row r="9511">
          <cell r="A9511" t="str">
            <v>2623LE67</v>
          </cell>
          <cell r="D9511" t="str">
            <v>TTS80</v>
          </cell>
          <cell r="E9511">
            <v>46196</v>
          </cell>
        </row>
        <row r="9512">
          <cell r="A9512" t="str">
            <v>2623C827</v>
          </cell>
          <cell r="D9512" t="str">
            <v>STA156KA</v>
          </cell>
          <cell r="E9512">
            <v>46196</v>
          </cell>
        </row>
        <row r="9513">
          <cell r="A9513" t="str">
            <v>2623I267</v>
          </cell>
          <cell r="D9513" t="str">
            <v>KBP52</v>
          </cell>
          <cell r="E9513">
            <v>46196</v>
          </cell>
        </row>
        <row r="9514">
          <cell r="A9514" t="str">
            <v>2624J637</v>
          </cell>
          <cell r="D9514" t="str">
            <v>FTW503</v>
          </cell>
          <cell r="E9514">
            <v>46196</v>
          </cell>
        </row>
        <row r="9515">
          <cell r="A9515" t="str">
            <v>2623EJ67</v>
          </cell>
          <cell r="D9515" t="str">
            <v>FTW700</v>
          </cell>
          <cell r="E9515">
            <v>46196</v>
          </cell>
        </row>
        <row r="9516">
          <cell r="A9516" t="str">
            <v>2617IT17</v>
          </cell>
          <cell r="D9516" t="str">
            <v>FTW503</v>
          </cell>
          <cell r="E9516">
            <v>46196</v>
          </cell>
        </row>
        <row r="9517">
          <cell r="A9517" t="str">
            <v>2624P717</v>
          </cell>
          <cell r="D9517" t="str">
            <v>KBP74</v>
          </cell>
          <cell r="E9517">
            <v>46196</v>
          </cell>
        </row>
        <row r="9518">
          <cell r="A9518" t="str">
            <v>2621JH27</v>
          </cell>
          <cell r="D9518" t="str">
            <v>KBP86</v>
          </cell>
          <cell r="E9518">
            <v>46196</v>
          </cell>
        </row>
        <row r="9519">
          <cell r="A9519" t="str">
            <v>2622US47</v>
          </cell>
          <cell r="D9519" t="str">
            <v>TTS50</v>
          </cell>
          <cell r="E9519">
            <v>46196</v>
          </cell>
        </row>
        <row r="9520">
          <cell r="A9520" t="str">
            <v>2624DI17</v>
          </cell>
          <cell r="D9520" t="str">
            <v>FTW503</v>
          </cell>
          <cell r="E9520">
            <v>46196</v>
          </cell>
        </row>
        <row r="9521">
          <cell r="A9521" t="str">
            <v>2624DH17</v>
          </cell>
          <cell r="D9521" t="str">
            <v>FTW503</v>
          </cell>
          <cell r="E9521">
            <v>46196</v>
          </cell>
        </row>
        <row r="9522">
          <cell r="A9522" t="str">
            <v>2623KD67</v>
          </cell>
          <cell r="D9522" t="str">
            <v>FTP200</v>
          </cell>
          <cell r="E9522">
            <v>46196</v>
          </cell>
        </row>
        <row r="9523">
          <cell r="A9523" t="str">
            <v>2624L547</v>
          </cell>
          <cell r="D9523" t="str">
            <v>FTW503</v>
          </cell>
          <cell r="E9523">
            <v>46196</v>
          </cell>
        </row>
        <row r="9524">
          <cell r="A9524" t="str">
            <v>2624CP17</v>
          </cell>
          <cell r="D9524" t="str">
            <v>KBP86</v>
          </cell>
          <cell r="E9524">
            <v>46196</v>
          </cell>
        </row>
        <row r="9525">
          <cell r="A9525" t="str">
            <v>2623O447</v>
          </cell>
          <cell r="D9525" t="str">
            <v>KBP55</v>
          </cell>
          <cell r="E9525">
            <v>46196</v>
          </cell>
        </row>
        <row r="9526">
          <cell r="A9526" t="str">
            <v>2620A417</v>
          </cell>
          <cell r="D9526" t="str">
            <v>KBP76</v>
          </cell>
          <cell r="E9526">
            <v>46196</v>
          </cell>
        </row>
        <row r="9527">
          <cell r="A9527" t="str">
            <v>2624DD17</v>
          </cell>
          <cell r="D9527" t="str">
            <v>FTW503</v>
          </cell>
          <cell r="E9527">
            <v>46196</v>
          </cell>
        </row>
        <row r="9528">
          <cell r="A9528" t="str">
            <v>2621XI57</v>
          </cell>
          <cell r="D9528" t="str">
            <v>FTW121KE</v>
          </cell>
          <cell r="E9528">
            <v>46196</v>
          </cell>
        </row>
        <row r="9529">
          <cell r="A9529" t="str">
            <v>2623DE27</v>
          </cell>
          <cell r="D9529" t="str">
            <v>S805</v>
          </cell>
          <cell r="E9529">
            <v>46196</v>
          </cell>
        </row>
        <row r="9530">
          <cell r="A9530" t="str">
            <v>2620WO57</v>
          </cell>
          <cell r="D9530" t="str">
            <v>FTW121KE</v>
          </cell>
          <cell r="E9530">
            <v>46196</v>
          </cell>
        </row>
        <row r="9531">
          <cell r="A9531" t="str">
            <v>2624J327</v>
          </cell>
          <cell r="D9531" t="str">
            <v>TTS50</v>
          </cell>
          <cell r="E9531">
            <v>46196</v>
          </cell>
        </row>
        <row r="9532">
          <cell r="A9532" t="str">
            <v>2623L847</v>
          </cell>
          <cell r="D9532" t="str">
            <v>TTS50</v>
          </cell>
          <cell r="E9532">
            <v>46196</v>
          </cell>
        </row>
        <row r="9533">
          <cell r="A9533" t="str">
            <v>2623KF47</v>
          </cell>
          <cell r="D9533" t="str">
            <v>FTW121KE</v>
          </cell>
          <cell r="E9533">
            <v>46196</v>
          </cell>
        </row>
        <row r="9534">
          <cell r="A9534" t="str">
            <v>2624PM27</v>
          </cell>
          <cell r="D9534" t="str">
            <v>STA156KA</v>
          </cell>
          <cell r="E9534">
            <v>46196</v>
          </cell>
        </row>
        <row r="9535">
          <cell r="A9535" t="str">
            <v>2624IH27</v>
          </cell>
          <cell r="D9535" t="str">
            <v>FTW503</v>
          </cell>
          <cell r="E9535">
            <v>46196</v>
          </cell>
        </row>
        <row r="9536">
          <cell r="A9536" t="str">
            <v>2624PP17</v>
          </cell>
          <cell r="D9536" t="str">
            <v>TTS80</v>
          </cell>
          <cell r="E9536">
            <v>46196</v>
          </cell>
        </row>
        <row r="9537">
          <cell r="A9537" t="str">
            <v>2623KV17</v>
          </cell>
          <cell r="D9537" t="str">
            <v>FTW121KE</v>
          </cell>
          <cell r="E9537">
            <v>46196</v>
          </cell>
        </row>
        <row r="9538">
          <cell r="A9538" t="str">
            <v>2620J757</v>
          </cell>
          <cell r="D9538" t="str">
            <v>TTS80</v>
          </cell>
          <cell r="E9538">
            <v>46196</v>
          </cell>
        </row>
        <row r="9539">
          <cell r="A9539" t="str">
            <v>2624A337</v>
          </cell>
          <cell r="D9539" t="str">
            <v>TTS175</v>
          </cell>
          <cell r="E9539">
            <v>46196</v>
          </cell>
        </row>
        <row r="9540">
          <cell r="A9540" t="str">
            <v>2623Q237</v>
          </cell>
          <cell r="D9540" t="str">
            <v>KBP76</v>
          </cell>
          <cell r="E9540">
            <v>46196</v>
          </cell>
        </row>
        <row r="9541">
          <cell r="A9541" t="str">
            <v>2608GH57</v>
          </cell>
          <cell r="D9541" t="str">
            <v>KBP52</v>
          </cell>
          <cell r="E9541">
            <v>46196</v>
          </cell>
        </row>
        <row r="9542">
          <cell r="A9542" t="str">
            <v>2624F517</v>
          </cell>
          <cell r="D9542" t="str">
            <v>FTW102K</v>
          </cell>
          <cell r="E9542">
            <v>46196</v>
          </cell>
        </row>
        <row r="9543">
          <cell r="A9543" t="str">
            <v>2624QM37</v>
          </cell>
          <cell r="D9543" t="str">
            <v>KBP74</v>
          </cell>
          <cell r="E9543">
            <v>46196</v>
          </cell>
        </row>
        <row r="9544">
          <cell r="A9544" t="str">
            <v>2624HL17</v>
          </cell>
          <cell r="D9544" t="str">
            <v>TTS50</v>
          </cell>
          <cell r="E9544">
            <v>46196</v>
          </cell>
        </row>
        <row r="9545">
          <cell r="A9545" t="str">
            <v>2623EO67</v>
          </cell>
          <cell r="D9545" t="str">
            <v>FTW700</v>
          </cell>
          <cell r="E9545">
            <v>46196</v>
          </cell>
        </row>
        <row r="9546">
          <cell r="A9546" t="str">
            <v>2623SB27</v>
          </cell>
          <cell r="D9546" t="str">
            <v>KBP76</v>
          </cell>
          <cell r="E9546">
            <v>46196</v>
          </cell>
        </row>
        <row r="9547">
          <cell r="A9547" t="str">
            <v>2624J127</v>
          </cell>
          <cell r="D9547" t="str">
            <v>TTS50</v>
          </cell>
          <cell r="E9547">
            <v>46196</v>
          </cell>
        </row>
        <row r="9548">
          <cell r="A9548" t="str">
            <v>2624JO27</v>
          </cell>
          <cell r="D9548" t="str">
            <v>FTW121KE</v>
          </cell>
          <cell r="E9548">
            <v>46196</v>
          </cell>
        </row>
        <row r="9549">
          <cell r="A9549" t="str">
            <v>2624IB27</v>
          </cell>
          <cell r="D9549" t="str">
            <v>FTW503</v>
          </cell>
          <cell r="E9549">
            <v>46196</v>
          </cell>
        </row>
        <row r="9550">
          <cell r="A9550" t="str">
            <v>2623H927</v>
          </cell>
          <cell r="D9550" t="str">
            <v>KBP86</v>
          </cell>
          <cell r="E9550">
            <v>46196</v>
          </cell>
        </row>
        <row r="9551">
          <cell r="A9551" t="str">
            <v>2623IW67</v>
          </cell>
          <cell r="D9551" t="str">
            <v>S706</v>
          </cell>
          <cell r="E9551">
            <v>46196</v>
          </cell>
        </row>
        <row r="9552">
          <cell r="A9552" t="str">
            <v>2624HX27</v>
          </cell>
          <cell r="D9552" t="str">
            <v>FTP150</v>
          </cell>
          <cell r="E9552">
            <v>46196</v>
          </cell>
        </row>
        <row r="9553">
          <cell r="A9553" t="str">
            <v>2623J537</v>
          </cell>
          <cell r="D9553" t="str">
            <v>S805</v>
          </cell>
          <cell r="E9553">
            <v>46196</v>
          </cell>
        </row>
        <row r="9554">
          <cell r="A9554" t="str">
            <v>2624F317</v>
          </cell>
          <cell r="D9554" t="str">
            <v>KBP126</v>
          </cell>
          <cell r="E9554">
            <v>46196</v>
          </cell>
        </row>
        <row r="9555">
          <cell r="A9555" t="str">
            <v>2623LH17</v>
          </cell>
          <cell r="D9555" t="str">
            <v>KBP86</v>
          </cell>
          <cell r="E9555">
            <v>46196</v>
          </cell>
        </row>
        <row r="9556">
          <cell r="A9556" t="str">
            <v>2621I827</v>
          </cell>
          <cell r="D9556" t="str">
            <v>FTW121KE</v>
          </cell>
          <cell r="E9556">
            <v>46196</v>
          </cell>
        </row>
        <row r="9557">
          <cell r="A9557" t="str">
            <v>2623FB30</v>
          </cell>
          <cell r="D9557" t="str">
            <v>STA200KA</v>
          </cell>
          <cell r="E9557">
            <v>46196</v>
          </cell>
        </row>
        <row r="9558">
          <cell r="A9558" t="str">
            <v>2623OM17</v>
          </cell>
          <cell r="D9558" t="str">
            <v>HV80</v>
          </cell>
          <cell r="E9558">
            <v>46196</v>
          </cell>
        </row>
        <row r="9559">
          <cell r="A9559" t="str">
            <v>2624OH27</v>
          </cell>
          <cell r="D9559" t="str">
            <v>S706</v>
          </cell>
          <cell r="E9559">
            <v>46196</v>
          </cell>
        </row>
        <row r="9560">
          <cell r="A9560" t="str">
            <v>2624OJ27</v>
          </cell>
          <cell r="D9560" t="str">
            <v>S706</v>
          </cell>
          <cell r="E9560">
            <v>46196</v>
          </cell>
        </row>
        <row r="9561">
          <cell r="A9561" t="str">
            <v>2624OL27</v>
          </cell>
          <cell r="D9561" t="str">
            <v>S706</v>
          </cell>
          <cell r="E9561">
            <v>46196</v>
          </cell>
        </row>
        <row r="9562">
          <cell r="A9562" t="str">
            <v>2624P937</v>
          </cell>
          <cell r="D9562" t="str">
            <v>S706</v>
          </cell>
          <cell r="E9562">
            <v>46196</v>
          </cell>
        </row>
        <row r="9563">
          <cell r="A9563" t="str">
            <v>2624PL37</v>
          </cell>
          <cell r="D9563" t="str">
            <v>S706</v>
          </cell>
          <cell r="E9563">
            <v>46196</v>
          </cell>
        </row>
        <row r="9564">
          <cell r="A9564" t="str">
            <v>2624OE27</v>
          </cell>
          <cell r="D9564" t="str">
            <v>S706</v>
          </cell>
          <cell r="E9564">
            <v>46196</v>
          </cell>
        </row>
        <row r="9565">
          <cell r="A9565" t="str">
            <v>2624L847</v>
          </cell>
          <cell r="D9565" t="str">
            <v>FTW503</v>
          </cell>
          <cell r="E9565">
            <v>46196</v>
          </cell>
        </row>
        <row r="9566">
          <cell r="A9566" t="str">
            <v>2624L847</v>
          </cell>
          <cell r="D9566" t="str">
            <v>FTW503</v>
          </cell>
          <cell r="E9566">
            <v>46196</v>
          </cell>
        </row>
        <row r="9567">
          <cell r="A9567" t="str">
            <v>2622A267</v>
          </cell>
          <cell r="D9567" t="str">
            <v>KBP86</v>
          </cell>
          <cell r="E9567">
            <v>46195</v>
          </cell>
        </row>
        <row r="9568">
          <cell r="A9568" t="str">
            <v>2624I127</v>
          </cell>
          <cell r="D9568" t="str">
            <v>FTP150</v>
          </cell>
          <cell r="E9568">
            <v>46195</v>
          </cell>
        </row>
        <row r="9569">
          <cell r="A9569" t="str">
            <v>2624PH27</v>
          </cell>
          <cell r="D9569" t="str">
            <v>KBP76</v>
          </cell>
          <cell r="E9569">
            <v>46195</v>
          </cell>
        </row>
        <row r="9570">
          <cell r="A9570" t="str">
            <v>2621L947</v>
          </cell>
          <cell r="D9570" t="str">
            <v>FTW121KE</v>
          </cell>
          <cell r="E9570">
            <v>46195</v>
          </cell>
        </row>
        <row r="9571">
          <cell r="A9571" t="str">
            <v>2621UD57</v>
          </cell>
          <cell r="D9571" t="str">
            <v>KBP76</v>
          </cell>
          <cell r="E9571">
            <v>46195</v>
          </cell>
        </row>
        <row r="9572">
          <cell r="A9572" t="str">
            <v>2623LV37</v>
          </cell>
          <cell r="D9572" t="str">
            <v>KBP86</v>
          </cell>
          <cell r="E9572">
            <v>46195</v>
          </cell>
        </row>
        <row r="9573">
          <cell r="A9573" t="str">
            <v>2624PG27</v>
          </cell>
          <cell r="D9573" t="str">
            <v>KBP76</v>
          </cell>
          <cell r="E9573">
            <v>46195</v>
          </cell>
        </row>
        <row r="9574">
          <cell r="A9574" t="str">
            <v>2620EY47</v>
          </cell>
          <cell r="D9574" t="str">
            <v>TTS80</v>
          </cell>
          <cell r="E9574">
            <v>46195</v>
          </cell>
        </row>
        <row r="9575">
          <cell r="A9575" t="str">
            <v>2622XW57</v>
          </cell>
          <cell r="D9575" t="str">
            <v>FTW121KR</v>
          </cell>
          <cell r="E9575">
            <v>46195</v>
          </cell>
        </row>
        <row r="9576">
          <cell r="A9576" t="str">
            <v>2623D327</v>
          </cell>
          <cell r="D9576" t="str">
            <v>KBP76</v>
          </cell>
          <cell r="E9576">
            <v>46195</v>
          </cell>
        </row>
        <row r="9577">
          <cell r="A9577" t="str">
            <v>2623LT37</v>
          </cell>
          <cell r="D9577" t="str">
            <v>FTW121KE</v>
          </cell>
          <cell r="E9577">
            <v>46195</v>
          </cell>
        </row>
        <row r="9578">
          <cell r="A9578" t="str">
            <v>2621L947</v>
          </cell>
          <cell r="D9578" t="str">
            <v>FTW121KE</v>
          </cell>
          <cell r="E9578">
            <v>46195</v>
          </cell>
        </row>
        <row r="9579">
          <cell r="A9579" t="str">
            <v>2623FL27</v>
          </cell>
          <cell r="D9579" t="str">
            <v>FTW121KR</v>
          </cell>
          <cell r="E9579">
            <v>46195</v>
          </cell>
        </row>
        <row r="9580">
          <cell r="A9580" t="str">
            <v>2622E567</v>
          </cell>
          <cell r="D9580" t="str">
            <v>STA156KA</v>
          </cell>
          <cell r="E9580">
            <v>46195</v>
          </cell>
        </row>
        <row r="9581">
          <cell r="A9581" t="str">
            <v>2624I417</v>
          </cell>
          <cell r="D9581" t="str">
            <v>S706</v>
          </cell>
          <cell r="E9581">
            <v>46195</v>
          </cell>
        </row>
        <row r="9582">
          <cell r="A9582" t="str">
            <v>2621L947</v>
          </cell>
          <cell r="D9582" t="str">
            <v>FTW121KE</v>
          </cell>
          <cell r="E9582">
            <v>46195</v>
          </cell>
        </row>
        <row r="9583">
          <cell r="A9583" t="str">
            <v>2624I817</v>
          </cell>
          <cell r="D9583" t="str">
            <v>S706</v>
          </cell>
          <cell r="E9583">
            <v>46195</v>
          </cell>
        </row>
        <row r="9584">
          <cell r="A9584" t="str">
            <v>2622IG27</v>
          </cell>
          <cell r="D9584" t="str">
            <v>FTP150</v>
          </cell>
          <cell r="E9584">
            <v>46195</v>
          </cell>
        </row>
        <row r="9585">
          <cell r="A9585" t="str">
            <v>2624OB27</v>
          </cell>
          <cell r="D9585" t="str">
            <v>S706</v>
          </cell>
          <cell r="E9585">
            <v>46195</v>
          </cell>
        </row>
        <row r="9586">
          <cell r="A9586" t="str">
            <v>2621LK37</v>
          </cell>
          <cell r="D9586" t="str">
            <v>HV80</v>
          </cell>
          <cell r="E9586">
            <v>46195</v>
          </cell>
        </row>
        <row r="9587">
          <cell r="A9587" t="str">
            <v>2624OF27</v>
          </cell>
          <cell r="D9587" t="str">
            <v>S706</v>
          </cell>
          <cell r="E9587">
            <v>46195</v>
          </cell>
        </row>
        <row r="9588">
          <cell r="A9588" t="str">
            <v>2621OU37</v>
          </cell>
          <cell r="D9588" t="str">
            <v>TTS80</v>
          </cell>
          <cell r="E9588">
            <v>46195</v>
          </cell>
        </row>
        <row r="9589">
          <cell r="A9589" t="str">
            <v>2624ON27</v>
          </cell>
          <cell r="D9589" t="str">
            <v>S706</v>
          </cell>
          <cell r="E9589">
            <v>46195</v>
          </cell>
        </row>
        <row r="9590">
          <cell r="A9590" t="str">
            <v>2622CA67</v>
          </cell>
          <cell r="D9590" t="str">
            <v>HV80</v>
          </cell>
          <cell r="E9590">
            <v>46195</v>
          </cell>
        </row>
        <row r="9591">
          <cell r="A9591" t="str">
            <v>2624OP27</v>
          </cell>
          <cell r="D9591" t="str">
            <v>S706</v>
          </cell>
          <cell r="E9591">
            <v>46195</v>
          </cell>
        </row>
        <row r="9592">
          <cell r="A9592" t="str">
            <v>2623GA27</v>
          </cell>
          <cell r="D9592" t="str">
            <v>KBP86</v>
          </cell>
          <cell r="E9592">
            <v>46195</v>
          </cell>
        </row>
        <row r="9593">
          <cell r="A9593" t="str">
            <v>2624HR17</v>
          </cell>
          <cell r="D9593" t="str">
            <v>S706</v>
          </cell>
          <cell r="E9593">
            <v>46195</v>
          </cell>
        </row>
        <row r="9594">
          <cell r="A9594" t="str">
            <v>2622PP37</v>
          </cell>
          <cell r="D9594" t="str">
            <v>HV80</v>
          </cell>
          <cell r="E9594">
            <v>46195</v>
          </cell>
        </row>
        <row r="9595">
          <cell r="A9595" t="str">
            <v>2624HU17</v>
          </cell>
          <cell r="D9595" t="str">
            <v>S706</v>
          </cell>
          <cell r="E9595">
            <v>46195</v>
          </cell>
        </row>
        <row r="9596">
          <cell r="A9596" t="str">
            <v>2622A467</v>
          </cell>
          <cell r="D9596" t="str">
            <v>KBP86</v>
          </cell>
          <cell r="E9596">
            <v>46195</v>
          </cell>
        </row>
        <row r="9597">
          <cell r="A9597" t="str">
            <v>2624PD37</v>
          </cell>
          <cell r="D9597" t="str">
            <v>S706</v>
          </cell>
          <cell r="E9597">
            <v>46195</v>
          </cell>
        </row>
        <row r="9598">
          <cell r="A9598" t="str">
            <v>2619D447</v>
          </cell>
          <cell r="D9598" t="str">
            <v>HV80</v>
          </cell>
          <cell r="E9598">
            <v>46195</v>
          </cell>
        </row>
        <row r="9599">
          <cell r="A9599" t="str">
            <v>2622QM47</v>
          </cell>
          <cell r="D9599" t="str">
            <v>FTW121KE</v>
          </cell>
          <cell r="E9599">
            <v>46195</v>
          </cell>
        </row>
        <row r="9600">
          <cell r="A9600" t="str">
            <v>2623A867</v>
          </cell>
          <cell r="D9600" t="str">
            <v>S15MB</v>
          </cell>
          <cell r="E9600">
            <v>46195</v>
          </cell>
        </row>
        <row r="9601">
          <cell r="A9601" t="str">
            <v>2623KZ17</v>
          </cell>
          <cell r="D9601" t="str">
            <v>FTW121KE</v>
          </cell>
          <cell r="E9601">
            <v>46195</v>
          </cell>
        </row>
        <row r="9602">
          <cell r="A9602" t="str">
            <v>2619CT47</v>
          </cell>
          <cell r="D9602" t="str">
            <v>HV80</v>
          </cell>
          <cell r="E9602">
            <v>46195</v>
          </cell>
        </row>
        <row r="9603">
          <cell r="A9603" t="str">
            <v>2621WT57</v>
          </cell>
          <cell r="D9603" t="str">
            <v>FTW121KE</v>
          </cell>
          <cell r="E9603">
            <v>46195</v>
          </cell>
        </row>
        <row r="9604">
          <cell r="A9604" t="str">
            <v>2621IR67</v>
          </cell>
          <cell r="D9604" t="str">
            <v>TTS80</v>
          </cell>
          <cell r="E9604">
            <v>46195</v>
          </cell>
        </row>
        <row r="9605">
          <cell r="A9605" t="str">
            <v>2623G127</v>
          </cell>
          <cell r="D9605" t="str">
            <v>FTW121KE</v>
          </cell>
          <cell r="E9605">
            <v>46195</v>
          </cell>
        </row>
        <row r="9606">
          <cell r="A9606" t="str">
            <v>2622DK57</v>
          </cell>
          <cell r="D9606" t="str">
            <v>TTS50</v>
          </cell>
          <cell r="E9606">
            <v>46195</v>
          </cell>
        </row>
        <row r="9607">
          <cell r="A9607" t="str">
            <v>2622XS57</v>
          </cell>
          <cell r="D9607" t="str">
            <v>FTW121KE</v>
          </cell>
          <cell r="E9607">
            <v>46195</v>
          </cell>
        </row>
        <row r="9608">
          <cell r="A9608" t="str">
            <v>2622AH67</v>
          </cell>
          <cell r="D9608" t="str">
            <v>KBP86</v>
          </cell>
          <cell r="E9608">
            <v>46195</v>
          </cell>
        </row>
        <row r="9609">
          <cell r="A9609" t="str">
            <v>2622O137</v>
          </cell>
          <cell r="D9609" t="str">
            <v>FTW121KE</v>
          </cell>
          <cell r="E9609">
            <v>46195</v>
          </cell>
        </row>
        <row r="9610">
          <cell r="A9610" t="str">
            <v>2623EZ47</v>
          </cell>
          <cell r="D9610" t="str">
            <v>KBP126</v>
          </cell>
          <cell r="E9610">
            <v>46195</v>
          </cell>
        </row>
        <row r="9611">
          <cell r="A9611" t="str">
            <v>2621HM27</v>
          </cell>
          <cell r="D9611" t="str">
            <v>FTW121KE</v>
          </cell>
          <cell r="E9611">
            <v>46195</v>
          </cell>
        </row>
        <row r="9612">
          <cell r="A9612" t="str">
            <v>2623DJ57</v>
          </cell>
          <cell r="D9612" t="str">
            <v>KBP86</v>
          </cell>
          <cell r="E9612">
            <v>46195</v>
          </cell>
        </row>
        <row r="9613">
          <cell r="A9613" t="str">
            <v>2621OF17</v>
          </cell>
          <cell r="D9613" t="str">
            <v>FTW121KE</v>
          </cell>
          <cell r="E9613">
            <v>46195</v>
          </cell>
        </row>
        <row r="9614">
          <cell r="A9614" t="str">
            <v>2621IS67</v>
          </cell>
          <cell r="D9614" t="str">
            <v>TTS80</v>
          </cell>
          <cell r="E9614">
            <v>46195</v>
          </cell>
        </row>
        <row r="9615">
          <cell r="A9615" t="str">
            <v>2621DW57</v>
          </cell>
          <cell r="D9615" t="str">
            <v>FTW121KE</v>
          </cell>
          <cell r="E9615">
            <v>46195</v>
          </cell>
        </row>
        <row r="9616">
          <cell r="A9616" t="str">
            <v>2622HT47</v>
          </cell>
          <cell r="D9616" t="str">
            <v>KBP86</v>
          </cell>
          <cell r="E9616">
            <v>46195</v>
          </cell>
        </row>
        <row r="9617">
          <cell r="A9617" t="str">
            <v>2622QR47</v>
          </cell>
          <cell r="D9617" t="str">
            <v>FTW121KE</v>
          </cell>
          <cell r="E9617">
            <v>46195</v>
          </cell>
        </row>
        <row r="9618">
          <cell r="A9618" t="str">
            <v>2622XX57</v>
          </cell>
          <cell r="D9618" t="str">
            <v>KBP86</v>
          </cell>
          <cell r="E9618">
            <v>46195</v>
          </cell>
        </row>
        <row r="9619">
          <cell r="A9619" t="str">
            <v>2621KQ47</v>
          </cell>
          <cell r="D9619" t="str">
            <v>FTW121KE</v>
          </cell>
          <cell r="E9619">
            <v>46195</v>
          </cell>
        </row>
        <row r="9620">
          <cell r="A9620" t="str">
            <v>2623QR37</v>
          </cell>
          <cell r="D9620" t="str">
            <v>KBP76</v>
          </cell>
          <cell r="E9620">
            <v>46195</v>
          </cell>
        </row>
        <row r="9621">
          <cell r="A9621" t="str">
            <v>2622L637</v>
          </cell>
          <cell r="D9621" t="str">
            <v>FTW121KR</v>
          </cell>
          <cell r="E9621">
            <v>46195</v>
          </cell>
        </row>
        <row r="9622">
          <cell r="A9622" t="str">
            <v>2623I857</v>
          </cell>
          <cell r="D9622" t="str">
            <v>KBP126</v>
          </cell>
          <cell r="E9622">
            <v>46195</v>
          </cell>
        </row>
        <row r="9623">
          <cell r="A9623" t="str">
            <v>2621DQ57</v>
          </cell>
          <cell r="D9623" t="str">
            <v>FTW121KR</v>
          </cell>
          <cell r="E9623">
            <v>46195</v>
          </cell>
        </row>
        <row r="9624">
          <cell r="A9624" t="str">
            <v>2619SM57</v>
          </cell>
          <cell r="D9624" t="str">
            <v>TTS80</v>
          </cell>
          <cell r="E9624">
            <v>46195</v>
          </cell>
        </row>
        <row r="9625">
          <cell r="A9625" t="str">
            <v>2623FY27</v>
          </cell>
          <cell r="D9625" t="str">
            <v>FTW121KR</v>
          </cell>
          <cell r="E9625">
            <v>46195</v>
          </cell>
        </row>
        <row r="9626">
          <cell r="A9626" t="str">
            <v>2622A367</v>
          </cell>
          <cell r="D9626" t="str">
            <v>KBP86</v>
          </cell>
          <cell r="E9626">
            <v>46195</v>
          </cell>
        </row>
        <row r="9627">
          <cell r="A9627" t="str">
            <v>2624PJ27</v>
          </cell>
          <cell r="D9627" t="str">
            <v>KBP76</v>
          </cell>
          <cell r="E9627">
            <v>46195</v>
          </cell>
        </row>
        <row r="9628">
          <cell r="A9628" t="str">
            <v>2622UU57</v>
          </cell>
          <cell r="D9628" t="str">
            <v>KBP76</v>
          </cell>
          <cell r="E9628">
            <v>46195</v>
          </cell>
        </row>
        <row r="9629">
          <cell r="A9629" t="str">
            <v>2624DM17</v>
          </cell>
          <cell r="D9629" t="str">
            <v>FTW503</v>
          </cell>
          <cell r="E9629">
            <v>46195</v>
          </cell>
        </row>
        <row r="9630">
          <cell r="A9630" t="str">
            <v>2620AK47</v>
          </cell>
          <cell r="D9630" t="str">
            <v>KBP86</v>
          </cell>
          <cell r="E9630">
            <v>46195</v>
          </cell>
        </row>
        <row r="9631">
          <cell r="A9631" t="str">
            <v>2623K917</v>
          </cell>
          <cell r="D9631" t="str">
            <v>FTW700</v>
          </cell>
          <cell r="E9631">
            <v>46195</v>
          </cell>
        </row>
        <row r="9632">
          <cell r="A9632" t="str">
            <v>2616I717</v>
          </cell>
          <cell r="D9632" t="str">
            <v>TTS50</v>
          </cell>
          <cell r="E9632">
            <v>46195</v>
          </cell>
        </row>
        <row r="9633">
          <cell r="A9633" t="str">
            <v>2623KY37</v>
          </cell>
          <cell r="D9633" t="str">
            <v>FTW700</v>
          </cell>
          <cell r="E9633">
            <v>46195</v>
          </cell>
        </row>
        <row r="9634">
          <cell r="A9634" t="str">
            <v>2623Q517</v>
          </cell>
          <cell r="D9634" t="str">
            <v>KBP76</v>
          </cell>
          <cell r="E9634">
            <v>46195</v>
          </cell>
        </row>
        <row r="9635">
          <cell r="A9635" t="str">
            <v>2623IL57</v>
          </cell>
          <cell r="D9635" t="str">
            <v>FTW102K</v>
          </cell>
          <cell r="E9635">
            <v>46195</v>
          </cell>
        </row>
        <row r="9636">
          <cell r="A9636" t="str">
            <v>2622FD67</v>
          </cell>
          <cell r="D9636" t="str">
            <v>TTS80</v>
          </cell>
          <cell r="E9636">
            <v>46195</v>
          </cell>
        </row>
        <row r="9637">
          <cell r="A9637" t="str">
            <v>2623I557</v>
          </cell>
          <cell r="D9637" t="str">
            <v>FTW102K</v>
          </cell>
          <cell r="E9637">
            <v>46195</v>
          </cell>
        </row>
        <row r="9638">
          <cell r="A9638" t="str">
            <v>2620EY47</v>
          </cell>
          <cell r="D9638" t="str">
            <v>TTS80</v>
          </cell>
          <cell r="E9638">
            <v>46195</v>
          </cell>
        </row>
        <row r="9639">
          <cell r="A9639" t="str">
            <v>2623J727</v>
          </cell>
          <cell r="D9639" t="str">
            <v>KBP55</v>
          </cell>
          <cell r="E9639">
            <v>46195</v>
          </cell>
        </row>
        <row r="9640">
          <cell r="A9640" t="str">
            <v>2606LA47</v>
          </cell>
          <cell r="D9640" t="str">
            <v>KBP52</v>
          </cell>
          <cell r="E9640">
            <v>46195</v>
          </cell>
        </row>
        <row r="9641">
          <cell r="A9641" t="str">
            <v>2621HR67</v>
          </cell>
          <cell r="D9641" t="str">
            <v>KBP55</v>
          </cell>
          <cell r="E9641">
            <v>46195</v>
          </cell>
        </row>
        <row r="9642">
          <cell r="A9642" t="str">
            <v>2621CK67</v>
          </cell>
          <cell r="D9642" t="str">
            <v>KBP86</v>
          </cell>
          <cell r="E9642">
            <v>46195</v>
          </cell>
        </row>
        <row r="9643">
          <cell r="A9643" t="str">
            <v>2622SF37</v>
          </cell>
          <cell r="D9643" t="str">
            <v>FTP200</v>
          </cell>
          <cell r="E9643">
            <v>46195</v>
          </cell>
        </row>
        <row r="9644">
          <cell r="A9644" t="str">
            <v>2623D427</v>
          </cell>
          <cell r="D9644" t="str">
            <v>KBP76</v>
          </cell>
          <cell r="E9644">
            <v>46195</v>
          </cell>
        </row>
        <row r="9645">
          <cell r="A9645" t="str">
            <v>2622BP67</v>
          </cell>
          <cell r="D9645" t="str">
            <v>KBP86</v>
          </cell>
          <cell r="E9645">
            <v>46195</v>
          </cell>
        </row>
        <row r="9646">
          <cell r="A9646" t="str">
            <v>2623S537</v>
          </cell>
          <cell r="D9646" t="str">
            <v>STA156KA</v>
          </cell>
          <cell r="E9646">
            <v>46195</v>
          </cell>
        </row>
        <row r="9647">
          <cell r="A9647" t="str">
            <v>2612D727</v>
          </cell>
          <cell r="D9647" t="str">
            <v>KBP126</v>
          </cell>
          <cell r="E9647">
            <v>46195</v>
          </cell>
        </row>
        <row r="9648">
          <cell r="A9648" t="str">
            <v>2623I717</v>
          </cell>
          <cell r="D9648" t="str">
            <v>KBP76</v>
          </cell>
          <cell r="E9648">
            <v>46195</v>
          </cell>
        </row>
        <row r="9649">
          <cell r="A9649" t="str">
            <v>2623HT57</v>
          </cell>
          <cell r="D9649" t="str">
            <v>FTW102K</v>
          </cell>
          <cell r="E9649">
            <v>46195</v>
          </cell>
        </row>
        <row r="9650">
          <cell r="A9650" t="str">
            <v>2622EV20</v>
          </cell>
          <cell r="D9650" t="str">
            <v>TTS125</v>
          </cell>
          <cell r="E9650">
            <v>46195</v>
          </cell>
        </row>
        <row r="9651">
          <cell r="A9651" t="str">
            <v>2622O817</v>
          </cell>
          <cell r="D9651" t="str">
            <v>FTW121KE</v>
          </cell>
          <cell r="E9651">
            <v>46195</v>
          </cell>
        </row>
        <row r="9652">
          <cell r="A9652" t="str">
            <v>2623IF47</v>
          </cell>
          <cell r="D9652" t="str">
            <v>KBP76</v>
          </cell>
          <cell r="E9652">
            <v>46195</v>
          </cell>
        </row>
        <row r="9653">
          <cell r="A9653" t="str">
            <v>2623FO27</v>
          </cell>
          <cell r="D9653" t="str">
            <v>FTW121KE</v>
          </cell>
          <cell r="E9653">
            <v>46195</v>
          </cell>
        </row>
        <row r="9654">
          <cell r="A9654" t="str">
            <v>2624EJ17</v>
          </cell>
          <cell r="D9654" t="str">
            <v>FTW102K</v>
          </cell>
          <cell r="E9654">
            <v>46195</v>
          </cell>
        </row>
        <row r="9655">
          <cell r="A9655" t="str">
            <v>2621L947</v>
          </cell>
          <cell r="D9655" t="str">
            <v>FTW121KE</v>
          </cell>
          <cell r="E9655">
            <v>46195</v>
          </cell>
        </row>
        <row r="9656">
          <cell r="A9656" t="str">
            <v>2622SA17</v>
          </cell>
          <cell r="D9656" t="str">
            <v>STA156KA</v>
          </cell>
          <cell r="E9656">
            <v>46195</v>
          </cell>
        </row>
        <row r="9657">
          <cell r="A9657" t="str">
            <v>2621JM37</v>
          </cell>
          <cell r="D9657" t="str">
            <v>FTW121KE</v>
          </cell>
          <cell r="E9657">
            <v>46195</v>
          </cell>
        </row>
        <row r="9658">
          <cell r="A9658" t="str">
            <v>2622LT57</v>
          </cell>
          <cell r="D9658" t="str">
            <v>KBP126</v>
          </cell>
          <cell r="E9658">
            <v>46195</v>
          </cell>
        </row>
        <row r="9659">
          <cell r="A9659" t="str">
            <v>2621JJ37</v>
          </cell>
          <cell r="D9659" t="str">
            <v>FTW121KE</v>
          </cell>
          <cell r="E9659">
            <v>46195</v>
          </cell>
        </row>
        <row r="9660">
          <cell r="A9660" t="str">
            <v>2622P157</v>
          </cell>
          <cell r="D9660" t="str">
            <v>KBP86</v>
          </cell>
          <cell r="E9660">
            <v>46195</v>
          </cell>
        </row>
        <row r="9661">
          <cell r="A9661" t="str">
            <v>2620DJ67</v>
          </cell>
          <cell r="D9661" t="str">
            <v>TTS80</v>
          </cell>
          <cell r="E9661">
            <v>46195</v>
          </cell>
        </row>
        <row r="9662">
          <cell r="A9662" t="str">
            <v>2623PL37</v>
          </cell>
          <cell r="D9662" t="str">
            <v>TTS50</v>
          </cell>
          <cell r="E9662">
            <v>46195</v>
          </cell>
        </row>
        <row r="9663">
          <cell r="A9663" t="str">
            <v>2622F967</v>
          </cell>
          <cell r="D9663" t="str">
            <v>TTS80</v>
          </cell>
          <cell r="E9663">
            <v>46195</v>
          </cell>
        </row>
        <row r="9664">
          <cell r="A9664" t="str">
            <v>2623FM17</v>
          </cell>
          <cell r="D9664" t="str">
            <v>KBP86</v>
          </cell>
          <cell r="E9664">
            <v>46195</v>
          </cell>
        </row>
        <row r="9665">
          <cell r="A9665" t="str">
            <v>2623IG57</v>
          </cell>
          <cell r="D9665" t="str">
            <v>KBP126</v>
          </cell>
          <cell r="E9665">
            <v>46195</v>
          </cell>
        </row>
        <row r="9666">
          <cell r="A9666" t="str">
            <v>2622P557</v>
          </cell>
          <cell r="D9666" t="str">
            <v>KBP76</v>
          </cell>
          <cell r="E9666">
            <v>46195</v>
          </cell>
        </row>
        <row r="9667">
          <cell r="A9667" t="str">
            <v>2622CX57</v>
          </cell>
          <cell r="D9667" t="str">
            <v>KBP86</v>
          </cell>
          <cell r="E9667">
            <v>46195</v>
          </cell>
        </row>
        <row r="9668">
          <cell r="A9668" t="str">
            <v>2609AX47</v>
          </cell>
          <cell r="D9668" t="str">
            <v>FTP150</v>
          </cell>
          <cell r="E9668">
            <v>46195</v>
          </cell>
        </row>
        <row r="9669">
          <cell r="A9669" t="str">
            <v>2622EU90</v>
          </cell>
          <cell r="D9669" t="str">
            <v>TTS125</v>
          </cell>
          <cell r="E9669">
            <v>46195</v>
          </cell>
        </row>
        <row r="9670">
          <cell r="A9670" t="str">
            <v>2624DG17</v>
          </cell>
          <cell r="D9670" t="str">
            <v>FTW503</v>
          </cell>
          <cell r="E9670">
            <v>46195</v>
          </cell>
        </row>
        <row r="9671">
          <cell r="A9671" t="str">
            <v>2623F347</v>
          </cell>
          <cell r="D9671" t="str">
            <v>KBP86</v>
          </cell>
          <cell r="E9671">
            <v>46195</v>
          </cell>
        </row>
        <row r="9672">
          <cell r="A9672" t="str">
            <v>2623CI27</v>
          </cell>
          <cell r="D9672" t="str">
            <v>KBP86</v>
          </cell>
          <cell r="E9672">
            <v>46195</v>
          </cell>
        </row>
        <row r="9673">
          <cell r="A9673" t="str">
            <v>2623II57</v>
          </cell>
          <cell r="D9673" t="str">
            <v>FTW102K</v>
          </cell>
          <cell r="E9673">
            <v>46195</v>
          </cell>
        </row>
        <row r="9674">
          <cell r="A9674" t="str">
            <v>2622A267</v>
          </cell>
          <cell r="D9674" t="str">
            <v>KBP86</v>
          </cell>
          <cell r="E9674">
            <v>46195</v>
          </cell>
        </row>
        <row r="9675">
          <cell r="A9675" t="str">
            <v>2615L747</v>
          </cell>
          <cell r="D9675" t="str">
            <v>TTS50</v>
          </cell>
          <cell r="E9675">
            <v>46195</v>
          </cell>
        </row>
        <row r="9676">
          <cell r="A9676" t="str">
            <v>2621PZ27</v>
          </cell>
          <cell r="D9676" t="str">
            <v>KBP55</v>
          </cell>
          <cell r="E9676">
            <v>46195</v>
          </cell>
        </row>
        <row r="9677">
          <cell r="A9677" t="str">
            <v>2624DE17</v>
          </cell>
          <cell r="D9677" t="str">
            <v>FTW503</v>
          </cell>
          <cell r="E9677">
            <v>46195</v>
          </cell>
        </row>
        <row r="9678">
          <cell r="A9678" t="str">
            <v>2623JZ67</v>
          </cell>
          <cell r="D9678" t="str">
            <v>KBP76</v>
          </cell>
          <cell r="E9678">
            <v>46195</v>
          </cell>
        </row>
        <row r="9679">
          <cell r="A9679" t="str">
            <v>2623OR17</v>
          </cell>
          <cell r="D9679" t="str">
            <v>TTS50</v>
          </cell>
          <cell r="E9679">
            <v>46195</v>
          </cell>
        </row>
        <row r="9680">
          <cell r="A9680" t="str">
            <v>2622JI37</v>
          </cell>
          <cell r="D9680" t="str">
            <v>FTP150</v>
          </cell>
          <cell r="E9680">
            <v>46195</v>
          </cell>
        </row>
        <row r="9681">
          <cell r="A9681" t="str">
            <v>2621HD67</v>
          </cell>
          <cell r="D9681" t="str">
            <v>STA156KA</v>
          </cell>
          <cell r="E9681">
            <v>46195</v>
          </cell>
        </row>
        <row r="9682">
          <cell r="A9682" t="str">
            <v>2624I327</v>
          </cell>
          <cell r="D9682" t="str">
            <v>FTW503</v>
          </cell>
          <cell r="E9682">
            <v>46195</v>
          </cell>
        </row>
        <row r="9683">
          <cell r="A9683" t="str">
            <v>2623IJ37</v>
          </cell>
          <cell r="D9683" t="str">
            <v>KBP86</v>
          </cell>
          <cell r="E9683">
            <v>46195</v>
          </cell>
        </row>
        <row r="9684">
          <cell r="A9684" t="str">
            <v>2622QJ27</v>
          </cell>
          <cell r="D9684" t="str">
            <v>FTP200</v>
          </cell>
          <cell r="E9684">
            <v>46195</v>
          </cell>
        </row>
        <row r="9685">
          <cell r="A9685" t="str">
            <v>2619P957</v>
          </cell>
          <cell r="D9685" t="str">
            <v>TTS50</v>
          </cell>
          <cell r="E9685">
            <v>46195</v>
          </cell>
        </row>
        <row r="9686">
          <cell r="A9686" t="str">
            <v>2619WJ27</v>
          </cell>
          <cell r="D9686" t="str">
            <v>TTS50</v>
          </cell>
          <cell r="E9686">
            <v>46195</v>
          </cell>
        </row>
        <row r="9687">
          <cell r="A9687" t="str">
            <v>2623QQ37</v>
          </cell>
          <cell r="D9687" t="str">
            <v>KBP76</v>
          </cell>
          <cell r="E9687">
            <v>46195</v>
          </cell>
        </row>
        <row r="9688">
          <cell r="A9688" t="str">
            <v>2621HS67</v>
          </cell>
          <cell r="D9688" t="str">
            <v>KBP55</v>
          </cell>
          <cell r="E9688">
            <v>46195</v>
          </cell>
        </row>
        <row r="9689">
          <cell r="A9689" t="str">
            <v>2623HZ67</v>
          </cell>
          <cell r="D9689" t="str">
            <v>KBP52</v>
          </cell>
          <cell r="E9689">
            <v>46195</v>
          </cell>
        </row>
        <row r="9690">
          <cell r="A9690" t="str">
            <v>2623I257</v>
          </cell>
          <cell r="D9690" t="str">
            <v>FTW102K</v>
          </cell>
          <cell r="E9690">
            <v>46195</v>
          </cell>
        </row>
        <row r="9691">
          <cell r="A9691" t="str">
            <v>2623HW47</v>
          </cell>
          <cell r="D9691" t="str">
            <v>KBP86</v>
          </cell>
          <cell r="E9691">
            <v>46195</v>
          </cell>
        </row>
        <row r="9692">
          <cell r="A9692" t="str">
            <v>2623IG17</v>
          </cell>
          <cell r="D9692" t="str">
            <v>KBP76</v>
          </cell>
          <cell r="E9692">
            <v>46195</v>
          </cell>
        </row>
        <row r="9693">
          <cell r="A9693" t="str">
            <v>2623IN57</v>
          </cell>
          <cell r="D9693" t="str">
            <v>FTW102K</v>
          </cell>
          <cell r="E9693">
            <v>46195</v>
          </cell>
        </row>
        <row r="9694">
          <cell r="A9694" t="str">
            <v>2624IJ27</v>
          </cell>
          <cell r="D9694" t="str">
            <v>FTW503</v>
          </cell>
          <cell r="E9694">
            <v>46195</v>
          </cell>
        </row>
        <row r="9695">
          <cell r="A9695" t="str">
            <v>2624DL17</v>
          </cell>
          <cell r="D9695" t="str">
            <v>FTW503</v>
          </cell>
          <cell r="E9695">
            <v>46195</v>
          </cell>
        </row>
        <row r="9696">
          <cell r="A9696" t="str">
            <v>2622L247</v>
          </cell>
          <cell r="D9696" t="str">
            <v>KBP86</v>
          </cell>
          <cell r="E9696">
            <v>46195</v>
          </cell>
        </row>
        <row r="9697">
          <cell r="A9697" t="str">
            <v>2624DK17</v>
          </cell>
          <cell r="D9697" t="str">
            <v>FTW503</v>
          </cell>
          <cell r="E9697">
            <v>46195</v>
          </cell>
        </row>
        <row r="9698">
          <cell r="A9698" t="str">
            <v>2623DK67</v>
          </cell>
          <cell r="D9698" t="str">
            <v>FTW503</v>
          </cell>
          <cell r="E9698">
            <v>46195</v>
          </cell>
        </row>
        <row r="9699">
          <cell r="A9699" t="str">
            <v>2620DS47</v>
          </cell>
          <cell r="D9699" t="str">
            <v>HV80</v>
          </cell>
          <cell r="E9699">
            <v>46195</v>
          </cell>
        </row>
        <row r="9700">
          <cell r="A9700" t="str">
            <v>2621LK37</v>
          </cell>
          <cell r="D9700" t="str">
            <v>HV80</v>
          </cell>
          <cell r="E9700">
            <v>46195</v>
          </cell>
        </row>
        <row r="9701">
          <cell r="A9701" t="str">
            <v>2622CA67</v>
          </cell>
          <cell r="D9701" t="str">
            <v>HV80</v>
          </cell>
          <cell r="E9701">
            <v>46195</v>
          </cell>
        </row>
        <row r="9702">
          <cell r="A9702" t="str">
            <v>2620IY57</v>
          </cell>
          <cell r="D9702" t="str">
            <v>HV80</v>
          </cell>
          <cell r="E9702">
            <v>46195</v>
          </cell>
        </row>
        <row r="9703">
          <cell r="A9703" t="str">
            <v>2620KU17</v>
          </cell>
          <cell r="D9703" t="str">
            <v>HV80</v>
          </cell>
          <cell r="E9703">
            <v>46195</v>
          </cell>
        </row>
        <row r="9704">
          <cell r="A9704" t="str">
            <v>2619D447</v>
          </cell>
          <cell r="D9704" t="str">
            <v>HV80</v>
          </cell>
          <cell r="E9704">
            <v>46195</v>
          </cell>
        </row>
        <row r="9705">
          <cell r="A9705" t="str">
            <v>2622PP37</v>
          </cell>
          <cell r="D9705" t="str">
            <v>HV80</v>
          </cell>
          <cell r="E9705">
            <v>46195</v>
          </cell>
        </row>
        <row r="9706">
          <cell r="A9706" t="str">
            <v>2621QK17</v>
          </cell>
          <cell r="D9706" t="str">
            <v>HV80</v>
          </cell>
          <cell r="E9706">
            <v>46195</v>
          </cell>
        </row>
        <row r="9707">
          <cell r="A9707" t="str">
            <v>2619CT47</v>
          </cell>
          <cell r="D9707" t="str">
            <v>HV80</v>
          </cell>
          <cell r="E9707">
            <v>46195</v>
          </cell>
        </row>
        <row r="9708">
          <cell r="A9708" t="str">
            <v>2621LF37</v>
          </cell>
          <cell r="D9708" t="str">
            <v>HV80</v>
          </cell>
          <cell r="E9708">
            <v>46195</v>
          </cell>
        </row>
        <row r="9709">
          <cell r="A9709" t="str">
            <v>2612D827</v>
          </cell>
          <cell r="D9709" t="str">
            <v>KBP126</v>
          </cell>
          <cell r="E9709">
            <v>46195</v>
          </cell>
        </row>
        <row r="9710">
          <cell r="A9710" t="str">
            <v>2622BM67</v>
          </cell>
          <cell r="D9710" t="str">
            <v>KBP86</v>
          </cell>
          <cell r="E9710">
            <v>46195</v>
          </cell>
        </row>
        <row r="9711">
          <cell r="A9711" t="str">
            <v>2622EI67</v>
          </cell>
          <cell r="D9711" t="str">
            <v>TTS80</v>
          </cell>
          <cell r="E9711">
            <v>46195</v>
          </cell>
        </row>
        <row r="9712">
          <cell r="A9712" t="str">
            <v>2624IK27</v>
          </cell>
          <cell r="D9712" t="str">
            <v>FTW503</v>
          </cell>
          <cell r="E9712">
            <v>46195</v>
          </cell>
        </row>
        <row r="9713">
          <cell r="A9713" t="str">
            <v>2622QN27</v>
          </cell>
          <cell r="D9713" t="str">
            <v>TTS80</v>
          </cell>
          <cell r="E9713">
            <v>46195</v>
          </cell>
        </row>
        <row r="9714">
          <cell r="A9714" t="str">
            <v>2622AM67</v>
          </cell>
          <cell r="D9714" t="str">
            <v>KBP86</v>
          </cell>
          <cell r="E9714">
            <v>46195</v>
          </cell>
        </row>
        <row r="9715">
          <cell r="A9715" t="str">
            <v>2623KZ47</v>
          </cell>
          <cell r="D9715" t="str">
            <v>KBP86</v>
          </cell>
          <cell r="E9715">
            <v>46195</v>
          </cell>
        </row>
        <row r="9716">
          <cell r="A9716" t="str">
            <v>2623C427</v>
          </cell>
          <cell r="D9716" t="str">
            <v>KBP126</v>
          </cell>
          <cell r="E9716">
            <v>46195</v>
          </cell>
        </row>
        <row r="9717">
          <cell r="A9717" t="str">
            <v>2622UE57</v>
          </cell>
          <cell r="D9717" t="str">
            <v>KBP86</v>
          </cell>
          <cell r="E9717">
            <v>46195</v>
          </cell>
        </row>
        <row r="9718">
          <cell r="A9718" t="str">
            <v>2622A967</v>
          </cell>
          <cell r="D9718" t="str">
            <v>KBP86</v>
          </cell>
          <cell r="E9718">
            <v>46195</v>
          </cell>
        </row>
        <row r="9719">
          <cell r="A9719" t="str">
            <v>2621IP67</v>
          </cell>
          <cell r="D9719" t="str">
            <v>TTS80</v>
          </cell>
          <cell r="E9719">
            <v>46195</v>
          </cell>
        </row>
        <row r="9720">
          <cell r="A9720" t="str">
            <v>2623IV37</v>
          </cell>
          <cell r="D9720" t="str">
            <v>KBP76</v>
          </cell>
          <cell r="E9720">
            <v>46195</v>
          </cell>
        </row>
        <row r="9721">
          <cell r="A9721" t="str">
            <v>2622XZ57</v>
          </cell>
          <cell r="D9721" t="str">
            <v>KBP86</v>
          </cell>
          <cell r="E9721">
            <v>46195</v>
          </cell>
        </row>
        <row r="9722">
          <cell r="A9722" t="str">
            <v>2623FE27</v>
          </cell>
          <cell r="D9722" t="str">
            <v>FTW700</v>
          </cell>
          <cell r="E9722">
            <v>46195</v>
          </cell>
        </row>
        <row r="9723">
          <cell r="A9723" t="str">
            <v>2623LT27</v>
          </cell>
          <cell r="D9723" t="str">
            <v>KBP86</v>
          </cell>
          <cell r="E9723">
            <v>46195</v>
          </cell>
        </row>
        <row r="9724">
          <cell r="A9724" t="str">
            <v>2615DG70</v>
          </cell>
          <cell r="D9724" t="str">
            <v>TTS125</v>
          </cell>
          <cell r="E9724">
            <v>46195</v>
          </cell>
        </row>
        <row r="9725">
          <cell r="A9725" t="str">
            <v>2623DM67</v>
          </cell>
          <cell r="D9725" t="str">
            <v>FTW503</v>
          </cell>
          <cell r="E9725">
            <v>46195</v>
          </cell>
        </row>
        <row r="9726">
          <cell r="A9726" t="str">
            <v>2621H667</v>
          </cell>
          <cell r="D9726" t="str">
            <v>STA156KA</v>
          </cell>
          <cell r="E9726">
            <v>46195</v>
          </cell>
        </row>
        <row r="9727">
          <cell r="A9727" t="str">
            <v>2622SJ37</v>
          </cell>
          <cell r="D9727" t="str">
            <v>FTP200</v>
          </cell>
          <cell r="E9727">
            <v>46195</v>
          </cell>
        </row>
        <row r="9728">
          <cell r="A9728" t="str">
            <v>2623IC47</v>
          </cell>
          <cell r="D9728" t="str">
            <v>KBP76</v>
          </cell>
          <cell r="E9728">
            <v>46195</v>
          </cell>
        </row>
        <row r="9729">
          <cell r="A9729" t="str">
            <v>2623JX47</v>
          </cell>
          <cell r="D9729" t="str">
            <v>TTS50</v>
          </cell>
          <cell r="E9729">
            <v>46195</v>
          </cell>
        </row>
        <row r="9730">
          <cell r="A9730" t="str">
            <v>2624D717</v>
          </cell>
          <cell r="D9730" t="str">
            <v>KBP76</v>
          </cell>
          <cell r="E9730">
            <v>46195</v>
          </cell>
        </row>
        <row r="9731">
          <cell r="A9731" t="str">
            <v>2545PM17</v>
          </cell>
          <cell r="D9731" t="str">
            <v>KBP76</v>
          </cell>
          <cell r="E9731">
            <v>46195</v>
          </cell>
        </row>
        <row r="9732">
          <cell r="A9732" t="str">
            <v>2621IJ67</v>
          </cell>
          <cell r="D9732" t="str">
            <v>TTS80</v>
          </cell>
          <cell r="E9732">
            <v>46195</v>
          </cell>
        </row>
        <row r="9733">
          <cell r="A9733" t="str">
            <v>2622DS67</v>
          </cell>
          <cell r="D9733" t="str">
            <v>KBP76</v>
          </cell>
          <cell r="E9733">
            <v>46195</v>
          </cell>
        </row>
        <row r="9734">
          <cell r="A9734" t="str">
            <v>2623C567</v>
          </cell>
          <cell r="D9734" t="str">
            <v>KBP86</v>
          </cell>
          <cell r="E9734">
            <v>46195</v>
          </cell>
        </row>
        <row r="9735">
          <cell r="A9735" t="str">
            <v>2624DJ17</v>
          </cell>
          <cell r="D9735" t="str">
            <v>FTW503</v>
          </cell>
          <cell r="E9735">
            <v>46195</v>
          </cell>
        </row>
        <row r="9736">
          <cell r="A9736" t="str">
            <v>2623IA47</v>
          </cell>
          <cell r="D9736" t="str">
            <v>KBP76</v>
          </cell>
          <cell r="E9736">
            <v>46195</v>
          </cell>
        </row>
        <row r="9737">
          <cell r="A9737" t="str">
            <v>2623I247</v>
          </cell>
          <cell r="D9737" t="str">
            <v>KBP86</v>
          </cell>
          <cell r="E9737">
            <v>46195</v>
          </cell>
        </row>
        <row r="9738">
          <cell r="A9738" t="str">
            <v>2623HV67</v>
          </cell>
          <cell r="D9738" t="str">
            <v>KBP52</v>
          </cell>
          <cell r="E9738">
            <v>46195</v>
          </cell>
        </row>
        <row r="9739">
          <cell r="A9739" t="str">
            <v>2622E667</v>
          </cell>
          <cell r="D9739" t="str">
            <v>STA156KA</v>
          </cell>
          <cell r="E9739">
            <v>46195</v>
          </cell>
        </row>
        <row r="9740">
          <cell r="A9740" t="str">
            <v>2619EH30</v>
          </cell>
          <cell r="D9740" t="str">
            <v>TTS125</v>
          </cell>
          <cell r="E9740">
            <v>46195</v>
          </cell>
        </row>
        <row r="9741">
          <cell r="A9741" t="str">
            <v>2623K457</v>
          </cell>
          <cell r="D9741" t="str">
            <v>KBP76</v>
          </cell>
          <cell r="E9741">
            <v>46195</v>
          </cell>
        </row>
        <row r="9742">
          <cell r="A9742" t="str">
            <v>2624IL27</v>
          </cell>
          <cell r="D9742" t="str">
            <v>FTW503</v>
          </cell>
          <cell r="E9742">
            <v>46195</v>
          </cell>
        </row>
        <row r="9743">
          <cell r="A9743" t="str">
            <v>2624DF17</v>
          </cell>
          <cell r="D9743" t="str">
            <v>FTW503</v>
          </cell>
          <cell r="E9743">
            <v>46195</v>
          </cell>
        </row>
        <row r="9744">
          <cell r="A9744" t="str">
            <v>2622EV10</v>
          </cell>
          <cell r="D9744" t="str">
            <v>TTS125</v>
          </cell>
          <cell r="E9744">
            <v>46195</v>
          </cell>
        </row>
        <row r="9745">
          <cell r="A9745" t="str">
            <v>2624EI17</v>
          </cell>
          <cell r="D9745" t="str">
            <v>FTW102K</v>
          </cell>
          <cell r="E9745">
            <v>46195</v>
          </cell>
        </row>
        <row r="9746">
          <cell r="A9746" t="str">
            <v>2623HU57</v>
          </cell>
          <cell r="D9746" t="str">
            <v>FTW102K</v>
          </cell>
          <cell r="E9746">
            <v>46195</v>
          </cell>
        </row>
        <row r="9747">
          <cell r="A9747" t="str">
            <v>2623I617</v>
          </cell>
          <cell r="D9747" t="str">
            <v>KBP76</v>
          </cell>
          <cell r="E9747">
            <v>46195</v>
          </cell>
        </row>
        <row r="9748">
          <cell r="A9748" t="str">
            <v>2623QK37</v>
          </cell>
          <cell r="D9748" t="str">
            <v>KBP76</v>
          </cell>
          <cell r="E9748">
            <v>46195</v>
          </cell>
        </row>
        <row r="9749">
          <cell r="A9749" t="str">
            <v>2623LB17</v>
          </cell>
          <cell r="D9749" t="str">
            <v>KBP86</v>
          </cell>
          <cell r="E9749">
            <v>46195</v>
          </cell>
        </row>
        <row r="9750">
          <cell r="A9750" t="str">
            <v>2621QA17</v>
          </cell>
          <cell r="D9750" t="str">
            <v>KBP86</v>
          </cell>
          <cell r="E9750">
            <v>46195</v>
          </cell>
        </row>
        <row r="9751">
          <cell r="A9751" t="str">
            <v>2621I667</v>
          </cell>
          <cell r="D9751" t="str">
            <v>FTP200</v>
          </cell>
          <cell r="E9751">
            <v>46195</v>
          </cell>
        </row>
        <row r="9752">
          <cell r="A9752" t="str">
            <v>2621EP70</v>
          </cell>
          <cell r="D9752" t="str">
            <v>TTS125</v>
          </cell>
          <cell r="E9752">
            <v>46195</v>
          </cell>
        </row>
        <row r="9753">
          <cell r="A9753" t="str">
            <v>2623HR57</v>
          </cell>
          <cell r="D9753" t="str">
            <v>FTW102K</v>
          </cell>
          <cell r="E9753">
            <v>46195</v>
          </cell>
        </row>
        <row r="9754">
          <cell r="A9754" t="str">
            <v>2623DH67</v>
          </cell>
          <cell r="D9754" t="str">
            <v>FTW503</v>
          </cell>
          <cell r="E9754">
            <v>46195</v>
          </cell>
        </row>
        <row r="9755">
          <cell r="A9755" t="str">
            <v>2622A567</v>
          </cell>
          <cell r="D9755" t="str">
            <v>KBP86</v>
          </cell>
          <cell r="E9755">
            <v>46195</v>
          </cell>
        </row>
        <row r="9756">
          <cell r="A9756" t="str">
            <v>2622U857</v>
          </cell>
          <cell r="D9756" t="str">
            <v>KBP86</v>
          </cell>
          <cell r="E9756">
            <v>46195</v>
          </cell>
        </row>
        <row r="9757">
          <cell r="A9757" t="str">
            <v>2621UD57</v>
          </cell>
          <cell r="D9757" t="str">
            <v>KBP76</v>
          </cell>
          <cell r="E9757">
            <v>46195</v>
          </cell>
        </row>
        <row r="9758">
          <cell r="A9758" t="str">
            <v>2530L747</v>
          </cell>
          <cell r="D9758" t="str">
            <v>KBP86E</v>
          </cell>
          <cell r="E9758">
            <v>46194</v>
          </cell>
        </row>
        <row r="9759">
          <cell r="A9759" t="str">
            <v>2621E967</v>
          </cell>
          <cell r="D9759" t="str">
            <v>HV80</v>
          </cell>
          <cell r="E9759">
            <v>46194</v>
          </cell>
        </row>
        <row r="9760">
          <cell r="A9760" t="str">
            <v>2622G167</v>
          </cell>
          <cell r="D9760" t="str">
            <v>FTW121KR</v>
          </cell>
          <cell r="E9760">
            <v>46194</v>
          </cell>
        </row>
        <row r="9761">
          <cell r="A9761" t="str">
            <v>2530L747</v>
          </cell>
          <cell r="D9761" t="str">
            <v>KBP86F</v>
          </cell>
          <cell r="E9761">
            <v>46194</v>
          </cell>
        </row>
        <row r="9762">
          <cell r="A9762" t="str">
            <v>2611FV17</v>
          </cell>
          <cell r="D9762" t="str">
            <v>KBP126</v>
          </cell>
          <cell r="E9762">
            <v>46194</v>
          </cell>
        </row>
        <row r="9763">
          <cell r="A9763" t="str">
            <v>2622CI67</v>
          </cell>
          <cell r="D9763" t="str">
            <v>HV80</v>
          </cell>
          <cell r="E9763">
            <v>46194</v>
          </cell>
        </row>
        <row r="9764">
          <cell r="A9764" t="str">
            <v>2622XT57</v>
          </cell>
          <cell r="D9764" t="str">
            <v>FTW121KE</v>
          </cell>
          <cell r="E9764">
            <v>46194</v>
          </cell>
        </row>
        <row r="9765">
          <cell r="A9765" t="str">
            <v>2622PQ37</v>
          </cell>
          <cell r="D9765" t="str">
            <v>HV80</v>
          </cell>
          <cell r="E9765">
            <v>46194</v>
          </cell>
        </row>
        <row r="9766">
          <cell r="A9766" t="str">
            <v>2530L747</v>
          </cell>
          <cell r="D9766" t="str">
            <v>KBP86F</v>
          </cell>
          <cell r="E9766">
            <v>46194</v>
          </cell>
        </row>
        <row r="9767">
          <cell r="A9767" t="str">
            <v>2621EJ67</v>
          </cell>
          <cell r="D9767" t="str">
            <v>HV80</v>
          </cell>
          <cell r="E9767">
            <v>46194</v>
          </cell>
        </row>
        <row r="9768">
          <cell r="A9768" t="str">
            <v>2623LK37</v>
          </cell>
          <cell r="D9768" t="str">
            <v>FTW121KE</v>
          </cell>
          <cell r="E9768">
            <v>46194</v>
          </cell>
        </row>
        <row r="9769">
          <cell r="A9769" t="str">
            <v>2622PQ17</v>
          </cell>
          <cell r="D9769" t="str">
            <v>HV80</v>
          </cell>
          <cell r="E9769">
            <v>46194</v>
          </cell>
        </row>
        <row r="9770">
          <cell r="A9770" t="str">
            <v>2624EK27</v>
          </cell>
          <cell r="D9770" t="str">
            <v>KBP76</v>
          </cell>
          <cell r="E9770">
            <v>46194</v>
          </cell>
        </row>
        <row r="9771">
          <cell r="A9771" t="str">
            <v>2622PQ37</v>
          </cell>
          <cell r="D9771" t="str">
            <v>HV80</v>
          </cell>
          <cell r="E9771">
            <v>46194</v>
          </cell>
        </row>
        <row r="9772">
          <cell r="A9772" t="str">
            <v>2622X157</v>
          </cell>
          <cell r="D9772" t="str">
            <v>FTW121KE</v>
          </cell>
          <cell r="E9772">
            <v>46194</v>
          </cell>
        </row>
        <row r="9773">
          <cell r="A9773" t="str">
            <v>2620PD37</v>
          </cell>
          <cell r="D9773" t="str">
            <v>HV80</v>
          </cell>
          <cell r="E9773">
            <v>46194</v>
          </cell>
        </row>
        <row r="9774">
          <cell r="A9774" t="str">
            <v>2622L837</v>
          </cell>
          <cell r="D9774" t="str">
            <v>FTW121KE</v>
          </cell>
          <cell r="E9774">
            <v>46194</v>
          </cell>
        </row>
        <row r="9775">
          <cell r="A9775" t="str">
            <v>2620PD37</v>
          </cell>
          <cell r="D9775" t="str">
            <v>HV80</v>
          </cell>
          <cell r="E9775">
            <v>46194</v>
          </cell>
        </row>
        <row r="9776">
          <cell r="A9776" t="str">
            <v>2623L537</v>
          </cell>
          <cell r="D9776" t="str">
            <v>FTW121KE</v>
          </cell>
          <cell r="E9776">
            <v>46194</v>
          </cell>
        </row>
        <row r="9777">
          <cell r="A9777" t="str">
            <v>2620LH27</v>
          </cell>
          <cell r="D9777" t="str">
            <v>HV80</v>
          </cell>
          <cell r="E9777">
            <v>46194</v>
          </cell>
        </row>
        <row r="9778">
          <cell r="A9778" t="str">
            <v>2622LU37</v>
          </cell>
          <cell r="D9778" t="str">
            <v>FTW121KE</v>
          </cell>
          <cell r="E9778">
            <v>46194</v>
          </cell>
        </row>
        <row r="9779">
          <cell r="A9779" t="str">
            <v>2621E967</v>
          </cell>
          <cell r="D9779" t="str">
            <v>HV80</v>
          </cell>
          <cell r="E9779">
            <v>46194</v>
          </cell>
        </row>
        <row r="9780">
          <cell r="A9780" t="str">
            <v>2622PX47</v>
          </cell>
          <cell r="D9780" t="str">
            <v>FTW121KE</v>
          </cell>
          <cell r="E9780">
            <v>46194</v>
          </cell>
        </row>
        <row r="9781">
          <cell r="A9781" t="str">
            <v>2620PE37</v>
          </cell>
          <cell r="D9781" t="str">
            <v>HV80</v>
          </cell>
          <cell r="E9781">
            <v>46194</v>
          </cell>
        </row>
        <row r="9782">
          <cell r="A9782" t="str">
            <v>2623L937</v>
          </cell>
          <cell r="D9782" t="str">
            <v>FTW121KE</v>
          </cell>
          <cell r="E9782">
            <v>46194</v>
          </cell>
        </row>
        <row r="9783">
          <cell r="A9783" t="str">
            <v>2621EJ67</v>
          </cell>
          <cell r="D9783" t="str">
            <v>HV80</v>
          </cell>
          <cell r="E9783">
            <v>46194</v>
          </cell>
        </row>
        <row r="9784">
          <cell r="A9784" t="str">
            <v>2622G267</v>
          </cell>
          <cell r="D9784" t="str">
            <v>FTW121KE</v>
          </cell>
          <cell r="E9784">
            <v>46194</v>
          </cell>
        </row>
        <row r="9785">
          <cell r="A9785" t="str">
            <v>2620DW47</v>
          </cell>
          <cell r="D9785" t="str">
            <v>HV80</v>
          </cell>
          <cell r="E9785">
            <v>46194</v>
          </cell>
        </row>
        <row r="9786">
          <cell r="A9786" t="str">
            <v>2623L917</v>
          </cell>
          <cell r="D9786" t="str">
            <v>FTW121KE</v>
          </cell>
          <cell r="E9786">
            <v>46194</v>
          </cell>
        </row>
        <row r="9787">
          <cell r="A9787" t="str">
            <v>2621LS27</v>
          </cell>
          <cell r="D9787" t="str">
            <v>HV80</v>
          </cell>
          <cell r="E9787">
            <v>46194</v>
          </cell>
        </row>
        <row r="9788">
          <cell r="A9788" t="str">
            <v>2622LN37</v>
          </cell>
          <cell r="D9788" t="str">
            <v>FTW121KE</v>
          </cell>
          <cell r="E9788">
            <v>46194</v>
          </cell>
        </row>
        <row r="9789">
          <cell r="A9789" t="str">
            <v>2622CI67</v>
          </cell>
          <cell r="D9789" t="str">
            <v>HV80</v>
          </cell>
          <cell r="E9789">
            <v>46194</v>
          </cell>
        </row>
        <row r="9790">
          <cell r="A9790" t="str">
            <v>2622PV47</v>
          </cell>
          <cell r="D9790" t="str">
            <v>FTW121KE</v>
          </cell>
          <cell r="E9790">
            <v>46194</v>
          </cell>
        </row>
        <row r="9791">
          <cell r="A9791" t="str">
            <v>2623L437</v>
          </cell>
          <cell r="D9791" t="str">
            <v>FTW121KE</v>
          </cell>
          <cell r="E9791">
            <v>46194</v>
          </cell>
        </row>
        <row r="9792">
          <cell r="A9792" t="str">
            <v>2623KW17</v>
          </cell>
          <cell r="D9792" t="str">
            <v>FTW121KR</v>
          </cell>
          <cell r="E9792">
            <v>46194</v>
          </cell>
        </row>
        <row r="9793">
          <cell r="A9793" t="str">
            <v>2622SM37</v>
          </cell>
          <cell r="D9793" t="str">
            <v>TTS80</v>
          </cell>
          <cell r="E9793">
            <v>46194</v>
          </cell>
        </row>
        <row r="9794">
          <cell r="A9794" t="str">
            <v>2624D517</v>
          </cell>
          <cell r="D9794" t="str">
            <v>KBP76</v>
          </cell>
          <cell r="E9794">
            <v>46194</v>
          </cell>
        </row>
        <row r="9795">
          <cell r="A9795" t="str">
            <v>2622F467</v>
          </cell>
          <cell r="D9795" t="str">
            <v>TTS80</v>
          </cell>
          <cell r="E9795">
            <v>46194</v>
          </cell>
        </row>
        <row r="9796">
          <cell r="A9796" t="str">
            <v>2622X957</v>
          </cell>
          <cell r="D9796" t="str">
            <v>FTW121KE</v>
          </cell>
          <cell r="E9796">
            <v>46194</v>
          </cell>
        </row>
        <row r="9797">
          <cell r="A9797" t="str">
            <v>2623KO17</v>
          </cell>
          <cell r="D9797" t="str">
            <v>FTW121KE</v>
          </cell>
          <cell r="E9797">
            <v>46194</v>
          </cell>
        </row>
        <row r="9798">
          <cell r="A9798" t="str">
            <v>2621KT47</v>
          </cell>
          <cell r="D9798" t="str">
            <v>FTW121KE</v>
          </cell>
          <cell r="E9798">
            <v>46194</v>
          </cell>
        </row>
        <row r="9799">
          <cell r="A9799" t="str">
            <v>2622EU60</v>
          </cell>
          <cell r="D9799" t="str">
            <v>TTS125</v>
          </cell>
          <cell r="E9799">
            <v>46194</v>
          </cell>
        </row>
        <row r="9800">
          <cell r="A9800" t="str">
            <v>2552YD57</v>
          </cell>
          <cell r="D9800" t="str">
            <v>KBP126</v>
          </cell>
          <cell r="E9800">
            <v>46194</v>
          </cell>
        </row>
        <row r="9801">
          <cell r="A9801" t="str">
            <v>2623EX30</v>
          </cell>
          <cell r="D9801" t="str">
            <v>TTS125</v>
          </cell>
          <cell r="E9801">
            <v>46194</v>
          </cell>
        </row>
        <row r="9802">
          <cell r="A9802" t="str">
            <v>2622W247</v>
          </cell>
          <cell r="D9802" t="str">
            <v>TTS50</v>
          </cell>
          <cell r="E9802">
            <v>46194</v>
          </cell>
        </row>
        <row r="9803">
          <cell r="A9803" t="str">
            <v>2622CT67</v>
          </cell>
          <cell r="D9803" t="str">
            <v>TTS50</v>
          </cell>
          <cell r="E9803">
            <v>46194</v>
          </cell>
        </row>
        <row r="9804">
          <cell r="A9804" t="str">
            <v>2623IM57</v>
          </cell>
          <cell r="D9804" t="str">
            <v>FTW102K</v>
          </cell>
          <cell r="E9804">
            <v>46194</v>
          </cell>
        </row>
        <row r="9805">
          <cell r="A9805" t="str">
            <v>2621QE27</v>
          </cell>
          <cell r="D9805" t="str">
            <v>TTS80</v>
          </cell>
          <cell r="E9805">
            <v>46194</v>
          </cell>
        </row>
        <row r="9806">
          <cell r="A9806" t="str">
            <v>2622IY27</v>
          </cell>
          <cell r="D9806" t="str">
            <v>FTW503</v>
          </cell>
          <cell r="E9806">
            <v>46194</v>
          </cell>
        </row>
        <row r="9807">
          <cell r="A9807" t="str">
            <v>2621IB67</v>
          </cell>
          <cell r="D9807" t="str">
            <v>TTS80</v>
          </cell>
          <cell r="E9807">
            <v>46194</v>
          </cell>
        </row>
        <row r="9808">
          <cell r="A9808" t="str">
            <v>2623EK67</v>
          </cell>
          <cell r="D9808" t="str">
            <v>FTW700</v>
          </cell>
          <cell r="E9808">
            <v>46194</v>
          </cell>
        </row>
        <row r="9809">
          <cell r="A9809" t="str">
            <v>2622IX27</v>
          </cell>
          <cell r="D9809" t="str">
            <v>FTW503</v>
          </cell>
          <cell r="E9809">
            <v>46194</v>
          </cell>
        </row>
        <row r="9810">
          <cell r="A9810" t="str">
            <v>2623HU17</v>
          </cell>
          <cell r="D9810" t="str">
            <v>KBP86</v>
          </cell>
          <cell r="E9810">
            <v>46194</v>
          </cell>
        </row>
        <row r="9811">
          <cell r="A9811" t="str">
            <v>2622F267</v>
          </cell>
          <cell r="D9811" t="str">
            <v>TTS80</v>
          </cell>
          <cell r="E9811">
            <v>46194</v>
          </cell>
        </row>
        <row r="9812">
          <cell r="A9812" t="str">
            <v>2621YD37</v>
          </cell>
          <cell r="D9812" t="str">
            <v>KBP74</v>
          </cell>
          <cell r="E9812">
            <v>46194</v>
          </cell>
        </row>
        <row r="9813">
          <cell r="A9813" t="str">
            <v>2606L747</v>
          </cell>
          <cell r="D9813" t="str">
            <v>KBP52</v>
          </cell>
          <cell r="E9813">
            <v>46194</v>
          </cell>
        </row>
        <row r="9814">
          <cell r="A9814" t="str">
            <v>2622ON47</v>
          </cell>
          <cell r="D9814" t="str">
            <v>FTW503</v>
          </cell>
          <cell r="E9814">
            <v>46194</v>
          </cell>
        </row>
        <row r="9815">
          <cell r="A9815" t="str">
            <v>2622VZ47</v>
          </cell>
          <cell r="D9815" t="str">
            <v>TTS50</v>
          </cell>
          <cell r="E9815">
            <v>46194</v>
          </cell>
        </row>
        <row r="9816">
          <cell r="A9816" t="str">
            <v>2622OO57</v>
          </cell>
          <cell r="D9816" t="str">
            <v>KBP86</v>
          </cell>
          <cell r="E9816">
            <v>46194</v>
          </cell>
        </row>
        <row r="9817">
          <cell r="A9817" t="str">
            <v>2622LE17</v>
          </cell>
          <cell r="D9817" t="str">
            <v>FTW503</v>
          </cell>
          <cell r="E9817">
            <v>46194</v>
          </cell>
        </row>
        <row r="9818">
          <cell r="A9818" t="str">
            <v>2617OH57</v>
          </cell>
          <cell r="D9818" t="str">
            <v>FTW503</v>
          </cell>
          <cell r="E9818">
            <v>46194</v>
          </cell>
        </row>
        <row r="9819">
          <cell r="A9819" t="str">
            <v>2621PK17</v>
          </cell>
          <cell r="D9819" t="str">
            <v>KBP86</v>
          </cell>
          <cell r="E9819">
            <v>46194</v>
          </cell>
        </row>
        <row r="9820">
          <cell r="A9820" t="str">
            <v>2623QA17</v>
          </cell>
          <cell r="D9820" t="str">
            <v>STA156KA</v>
          </cell>
          <cell r="E9820">
            <v>46194</v>
          </cell>
        </row>
        <row r="9821">
          <cell r="A9821" t="str">
            <v>2621Q747</v>
          </cell>
          <cell r="D9821" t="str">
            <v>KBP55</v>
          </cell>
          <cell r="E9821">
            <v>46194</v>
          </cell>
        </row>
        <row r="9822">
          <cell r="A9822" t="str">
            <v>2622OI57</v>
          </cell>
          <cell r="D9822" t="str">
            <v>KBP76</v>
          </cell>
          <cell r="E9822">
            <v>46194</v>
          </cell>
        </row>
        <row r="9823">
          <cell r="A9823" t="str">
            <v>2621Q847</v>
          </cell>
          <cell r="D9823" t="str">
            <v>KBP55</v>
          </cell>
          <cell r="E9823">
            <v>46194</v>
          </cell>
        </row>
        <row r="9824">
          <cell r="A9824" t="str">
            <v>2622UJ57</v>
          </cell>
          <cell r="D9824" t="str">
            <v>KBP86</v>
          </cell>
          <cell r="E9824">
            <v>46194</v>
          </cell>
        </row>
        <row r="9825">
          <cell r="A9825" t="str">
            <v>2621OW47</v>
          </cell>
          <cell r="D9825" t="str">
            <v>KBP86</v>
          </cell>
          <cell r="E9825">
            <v>46194</v>
          </cell>
        </row>
        <row r="9826">
          <cell r="A9826" t="str">
            <v>2621GU67</v>
          </cell>
          <cell r="D9826" t="str">
            <v>KBP76</v>
          </cell>
          <cell r="E9826">
            <v>46194</v>
          </cell>
        </row>
        <row r="9827">
          <cell r="A9827" t="str">
            <v>2621SY17</v>
          </cell>
          <cell r="D9827" t="str">
            <v>TTS80</v>
          </cell>
          <cell r="E9827">
            <v>46194</v>
          </cell>
        </row>
        <row r="9828">
          <cell r="A9828" t="str">
            <v>2623FA37</v>
          </cell>
          <cell r="D9828" t="str">
            <v>KBP86</v>
          </cell>
          <cell r="E9828">
            <v>46194</v>
          </cell>
        </row>
        <row r="9829">
          <cell r="A9829" t="str">
            <v>2620XG57</v>
          </cell>
          <cell r="D9829" t="str">
            <v>KBP86</v>
          </cell>
          <cell r="E9829">
            <v>46194</v>
          </cell>
        </row>
        <row r="9830">
          <cell r="A9830" t="str">
            <v>2621YF57</v>
          </cell>
          <cell r="D9830" t="str">
            <v>KBP86</v>
          </cell>
          <cell r="E9830">
            <v>46194</v>
          </cell>
        </row>
        <row r="9831">
          <cell r="A9831" t="str">
            <v>2623F167</v>
          </cell>
          <cell r="D9831" t="str">
            <v>FTW102K</v>
          </cell>
          <cell r="E9831">
            <v>46194</v>
          </cell>
        </row>
        <row r="9832">
          <cell r="A9832" t="str">
            <v>2622UW57</v>
          </cell>
          <cell r="D9832" t="str">
            <v>KBP76</v>
          </cell>
          <cell r="E9832">
            <v>46194</v>
          </cell>
        </row>
        <row r="9833">
          <cell r="A9833" t="str">
            <v>2622OG57</v>
          </cell>
          <cell r="D9833" t="str">
            <v>KBP86</v>
          </cell>
          <cell r="E9833">
            <v>46194</v>
          </cell>
        </row>
        <row r="9834">
          <cell r="A9834" t="str">
            <v>2623I937</v>
          </cell>
          <cell r="D9834" t="str">
            <v>KBP86</v>
          </cell>
          <cell r="E9834">
            <v>46194</v>
          </cell>
        </row>
        <row r="9835">
          <cell r="A9835" t="str">
            <v>2623LU47</v>
          </cell>
          <cell r="D9835" t="str">
            <v>KBP76</v>
          </cell>
          <cell r="E9835">
            <v>46194</v>
          </cell>
        </row>
        <row r="9836">
          <cell r="A9836" t="str">
            <v>2622EV50</v>
          </cell>
          <cell r="D9836" t="str">
            <v>TTS125</v>
          </cell>
          <cell r="E9836">
            <v>46194</v>
          </cell>
        </row>
        <row r="9837">
          <cell r="A9837" t="str">
            <v>2617IW47</v>
          </cell>
          <cell r="D9837" t="str">
            <v>FTW503</v>
          </cell>
          <cell r="E9837">
            <v>46194</v>
          </cell>
        </row>
        <row r="9838">
          <cell r="A9838" t="str">
            <v>2623J217</v>
          </cell>
          <cell r="D9838" t="str">
            <v>TTS50</v>
          </cell>
          <cell r="E9838">
            <v>46194</v>
          </cell>
        </row>
        <row r="9839">
          <cell r="A9839" t="str">
            <v>2623IK57</v>
          </cell>
          <cell r="D9839" t="str">
            <v>FTW102K</v>
          </cell>
          <cell r="E9839">
            <v>46194</v>
          </cell>
        </row>
        <row r="9840">
          <cell r="A9840" t="str">
            <v>2623IE37</v>
          </cell>
          <cell r="D9840" t="str">
            <v>KBP86</v>
          </cell>
          <cell r="E9840">
            <v>46194</v>
          </cell>
        </row>
        <row r="9841">
          <cell r="A9841" t="str">
            <v>2623DA37</v>
          </cell>
          <cell r="D9841" t="str">
            <v>STA200KA</v>
          </cell>
          <cell r="E9841">
            <v>46194</v>
          </cell>
        </row>
        <row r="9842">
          <cell r="A9842" t="str">
            <v>2623HZ47</v>
          </cell>
          <cell r="D9842" t="str">
            <v>KBP86</v>
          </cell>
          <cell r="E9842">
            <v>46194</v>
          </cell>
        </row>
        <row r="9843">
          <cell r="A9843" t="str">
            <v>2622KP17</v>
          </cell>
          <cell r="D9843" t="str">
            <v>KBP76</v>
          </cell>
          <cell r="E9843">
            <v>46194</v>
          </cell>
        </row>
        <row r="9844">
          <cell r="A9844" t="str">
            <v>2623QM37</v>
          </cell>
          <cell r="D9844" t="str">
            <v>KBP76</v>
          </cell>
          <cell r="E9844">
            <v>46194</v>
          </cell>
        </row>
        <row r="9845">
          <cell r="A9845" t="str">
            <v>2622LS27</v>
          </cell>
          <cell r="D9845" t="str">
            <v>KBP86</v>
          </cell>
          <cell r="E9845">
            <v>46194</v>
          </cell>
        </row>
        <row r="9846">
          <cell r="A9846" t="str">
            <v>2621GH67</v>
          </cell>
          <cell r="D9846" t="str">
            <v>KBP76</v>
          </cell>
          <cell r="E9846">
            <v>46194</v>
          </cell>
        </row>
        <row r="9847">
          <cell r="A9847" t="str">
            <v>2623I667</v>
          </cell>
          <cell r="D9847" t="str">
            <v>KBP52</v>
          </cell>
          <cell r="E9847">
            <v>46194</v>
          </cell>
        </row>
        <row r="9848">
          <cell r="A9848" t="str">
            <v>2622V157</v>
          </cell>
          <cell r="D9848" t="str">
            <v>KBP76</v>
          </cell>
          <cell r="E9848">
            <v>46194</v>
          </cell>
        </row>
        <row r="9849">
          <cell r="A9849" t="str">
            <v>2621LN17</v>
          </cell>
          <cell r="D9849" t="str">
            <v>FTW503</v>
          </cell>
          <cell r="E9849">
            <v>46194</v>
          </cell>
        </row>
        <row r="9850">
          <cell r="A9850" t="str">
            <v>2623DL57</v>
          </cell>
          <cell r="D9850" t="str">
            <v>KBP76</v>
          </cell>
          <cell r="E9850">
            <v>46194</v>
          </cell>
        </row>
        <row r="9851">
          <cell r="A9851" t="str">
            <v>2620XS57</v>
          </cell>
          <cell r="D9851" t="str">
            <v>KBP86</v>
          </cell>
          <cell r="E9851">
            <v>46194</v>
          </cell>
        </row>
        <row r="9852">
          <cell r="A9852" t="str">
            <v>2623KV37</v>
          </cell>
          <cell r="D9852" t="str">
            <v>FTW700</v>
          </cell>
          <cell r="E9852">
            <v>46194</v>
          </cell>
        </row>
        <row r="9853">
          <cell r="A9853" t="str">
            <v>2617HE37</v>
          </cell>
          <cell r="D9853" t="str">
            <v>FTP200</v>
          </cell>
          <cell r="E9853">
            <v>46194</v>
          </cell>
        </row>
        <row r="9854">
          <cell r="A9854" t="str">
            <v>2609H917</v>
          </cell>
          <cell r="D9854" t="str">
            <v>FTP150</v>
          </cell>
          <cell r="E9854">
            <v>46194</v>
          </cell>
        </row>
        <row r="9855">
          <cell r="A9855" t="str">
            <v>2622S647</v>
          </cell>
          <cell r="D9855" t="str">
            <v>KBP86</v>
          </cell>
          <cell r="E9855">
            <v>46194</v>
          </cell>
        </row>
        <row r="9856">
          <cell r="A9856" t="str">
            <v>2624F717</v>
          </cell>
          <cell r="D9856" t="str">
            <v>FTW102K</v>
          </cell>
          <cell r="E9856">
            <v>46194</v>
          </cell>
        </row>
        <row r="9857">
          <cell r="A9857" t="str">
            <v>2621C967</v>
          </cell>
          <cell r="D9857" t="str">
            <v>FTW503</v>
          </cell>
          <cell r="E9857">
            <v>46194</v>
          </cell>
        </row>
        <row r="9858">
          <cell r="A9858" t="str">
            <v>2623JL27</v>
          </cell>
          <cell r="D9858" t="str">
            <v>TTS80</v>
          </cell>
          <cell r="E9858">
            <v>46194</v>
          </cell>
        </row>
        <row r="9859">
          <cell r="A9859" t="str">
            <v>2620KB27</v>
          </cell>
          <cell r="D9859" t="str">
            <v>KBP86</v>
          </cell>
          <cell r="E9859">
            <v>46194</v>
          </cell>
        </row>
        <row r="9860">
          <cell r="A9860" t="str">
            <v>2613CT27</v>
          </cell>
          <cell r="D9860" t="str">
            <v>FTW503</v>
          </cell>
          <cell r="E9860">
            <v>46194</v>
          </cell>
        </row>
        <row r="9861">
          <cell r="A9861" t="str">
            <v>2619Z457</v>
          </cell>
          <cell r="D9861" t="str">
            <v>KBP86</v>
          </cell>
          <cell r="E9861">
            <v>46194</v>
          </cell>
        </row>
        <row r="9862">
          <cell r="A9862" t="str">
            <v>2623JF27</v>
          </cell>
          <cell r="D9862" t="str">
            <v>TTS80</v>
          </cell>
          <cell r="E9862">
            <v>46194</v>
          </cell>
        </row>
        <row r="9863">
          <cell r="A9863" t="str">
            <v>2624IV17</v>
          </cell>
          <cell r="D9863" t="str">
            <v>KBP76</v>
          </cell>
          <cell r="E9863">
            <v>46194</v>
          </cell>
        </row>
        <row r="9864">
          <cell r="A9864" t="str">
            <v>2622L617</v>
          </cell>
          <cell r="D9864" t="str">
            <v>FTW503</v>
          </cell>
          <cell r="E9864">
            <v>46194</v>
          </cell>
        </row>
        <row r="9865">
          <cell r="A9865" t="str">
            <v>2623IB47</v>
          </cell>
          <cell r="D9865" t="str">
            <v>KBP76</v>
          </cell>
          <cell r="E9865">
            <v>46194</v>
          </cell>
        </row>
        <row r="9866">
          <cell r="A9866" t="str">
            <v>2620DB57</v>
          </cell>
          <cell r="D9866" t="str">
            <v>KBP86</v>
          </cell>
          <cell r="E9866">
            <v>46194</v>
          </cell>
        </row>
        <row r="9867">
          <cell r="A9867" t="str">
            <v>2619CX37</v>
          </cell>
          <cell r="D9867" t="str">
            <v>FTP150</v>
          </cell>
          <cell r="E9867">
            <v>46194</v>
          </cell>
        </row>
        <row r="9868">
          <cell r="A9868" t="str">
            <v>2620I257</v>
          </cell>
          <cell r="D9868" t="str">
            <v>KBP86</v>
          </cell>
          <cell r="E9868">
            <v>46194</v>
          </cell>
        </row>
        <row r="9869">
          <cell r="A9869" t="str">
            <v>2623D527</v>
          </cell>
          <cell r="D9869" t="str">
            <v>KBP76</v>
          </cell>
          <cell r="E9869">
            <v>46194</v>
          </cell>
        </row>
        <row r="9870">
          <cell r="A9870" t="str">
            <v>2623HE57</v>
          </cell>
          <cell r="D9870" t="str">
            <v>KBP76</v>
          </cell>
          <cell r="E9870">
            <v>46194</v>
          </cell>
        </row>
        <row r="9871">
          <cell r="A9871" t="str">
            <v>2613FJ37</v>
          </cell>
          <cell r="D9871" t="str">
            <v>FTW503</v>
          </cell>
          <cell r="E9871">
            <v>46194</v>
          </cell>
        </row>
        <row r="9872">
          <cell r="A9872" t="str">
            <v>2622EX67</v>
          </cell>
          <cell r="D9872" t="str">
            <v>TTS80</v>
          </cell>
          <cell r="E9872">
            <v>46194</v>
          </cell>
        </row>
        <row r="9873">
          <cell r="A9873" t="str">
            <v>2622QZ37</v>
          </cell>
          <cell r="D9873" t="str">
            <v>STA156KA</v>
          </cell>
          <cell r="E9873">
            <v>46194</v>
          </cell>
        </row>
        <row r="9874">
          <cell r="A9874" t="str">
            <v>2624IS17</v>
          </cell>
          <cell r="D9874" t="str">
            <v>KBP76</v>
          </cell>
          <cell r="E9874">
            <v>46194</v>
          </cell>
        </row>
        <row r="9875">
          <cell r="A9875" t="str">
            <v>2621PN17</v>
          </cell>
          <cell r="D9875" t="str">
            <v>KBP86</v>
          </cell>
          <cell r="E9875">
            <v>46194</v>
          </cell>
        </row>
        <row r="9876">
          <cell r="A9876" t="str">
            <v>2624BV17</v>
          </cell>
          <cell r="D9876" t="str">
            <v>S15MB</v>
          </cell>
          <cell r="E9876">
            <v>46194</v>
          </cell>
        </row>
        <row r="9877">
          <cell r="A9877" t="str">
            <v>2623OA17</v>
          </cell>
          <cell r="D9877" t="str">
            <v>KBP86</v>
          </cell>
          <cell r="E9877">
            <v>46194</v>
          </cell>
        </row>
        <row r="9878">
          <cell r="A9878" t="str">
            <v>2621Q927</v>
          </cell>
          <cell r="D9878" t="str">
            <v>TTS80</v>
          </cell>
          <cell r="E9878">
            <v>46194</v>
          </cell>
        </row>
        <row r="9879">
          <cell r="A9879" t="str">
            <v>2610GH47</v>
          </cell>
          <cell r="D9879" t="str">
            <v>FTP150</v>
          </cell>
          <cell r="E9879">
            <v>46194</v>
          </cell>
        </row>
        <row r="9880">
          <cell r="A9880" t="str">
            <v>2623I767</v>
          </cell>
          <cell r="D9880" t="str">
            <v>KBP52</v>
          </cell>
          <cell r="E9880">
            <v>46194</v>
          </cell>
        </row>
        <row r="9881">
          <cell r="A9881" t="str">
            <v>2617L847</v>
          </cell>
          <cell r="D9881" t="str">
            <v>FTP200</v>
          </cell>
          <cell r="E9881">
            <v>46194</v>
          </cell>
        </row>
        <row r="9882">
          <cell r="A9882" t="str">
            <v>2622SA37</v>
          </cell>
          <cell r="D9882" t="str">
            <v>TTS50</v>
          </cell>
          <cell r="E9882">
            <v>46194</v>
          </cell>
        </row>
        <row r="9883">
          <cell r="A9883" t="str">
            <v>2622HB27</v>
          </cell>
          <cell r="D9883" t="str">
            <v>KBP86</v>
          </cell>
          <cell r="E9883">
            <v>46194</v>
          </cell>
        </row>
        <row r="9884">
          <cell r="A9884" t="str">
            <v>2550ZE47</v>
          </cell>
          <cell r="D9884" t="str">
            <v>KBP126</v>
          </cell>
          <cell r="E9884">
            <v>46194</v>
          </cell>
        </row>
        <row r="9885">
          <cell r="A9885" t="str">
            <v>2617LD27</v>
          </cell>
          <cell r="D9885" t="str">
            <v>FTW503</v>
          </cell>
          <cell r="E9885">
            <v>46194</v>
          </cell>
        </row>
        <row r="9886">
          <cell r="A9886" t="str">
            <v>2624EK27</v>
          </cell>
          <cell r="D9886" t="str">
            <v>KBP76</v>
          </cell>
          <cell r="E9886">
            <v>46194</v>
          </cell>
        </row>
        <row r="9887">
          <cell r="A9887" t="str">
            <v>2617F837</v>
          </cell>
          <cell r="D9887" t="str">
            <v>FTW503</v>
          </cell>
          <cell r="E9887">
            <v>46194</v>
          </cell>
        </row>
        <row r="9888">
          <cell r="A9888" t="str">
            <v>2612E457</v>
          </cell>
          <cell r="D9888" t="str">
            <v>FTW503</v>
          </cell>
          <cell r="E9888">
            <v>46194</v>
          </cell>
        </row>
        <row r="9889">
          <cell r="A9889" t="str">
            <v>2623EZ67</v>
          </cell>
          <cell r="D9889" t="str">
            <v>FTW102K</v>
          </cell>
          <cell r="E9889">
            <v>46194</v>
          </cell>
        </row>
        <row r="9890">
          <cell r="A9890" t="str">
            <v>2616IX17</v>
          </cell>
          <cell r="D9890" t="str">
            <v>TTS50</v>
          </cell>
          <cell r="E9890">
            <v>46194</v>
          </cell>
        </row>
        <row r="9891">
          <cell r="A9891" t="str">
            <v>2623DP47</v>
          </cell>
          <cell r="D9891" t="str">
            <v>STA156KA</v>
          </cell>
          <cell r="E9891">
            <v>46194</v>
          </cell>
        </row>
        <row r="9892">
          <cell r="A9892" t="str">
            <v>2621HF67</v>
          </cell>
          <cell r="D9892" t="str">
            <v>STA156KA</v>
          </cell>
          <cell r="E9892">
            <v>46194</v>
          </cell>
        </row>
        <row r="9893">
          <cell r="A9893" t="str">
            <v>2623HU67</v>
          </cell>
          <cell r="D9893" t="str">
            <v>KBP52</v>
          </cell>
          <cell r="E9893">
            <v>46194</v>
          </cell>
        </row>
        <row r="9894">
          <cell r="A9894" t="str">
            <v>2622V347</v>
          </cell>
          <cell r="D9894" t="str">
            <v>TTS50</v>
          </cell>
          <cell r="E9894">
            <v>46194</v>
          </cell>
        </row>
        <row r="9895">
          <cell r="A9895" t="str">
            <v>2622S347</v>
          </cell>
          <cell r="D9895" t="str">
            <v>KBP86</v>
          </cell>
          <cell r="E9895">
            <v>46194</v>
          </cell>
        </row>
        <row r="9896">
          <cell r="A9896" t="str">
            <v>2620EX47</v>
          </cell>
          <cell r="D9896" t="str">
            <v>TTS80</v>
          </cell>
          <cell r="E9896">
            <v>46194</v>
          </cell>
        </row>
        <row r="9897">
          <cell r="A9897" t="str">
            <v>2622OI47</v>
          </cell>
          <cell r="D9897" t="str">
            <v>FTW503</v>
          </cell>
          <cell r="E9897">
            <v>46194</v>
          </cell>
        </row>
        <row r="9898">
          <cell r="A9898" t="str">
            <v>2622OA37</v>
          </cell>
          <cell r="D9898" t="str">
            <v>KBP86</v>
          </cell>
          <cell r="E9898">
            <v>46194</v>
          </cell>
        </row>
        <row r="9899">
          <cell r="A9899" t="str">
            <v>2622SO37</v>
          </cell>
          <cell r="D9899" t="str">
            <v>TTS80</v>
          </cell>
          <cell r="E9899">
            <v>46194</v>
          </cell>
        </row>
        <row r="9900">
          <cell r="A9900" t="str">
            <v>2623BZ67</v>
          </cell>
          <cell r="D9900" t="str">
            <v>KBP86</v>
          </cell>
          <cell r="E9900">
            <v>46194</v>
          </cell>
        </row>
        <row r="9901">
          <cell r="A9901" t="str">
            <v>2623PK37</v>
          </cell>
          <cell r="D9901" t="str">
            <v>TTS50</v>
          </cell>
          <cell r="E9901">
            <v>46194</v>
          </cell>
        </row>
        <row r="9902">
          <cell r="A9902" t="str">
            <v>2623IU27</v>
          </cell>
          <cell r="D9902" t="str">
            <v>KBP76</v>
          </cell>
          <cell r="E9902">
            <v>46194</v>
          </cell>
        </row>
        <row r="9903">
          <cell r="A9903" t="str">
            <v>2622SD37</v>
          </cell>
          <cell r="D9903" t="str">
            <v>TTS50</v>
          </cell>
          <cell r="E9903">
            <v>46194</v>
          </cell>
        </row>
        <row r="9904">
          <cell r="A9904" t="str">
            <v>2623LZ47</v>
          </cell>
          <cell r="D9904" t="str">
            <v>KBP55</v>
          </cell>
          <cell r="E9904">
            <v>46194</v>
          </cell>
        </row>
        <row r="9905">
          <cell r="A9905" t="str">
            <v>2611FV17</v>
          </cell>
          <cell r="D9905" t="str">
            <v>KBP126</v>
          </cell>
          <cell r="E9905">
            <v>46194</v>
          </cell>
        </row>
        <row r="9906">
          <cell r="A9906" t="str">
            <v>2620J157</v>
          </cell>
          <cell r="D9906" t="str">
            <v>TTS50</v>
          </cell>
          <cell r="E9906">
            <v>46194</v>
          </cell>
        </row>
        <row r="9907">
          <cell r="A9907" t="str">
            <v>2620AW67</v>
          </cell>
          <cell r="D9907" t="str">
            <v>KBP86</v>
          </cell>
          <cell r="E9907">
            <v>46194</v>
          </cell>
        </row>
        <row r="9908">
          <cell r="A9908" t="str">
            <v>2623P337</v>
          </cell>
          <cell r="D9908" t="str">
            <v>KBP86</v>
          </cell>
          <cell r="E9908">
            <v>46194</v>
          </cell>
        </row>
        <row r="9909">
          <cell r="A9909" t="str">
            <v>2623AG57</v>
          </cell>
          <cell r="D9909" t="str">
            <v>S15MB</v>
          </cell>
          <cell r="E9909">
            <v>46194</v>
          </cell>
        </row>
        <row r="9910">
          <cell r="A9910" t="str">
            <v>2622JP37</v>
          </cell>
          <cell r="D9910" t="str">
            <v>FTW503</v>
          </cell>
          <cell r="E9910">
            <v>46194</v>
          </cell>
        </row>
        <row r="9911">
          <cell r="A9911" t="str">
            <v>2623D367</v>
          </cell>
          <cell r="D9911" t="str">
            <v>KBP86</v>
          </cell>
          <cell r="E9911">
            <v>46194</v>
          </cell>
        </row>
        <row r="9912">
          <cell r="A9912" t="str">
            <v>2620I757</v>
          </cell>
          <cell r="D9912" t="str">
            <v>KBP86</v>
          </cell>
          <cell r="E9912">
            <v>46194</v>
          </cell>
        </row>
        <row r="9913">
          <cell r="A9913" t="str">
            <v>2620Q737</v>
          </cell>
          <cell r="D9913" t="str">
            <v>KBP74</v>
          </cell>
          <cell r="E9913">
            <v>46194</v>
          </cell>
        </row>
        <row r="9914">
          <cell r="A9914" t="str">
            <v>2620LC17</v>
          </cell>
          <cell r="D9914" t="str">
            <v>TTS50</v>
          </cell>
          <cell r="E9914">
            <v>46194</v>
          </cell>
        </row>
        <row r="9915">
          <cell r="A9915" t="str">
            <v>2623K557</v>
          </cell>
          <cell r="D9915" t="str">
            <v>KBP76</v>
          </cell>
          <cell r="E9915">
            <v>46194</v>
          </cell>
        </row>
        <row r="9916">
          <cell r="A9916" t="str">
            <v>2623HH57</v>
          </cell>
          <cell r="D9916" t="str">
            <v>KBP76</v>
          </cell>
          <cell r="E9916">
            <v>46194</v>
          </cell>
        </row>
        <row r="9917">
          <cell r="A9917" t="str">
            <v>2618HS17</v>
          </cell>
          <cell r="D9917" t="str">
            <v>FTW503</v>
          </cell>
          <cell r="E9917">
            <v>46194</v>
          </cell>
        </row>
        <row r="9918">
          <cell r="A9918" t="str">
            <v>2550ZB47</v>
          </cell>
          <cell r="D9918" t="str">
            <v>KBP126</v>
          </cell>
          <cell r="E9918">
            <v>46194</v>
          </cell>
        </row>
        <row r="9919">
          <cell r="A9919" t="str">
            <v>2621DO67</v>
          </cell>
          <cell r="D9919" t="str">
            <v>KBP86</v>
          </cell>
          <cell r="E9919">
            <v>46194</v>
          </cell>
        </row>
        <row r="9920">
          <cell r="A9920" t="str">
            <v>2623K447</v>
          </cell>
          <cell r="D9920" t="str">
            <v>FTW700</v>
          </cell>
          <cell r="E9920">
            <v>46194</v>
          </cell>
        </row>
        <row r="9921">
          <cell r="A9921" t="str">
            <v>2623ID37</v>
          </cell>
          <cell r="D9921" t="str">
            <v>KBP86</v>
          </cell>
          <cell r="E9921">
            <v>46194</v>
          </cell>
        </row>
        <row r="9922">
          <cell r="A9922" t="str">
            <v>2622EF27</v>
          </cell>
          <cell r="D9922" t="str">
            <v>KBP76</v>
          </cell>
          <cell r="E9922">
            <v>46194</v>
          </cell>
        </row>
        <row r="9923">
          <cell r="A9923" t="str">
            <v>2613DK27</v>
          </cell>
          <cell r="D9923" t="str">
            <v>FTW503</v>
          </cell>
          <cell r="E9923">
            <v>46194</v>
          </cell>
        </row>
        <row r="9924">
          <cell r="A9924" t="str">
            <v>2620YD17</v>
          </cell>
          <cell r="D9924" t="str">
            <v>KBP86</v>
          </cell>
          <cell r="E9924">
            <v>46194</v>
          </cell>
        </row>
        <row r="9925">
          <cell r="A9925" t="str">
            <v>2610F217</v>
          </cell>
          <cell r="D9925" t="str">
            <v>FTP150</v>
          </cell>
          <cell r="E9925">
            <v>46194</v>
          </cell>
        </row>
        <row r="9926">
          <cell r="A9926" t="str">
            <v>2623IW37</v>
          </cell>
          <cell r="D9926" t="str">
            <v>KBP76</v>
          </cell>
          <cell r="E9926">
            <v>46194</v>
          </cell>
        </row>
        <row r="9927">
          <cell r="A9927" t="str">
            <v>2623LE37</v>
          </cell>
          <cell r="D9927" t="str">
            <v>FTW121KR</v>
          </cell>
          <cell r="E9927">
            <v>46194</v>
          </cell>
        </row>
        <row r="9928">
          <cell r="A9928" t="str">
            <v>2622G467</v>
          </cell>
          <cell r="D9928" t="str">
            <v>FTW121KR</v>
          </cell>
          <cell r="E9928">
            <v>46194</v>
          </cell>
        </row>
        <row r="9929">
          <cell r="A9929" t="str">
            <v>2623IX67</v>
          </cell>
          <cell r="D9929" t="str">
            <v>S706</v>
          </cell>
          <cell r="E9929">
            <v>46194</v>
          </cell>
        </row>
        <row r="9930">
          <cell r="A9930" t="str">
            <v>2624HP17</v>
          </cell>
          <cell r="D9930" t="str">
            <v>S706</v>
          </cell>
          <cell r="E9930">
            <v>46194</v>
          </cell>
        </row>
        <row r="9931">
          <cell r="A9931" t="str">
            <v>2624HX17</v>
          </cell>
          <cell r="D9931" t="str">
            <v>S706</v>
          </cell>
          <cell r="E9931">
            <v>46194</v>
          </cell>
        </row>
        <row r="9932">
          <cell r="A9932" t="str">
            <v>2623HW27</v>
          </cell>
          <cell r="D9932" t="str">
            <v>S706</v>
          </cell>
          <cell r="E9932">
            <v>46194</v>
          </cell>
        </row>
        <row r="9933">
          <cell r="A9933" t="str">
            <v>2623LI47</v>
          </cell>
          <cell r="D9933" t="str">
            <v>S706</v>
          </cell>
          <cell r="E9933">
            <v>46194</v>
          </cell>
        </row>
        <row r="9934">
          <cell r="A9934" t="str">
            <v>2623IS67</v>
          </cell>
          <cell r="D9934" t="str">
            <v>S706</v>
          </cell>
          <cell r="E9934">
            <v>46194</v>
          </cell>
        </row>
        <row r="9935">
          <cell r="A9935" t="str">
            <v>2623IV67</v>
          </cell>
          <cell r="D9935" t="str">
            <v>S706</v>
          </cell>
          <cell r="E9935">
            <v>46194</v>
          </cell>
        </row>
        <row r="9936">
          <cell r="A9936" t="str">
            <v>2624I117</v>
          </cell>
          <cell r="D9936" t="str">
            <v>S706</v>
          </cell>
          <cell r="E9936">
            <v>46194</v>
          </cell>
        </row>
        <row r="9937">
          <cell r="A9937" t="str">
            <v>2623FD67</v>
          </cell>
          <cell r="D9937" t="str">
            <v>FTW121KR</v>
          </cell>
          <cell r="E9937">
            <v>46194</v>
          </cell>
        </row>
        <row r="9938">
          <cell r="A9938" t="str">
            <v>2622XC57</v>
          </cell>
          <cell r="D9938" t="str">
            <v>FTW121KE</v>
          </cell>
          <cell r="E9938">
            <v>46194</v>
          </cell>
        </row>
        <row r="9939">
          <cell r="A9939" t="str">
            <v>2623I457</v>
          </cell>
          <cell r="D9939" t="str">
            <v>FTW102K</v>
          </cell>
          <cell r="E9939">
            <v>46194</v>
          </cell>
        </row>
        <row r="9940">
          <cell r="A9940" t="str">
            <v>2624EH17</v>
          </cell>
          <cell r="D9940" t="str">
            <v>FTW102K</v>
          </cell>
          <cell r="E9940">
            <v>46194</v>
          </cell>
        </row>
        <row r="9941">
          <cell r="A9941" t="str">
            <v>2623HW57</v>
          </cell>
          <cell r="D9941" t="str">
            <v>FTW102K</v>
          </cell>
          <cell r="E9941">
            <v>46194</v>
          </cell>
        </row>
        <row r="9942">
          <cell r="A9942" t="str">
            <v>2623HX57</v>
          </cell>
          <cell r="D9942" t="str">
            <v>FTW102K</v>
          </cell>
          <cell r="E9942">
            <v>46194</v>
          </cell>
        </row>
        <row r="9943">
          <cell r="A9943" t="str">
            <v>2623I157</v>
          </cell>
          <cell r="D9943" t="str">
            <v>FTW102K</v>
          </cell>
          <cell r="E9943">
            <v>46194</v>
          </cell>
        </row>
        <row r="9944">
          <cell r="A9944" t="str">
            <v>2623I357</v>
          </cell>
          <cell r="D9944" t="str">
            <v>FTW102K</v>
          </cell>
          <cell r="E9944">
            <v>46194</v>
          </cell>
        </row>
        <row r="9945">
          <cell r="A9945" t="str">
            <v>2624EF17</v>
          </cell>
          <cell r="D9945" t="str">
            <v>FTW102K</v>
          </cell>
          <cell r="E9945">
            <v>46194</v>
          </cell>
        </row>
        <row r="9946">
          <cell r="A9946" t="str">
            <v>2623PI37</v>
          </cell>
          <cell r="D9946" t="str">
            <v>HV80</v>
          </cell>
          <cell r="E9946">
            <v>46193</v>
          </cell>
        </row>
        <row r="9947">
          <cell r="A9947" t="str">
            <v>2620Y317</v>
          </cell>
          <cell r="D9947" t="str">
            <v>KBP86</v>
          </cell>
          <cell r="E9947">
            <v>46193</v>
          </cell>
        </row>
        <row r="9948">
          <cell r="A9948" t="str">
            <v>2621LP27</v>
          </cell>
          <cell r="D9948" t="str">
            <v>HV80</v>
          </cell>
          <cell r="E9948">
            <v>46193</v>
          </cell>
        </row>
        <row r="9949">
          <cell r="A9949" t="str">
            <v>2623KS17</v>
          </cell>
          <cell r="D9949" t="str">
            <v>FTW121KR</v>
          </cell>
          <cell r="E9949">
            <v>46193</v>
          </cell>
        </row>
        <row r="9950">
          <cell r="A9950" t="str">
            <v>2620PB37</v>
          </cell>
          <cell r="D9950" t="str">
            <v>HV80</v>
          </cell>
          <cell r="E9950">
            <v>46193</v>
          </cell>
        </row>
        <row r="9951">
          <cell r="A9951" t="str">
            <v>2612D927</v>
          </cell>
          <cell r="D9951" t="str">
            <v>KBP76</v>
          </cell>
          <cell r="E9951">
            <v>46193</v>
          </cell>
        </row>
        <row r="9952">
          <cell r="A9952" t="str">
            <v>2621EB67</v>
          </cell>
          <cell r="D9952" t="str">
            <v>HV80</v>
          </cell>
          <cell r="E9952">
            <v>46193</v>
          </cell>
        </row>
        <row r="9953">
          <cell r="A9953" t="str">
            <v>2623FJ67</v>
          </cell>
          <cell r="D9953" t="str">
            <v>FTW121KR</v>
          </cell>
          <cell r="E9953">
            <v>46193</v>
          </cell>
        </row>
        <row r="9954">
          <cell r="A9954" t="str">
            <v>2623OK17</v>
          </cell>
          <cell r="D9954" t="str">
            <v>HV80</v>
          </cell>
          <cell r="E9954">
            <v>46193</v>
          </cell>
        </row>
        <row r="9955">
          <cell r="A9955" t="str">
            <v>2622E367</v>
          </cell>
          <cell r="D9955" t="str">
            <v>STA156KA</v>
          </cell>
          <cell r="E9955">
            <v>46193</v>
          </cell>
        </row>
        <row r="9956">
          <cell r="A9956" t="str">
            <v>2620DQ47</v>
          </cell>
          <cell r="D9956" t="str">
            <v>HV80</v>
          </cell>
          <cell r="E9956">
            <v>46193</v>
          </cell>
        </row>
        <row r="9957">
          <cell r="A9957" t="str">
            <v>2623HL57</v>
          </cell>
          <cell r="D9957" t="str">
            <v>FTW102K</v>
          </cell>
          <cell r="E9957">
            <v>46193</v>
          </cell>
        </row>
        <row r="9958">
          <cell r="A9958" t="str">
            <v>2621LP27</v>
          </cell>
          <cell r="D9958" t="str">
            <v>HV80</v>
          </cell>
          <cell r="E9958">
            <v>46193</v>
          </cell>
        </row>
        <row r="9959">
          <cell r="A9959" t="str">
            <v>2623HO57</v>
          </cell>
          <cell r="D9959" t="str">
            <v>FTW102K</v>
          </cell>
          <cell r="E9959">
            <v>46193</v>
          </cell>
        </row>
        <row r="9960">
          <cell r="A9960" t="str">
            <v>2623OK17</v>
          </cell>
          <cell r="D9960" t="str">
            <v>HV80</v>
          </cell>
          <cell r="E9960">
            <v>46193</v>
          </cell>
        </row>
        <row r="9961">
          <cell r="A9961" t="str">
            <v>2623HS57</v>
          </cell>
          <cell r="D9961" t="str">
            <v>FTW102K</v>
          </cell>
          <cell r="E9961">
            <v>46193</v>
          </cell>
        </row>
        <row r="9962">
          <cell r="A9962" t="str">
            <v>2621QD17</v>
          </cell>
          <cell r="D9962" t="str">
            <v>HV80</v>
          </cell>
          <cell r="E9962">
            <v>46193</v>
          </cell>
        </row>
        <row r="9963">
          <cell r="A9963" t="str">
            <v>2623HV57</v>
          </cell>
          <cell r="D9963" t="str">
            <v>FTW102K</v>
          </cell>
          <cell r="E9963">
            <v>46193</v>
          </cell>
        </row>
        <row r="9964">
          <cell r="A9964" t="str">
            <v>2620PB37</v>
          </cell>
          <cell r="D9964" t="str">
            <v>HV80</v>
          </cell>
          <cell r="E9964">
            <v>46193</v>
          </cell>
        </row>
        <row r="9965">
          <cell r="A9965" t="str">
            <v>2623HM57</v>
          </cell>
          <cell r="D9965" t="str">
            <v>FTW102K</v>
          </cell>
          <cell r="E9965">
            <v>46193</v>
          </cell>
        </row>
        <row r="9966">
          <cell r="A9966" t="str">
            <v>2607XE57</v>
          </cell>
          <cell r="D9966" t="str">
            <v>FTP150</v>
          </cell>
          <cell r="E9966">
            <v>46193</v>
          </cell>
        </row>
        <row r="9967">
          <cell r="A9967" t="str">
            <v>2624HT17</v>
          </cell>
          <cell r="D9967" t="str">
            <v>S706</v>
          </cell>
          <cell r="E9967">
            <v>46193</v>
          </cell>
        </row>
        <row r="9968">
          <cell r="A9968" t="str">
            <v>2620KK17</v>
          </cell>
          <cell r="D9968" t="str">
            <v>HV80</v>
          </cell>
          <cell r="E9968">
            <v>46193</v>
          </cell>
        </row>
        <row r="9969">
          <cell r="A9969" t="str">
            <v>2624I617</v>
          </cell>
          <cell r="D9969" t="str">
            <v>S706</v>
          </cell>
          <cell r="E9969">
            <v>46193</v>
          </cell>
        </row>
        <row r="9970">
          <cell r="A9970" t="str">
            <v>2623PI37</v>
          </cell>
          <cell r="D9970" t="str">
            <v>HV80</v>
          </cell>
          <cell r="E9970">
            <v>46193</v>
          </cell>
        </row>
        <row r="9971">
          <cell r="A9971" t="str">
            <v>2623LA47</v>
          </cell>
          <cell r="D9971" t="str">
            <v>S706</v>
          </cell>
          <cell r="E9971">
            <v>46193</v>
          </cell>
        </row>
        <row r="9972">
          <cell r="A9972" t="str">
            <v>2620LG27</v>
          </cell>
          <cell r="D9972" t="str">
            <v>HV80</v>
          </cell>
          <cell r="E9972">
            <v>46193</v>
          </cell>
        </row>
        <row r="9973">
          <cell r="A9973" t="str">
            <v>2624HY17</v>
          </cell>
          <cell r="D9973" t="str">
            <v>S706</v>
          </cell>
          <cell r="E9973">
            <v>46193</v>
          </cell>
        </row>
        <row r="9974">
          <cell r="A9974" t="str">
            <v>2621QD17</v>
          </cell>
          <cell r="D9974" t="str">
            <v>HV80</v>
          </cell>
          <cell r="E9974">
            <v>46193</v>
          </cell>
        </row>
        <row r="9975">
          <cell r="A9975" t="str">
            <v>2624IB17</v>
          </cell>
          <cell r="D9975" t="str">
            <v>S706</v>
          </cell>
          <cell r="E9975">
            <v>46193</v>
          </cell>
        </row>
        <row r="9976">
          <cell r="A9976" t="str">
            <v>2620IT57</v>
          </cell>
          <cell r="D9976" t="str">
            <v>HV80</v>
          </cell>
          <cell r="E9976">
            <v>46193</v>
          </cell>
        </row>
        <row r="9977">
          <cell r="A9977" t="str">
            <v>2624HQ17</v>
          </cell>
          <cell r="D9977" t="str">
            <v>S706</v>
          </cell>
          <cell r="E9977">
            <v>46193</v>
          </cell>
        </row>
        <row r="9978">
          <cell r="A9978" t="str">
            <v>2620OS37</v>
          </cell>
          <cell r="D9978" t="str">
            <v>KBP52</v>
          </cell>
          <cell r="E9978">
            <v>46193</v>
          </cell>
        </row>
        <row r="9979">
          <cell r="A9979" t="str">
            <v>2624HS17</v>
          </cell>
          <cell r="D9979" t="str">
            <v>S706</v>
          </cell>
          <cell r="E9979">
            <v>46193</v>
          </cell>
        </row>
        <row r="9980">
          <cell r="A9980" t="str">
            <v>2624I517</v>
          </cell>
          <cell r="D9980" t="str">
            <v>S706</v>
          </cell>
          <cell r="E9980">
            <v>46193</v>
          </cell>
        </row>
        <row r="9981">
          <cell r="A9981" t="str">
            <v>2623JW57</v>
          </cell>
          <cell r="D9981" t="str">
            <v>S706</v>
          </cell>
          <cell r="E9981">
            <v>46193</v>
          </cell>
        </row>
        <row r="9982">
          <cell r="A9982" t="str">
            <v>2623LQ37</v>
          </cell>
          <cell r="D9982" t="str">
            <v>FTW121KE</v>
          </cell>
          <cell r="E9982">
            <v>46193</v>
          </cell>
        </row>
        <row r="9983">
          <cell r="A9983" t="str">
            <v>2623K947</v>
          </cell>
          <cell r="D9983" t="str">
            <v>FTW121KE</v>
          </cell>
          <cell r="E9983">
            <v>46193</v>
          </cell>
        </row>
        <row r="9984">
          <cell r="A9984" t="str">
            <v>2622X657</v>
          </cell>
          <cell r="D9984" t="str">
            <v>FTW121KR</v>
          </cell>
          <cell r="E9984">
            <v>46193</v>
          </cell>
        </row>
        <row r="9985">
          <cell r="A9985" t="str">
            <v>2622LE37</v>
          </cell>
          <cell r="D9985" t="str">
            <v>FTW121KR</v>
          </cell>
          <cell r="E9985">
            <v>46193</v>
          </cell>
        </row>
        <row r="9986">
          <cell r="A9986" t="str">
            <v>2622LZ57</v>
          </cell>
          <cell r="D9986" t="str">
            <v>STA156KA</v>
          </cell>
          <cell r="E9986">
            <v>46193</v>
          </cell>
        </row>
        <row r="9987">
          <cell r="A9987" t="str">
            <v>2620KW27</v>
          </cell>
          <cell r="D9987" t="str">
            <v>KBP86</v>
          </cell>
          <cell r="E9987">
            <v>46193</v>
          </cell>
        </row>
        <row r="9988">
          <cell r="A9988" t="str">
            <v>2623KH17</v>
          </cell>
          <cell r="D9988" t="str">
            <v>FTW700</v>
          </cell>
          <cell r="E9988">
            <v>46193</v>
          </cell>
        </row>
        <row r="9989">
          <cell r="A9989" t="str">
            <v>2613I427</v>
          </cell>
          <cell r="D9989" t="str">
            <v>STA156KA</v>
          </cell>
          <cell r="E9989">
            <v>46193</v>
          </cell>
        </row>
        <row r="9990">
          <cell r="A9990" t="str">
            <v>2623S257</v>
          </cell>
          <cell r="D9990" t="str">
            <v>KBP86</v>
          </cell>
          <cell r="E9990">
            <v>46193</v>
          </cell>
        </row>
        <row r="9991">
          <cell r="A9991" t="str">
            <v>2623Q917</v>
          </cell>
          <cell r="D9991" t="str">
            <v>STA156KA</v>
          </cell>
          <cell r="E9991">
            <v>46193</v>
          </cell>
        </row>
        <row r="9992">
          <cell r="A9992" t="str">
            <v>2624D617</v>
          </cell>
          <cell r="D9992" t="str">
            <v>KBP76</v>
          </cell>
          <cell r="E9992">
            <v>46193</v>
          </cell>
        </row>
        <row r="9993">
          <cell r="A9993" t="str">
            <v>2623C167</v>
          </cell>
          <cell r="D9993" t="str">
            <v>KBP86</v>
          </cell>
          <cell r="E9993">
            <v>46193</v>
          </cell>
        </row>
        <row r="9994">
          <cell r="A9994" t="str">
            <v>2623K247</v>
          </cell>
          <cell r="D9994" t="str">
            <v>FTW700</v>
          </cell>
          <cell r="E9994">
            <v>46193</v>
          </cell>
        </row>
        <row r="9995">
          <cell r="A9995" t="str">
            <v>2611ZD17</v>
          </cell>
          <cell r="D9995" t="str">
            <v>KBP76</v>
          </cell>
          <cell r="E9995">
            <v>46193</v>
          </cell>
        </row>
        <row r="9996">
          <cell r="A9996" t="str">
            <v>2619ZX57</v>
          </cell>
          <cell r="D9996" t="str">
            <v>KBP86</v>
          </cell>
          <cell r="E9996">
            <v>46193</v>
          </cell>
        </row>
        <row r="9997">
          <cell r="A9997" t="str">
            <v>2611ZC17</v>
          </cell>
          <cell r="D9997" t="str">
            <v>KBP126</v>
          </cell>
          <cell r="E9997">
            <v>46193</v>
          </cell>
        </row>
        <row r="9998">
          <cell r="A9998" t="str">
            <v>2622DP67</v>
          </cell>
          <cell r="D9998" t="str">
            <v>KBP76</v>
          </cell>
          <cell r="E9998">
            <v>46193</v>
          </cell>
        </row>
        <row r="9999">
          <cell r="A9999" t="str">
            <v>2623F747</v>
          </cell>
          <cell r="D9999" t="str">
            <v>KBP76</v>
          </cell>
          <cell r="E9999">
            <v>46193</v>
          </cell>
        </row>
        <row r="10000">
          <cell r="A10000" t="str">
            <v>2623IM37</v>
          </cell>
          <cell r="D10000" t="str">
            <v>KBP86</v>
          </cell>
          <cell r="E10000">
            <v>46193</v>
          </cell>
        </row>
        <row r="10001">
          <cell r="A10001" t="str">
            <v>2617L517</v>
          </cell>
          <cell r="D10001" t="str">
            <v>FTP200</v>
          </cell>
          <cell r="E10001">
            <v>46193</v>
          </cell>
        </row>
        <row r="10002">
          <cell r="A10002" t="str">
            <v>2623EW90</v>
          </cell>
          <cell r="D10002" t="str">
            <v>TTS125</v>
          </cell>
          <cell r="E10002">
            <v>46193</v>
          </cell>
        </row>
        <row r="10003">
          <cell r="A10003" t="str">
            <v>2623F547</v>
          </cell>
          <cell r="D10003" t="str">
            <v>KBP76</v>
          </cell>
          <cell r="E10003">
            <v>46193</v>
          </cell>
        </row>
        <row r="10004">
          <cell r="A10004" t="str">
            <v>2621HE67</v>
          </cell>
          <cell r="D10004" t="str">
            <v>STA156KA</v>
          </cell>
          <cell r="E10004">
            <v>46193</v>
          </cell>
        </row>
        <row r="10005">
          <cell r="A10005" t="str">
            <v>2623S357</v>
          </cell>
          <cell r="D10005" t="str">
            <v>KBP86</v>
          </cell>
          <cell r="E10005">
            <v>46193</v>
          </cell>
        </row>
        <row r="10006">
          <cell r="A10006" t="str">
            <v>2622WB47</v>
          </cell>
          <cell r="D10006" t="str">
            <v>FTP200</v>
          </cell>
          <cell r="E10006">
            <v>46193</v>
          </cell>
        </row>
        <row r="10007">
          <cell r="A10007" t="str">
            <v>2622SJ17</v>
          </cell>
          <cell r="D10007" t="str">
            <v>KBP55</v>
          </cell>
          <cell r="E10007">
            <v>46193</v>
          </cell>
        </row>
        <row r="10008">
          <cell r="A10008" t="str">
            <v>2623HY67</v>
          </cell>
          <cell r="D10008" t="str">
            <v>KBP52</v>
          </cell>
          <cell r="E10008">
            <v>46193</v>
          </cell>
        </row>
        <row r="10009">
          <cell r="A10009" t="str">
            <v>2621D567</v>
          </cell>
          <cell r="D10009" t="str">
            <v>KBP52</v>
          </cell>
          <cell r="E10009">
            <v>46193</v>
          </cell>
        </row>
        <row r="10010">
          <cell r="A10010" t="str">
            <v>2623II37</v>
          </cell>
          <cell r="D10010" t="str">
            <v>KBP86</v>
          </cell>
          <cell r="E10010">
            <v>46193</v>
          </cell>
        </row>
        <row r="10011">
          <cell r="A10011" t="str">
            <v>2620O837</v>
          </cell>
          <cell r="D10011" t="str">
            <v>KBP86</v>
          </cell>
          <cell r="E10011">
            <v>46193</v>
          </cell>
        </row>
        <row r="10012">
          <cell r="A10012" t="str">
            <v>2623JA67</v>
          </cell>
          <cell r="D10012" t="str">
            <v>KBP76</v>
          </cell>
          <cell r="E10012">
            <v>46193</v>
          </cell>
        </row>
        <row r="10013">
          <cell r="A10013" t="str">
            <v>2622OA47</v>
          </cell>
          <cell r="D10013" t="str">
            <v>FTP150</v>
          </cell>
          <cell r="E10013">
            <v>46193</v>
          </cell>
        </row>
        <row r="10014">
          <cell r="A10014" t="str">
            <v>2623C367</v>
          </cell>
          <cell r="D10014" t="str">
            <v>KBP86</v>
          </cell>
          <cell r="E10014">
            <v>46193</v>
          </cell>
        </row>
        <row r="10015">
          <cell r="A10015" t="str">
            <v>2617F167</v>
          </cell>
          <cell r="D10015" t="str">
            <v>KBP76</v>
          </cell>
          <cell r="E10015">
            <v>46193</v>
          </cell>
        </row>
        <row r="10016">
          <cell r="A10016" t="str">
            <v>2623FF37</v>
          </cell>
          <cell r="D10016" t="str">
            <v>KBP76</v>
          </cell>
          <cell r="E10016">
            <v>46193</v>
          </cell>
        </row>
        <row r="10017">
          <cell r="A10017" t="str">
            <v>2620IC57</v>
          </cell>
          <cell r="D10017" t="str">
            <v>KBP86</v>
          </cell>
          <cell r="E10017">
            <v>46193</v>
          </cell>
        </row>
        <row r="10018">
          <cell r="A10018" t="str">
            <v>2622L917</v>
          </cell>
          <cell r="D10018" t="str">
            <v>FTW503</v>
          </cell>
          <cell r="E10018">
            <v>46193</v>
          </cell>
        </row>
        <row r="10019">
          <cell r="A10019" t="str">
            <v>2623FW27</v>
          </cell>
          <cell r="D10019" t="str">
            <v>FTW121KE</v>
          </cell>
          <cell r="E10019">
            <v>46193</v>
          </cell>
        </row>
        <row r="10020">
          <cell r="A10020" t="str">
            <v>2620QN37</v>
          </cell>
          <cell r="D10020" t="str">
            <v>TTS80</v>
          </cell>
          <cell r="E10020">
            <v>46193</v>
          </cell>
        </row>
        <row r="10021">
          <cell r="A10021" t="str">
            <v>2622X457</v>
          </cell>
          <cell r="D10021" t="str">
            <v>FTW121KE</v>
          </cell>
          <cell r="E10021">
            <v>46193</v>
          </cell>
        </row>
        <row r="10022">
          <cell r="A10022" t="str">
            <v>2622PJ17</v>
          </cell>
          <cell r="D10022" t="str">
            <v>KBP86</v>
          </cell>
          <cell r="E10022">
            <v>46193</v>
          </cell>
        </row>
        <row r="10023">
          <cell r="A10023" t="str">
            <v>2620KN27</v>
          </cell>
          <cell r="D10023" t="str">
            <v>KBP86</v>
          </cell>
          <cell r="E10023">
            <v>46193</v>
          </cell>
        </row>
        <row r="10024">
          <cell r="A10024" t="str">
            <v>2621U417</v>
          </cell>
          <cell r="D10024" t="str">
            <v>TTS80</v>
          </cell>
          <cell r="E10024">
            <v>46193</v>
          </cell>
        </row>
        <row r="10025">
          <cell r="A10025" t="str">
            <v>2622E367</v>
          </cell>
          <cell r="D10025" t="str">
            <v>STA156KA</v>
          </cell>
          <cell r="E10025">
            <v>46193</v>
          </cell>
        </row>
        <row r="10026">
          <cell r="A10026" t="str">
            <v>2622SW57</v>
          </cell>
          <cell r="D10026" t="str">
            <v>KBP86</v>
          </cell>
          <cell r="E10026">
            <v>46193</v>
          </cell>
        </row>
        <row r="10027">
          <cell r="A10027" t="str">
            <v>2621P117</v>
          </cell>
          <cell r="D10027" t="str">
            <v>KBP52</v>
          </cell>
          <cell r="E10027">
            <v>46193</v>
          </cell>
        </row>
        <row r="10028">
          <cell r="A10028" t="str">
            <v>2614DF80</v>
          </cell>
          <cell r="D10028" t="str">
            <v>TTS125</v>
          </cell>
          <cell r="E10028">
            <v>46193</v>
          </cell>
        </row>
        <row r="10029">
          <cell r="A10029" t="str">
            <v>2621DB57</v>
          </cell>
          <cell r="D10029" t="str">
            <v>FTP150</v>
          </cell>
          <cell r="E10029">
            <v>46193</v>
          </cell>
        </row>
        <row r="10030">
          <cell r="A10030" t="str">
            <v>2622ES37</v>
          </cell>
          <cell r="D10030" t="str">
            <v>KBP86</v>
          </cell>
          <cell r="E10030">
            <v>46193</v>
          </cell>
        </row>
        <row r="10031">
          <cell r="A10031" t="str">
            <v>2623KG47</v>
          </cell>
          <cell r="D10031" t="str">
            <v>FTW121KE</v>
          </cell>
          <cell r="E10031">
            <v>46193</v>
          </cell>
        </row>
        <row r="10032">
          <cell r="A10032" t="str">
            <v>2622S537</v>
          </cell>
          <cell r="D10032" t="str">
            <v>TTS50</v>
          </cell>
          <cell r="E10032">
            <v>46193</v>
          </cell>
        </row>
        <row r="10033">
          <cell r="A10033" t="str">
            <v>2622JZ37</v>
          </cell>
          <cell r="D10033" t="str">
            <v>FTW503</v>
          </cell>
          <cell r="E10033">
            <v>46193</v>
          </cell>
        </row>
        <row r="10034">
          <cell r="A10034" t="str">
            <v>2617LJ27</v>
          </cell>
          <cell r="D10034" t="str">
            <v>FTW503</v>
          </cell>
          <cell r="E10034">
            <v>46193</v>
          </cell>
        </row>
        <row r="10035">
          <cell r="A10035" t="str">
            <v>2621QD27</v>
          </cell>
          <cell r="D10035" t="str">
            <v>TTS80</v>
          </cell>
          <cell r="E10035">
            <v>46193</v>
          </cell>
        </row>
        <row r="10036">
          <cell r="A10036" t="str">
            <v>2622JQ37</v>
          </cell>
          <cell r="D10036" t="str">
            <v>FTW503</v>
          </cell>
          <cell r="E10036">
            <v>46193</v>
          </cell>
        </row>
        <row r="10037">
          <cell r="A10037" t="str">
            <v>2621C767</v>
          </cell>
          <cell r="D10037" t="str">
            <v>FTW503</v>
          </cell>
          <cell r="E10037">
            <v>46193</v>
          </cell>
        </row>
        <row r="10038">
          <cell r="A10038" t="str">
            <v>2623IF57</v>
          </cell>
          <cell r="D10038" t="str">
            <v>KBP126</v>
          </cell>
          <cell r="E10038">
            <v>46193</v>
          </cell>
        </row>
        <row r="10039">
          <cell r="A10039" t="str">
            <v>2623IQ37</v>
          </cell>
          <cell r="D10039" t="str">
            <v>KBP126</v>
          </cell>
          <cell r="E10039">
            <v>46193</v>
          </cell>
        </row>
        <row r="10040">
          <cell r="A10040" t="str">
            <v>2623L417</v>
          </cell>
          <cell r="D10040" t="str">
            <v>FTW121KE</v>
          </cell>
          <cell r="E10040">
            <v>46193</v>
          </cell>
        </row>
        <row r="10041">
          <cell r="A10041" t="str">
            <v>2622W347</v>
          </cell>
          <cell r="D10041" t="str">
            <v>TTS50</v>
          </cell>
          <cell r="E10041">
            <v>46193</v>
          </cell>
        </row>
        <row r="10042">
          <cell r="A10042" t="str">
            <v>2621QH27</v>
          </cell>
          <cell r="D10042" t="str">
            <v>TTS80</v>
          </cell>
          <cell r="E10042">
            <v>46193</v>
          </cell>
        </row>
        <row r="10043">
          <cell r="A10043" t="str">
            <v>2620B447</v>
          </cell>
          <cell r="D10043" t="str">
            <v>TTS50</v>
          </cell>
          <cell r="E10043">
            <v>46193</v>
          </cell>
        </row>
        <row r="10044">
          <cell r="A10044" t="str">
            <v>2622QM27</v>
          </cell>
          <cell r="D10044" t="str">
            <v>TTS80</v>
          </cell>
          <cell r="E10044">
            <v>46193</v>
          </cell>
        </row>
        <row r="10045">
          <cell r="A10045" t="str">
            <v>2622Q447</v>
          </cell>
          <cell r="D10045" t="str">
            <v>FTW121KE</v>
          </cell>
          <cell r="E10045">
            <v>46193</v>
          </cell>
        </row>
        <row r="10046">
          <cell r="A10046" t="str">
            <v>2623CP27</v>
          </cell>
          <cell r="D10046" t="str">
            <v>KBP86</v>
          </cell>
          <cell r="E10046">
            <v>46193</v>
          </cell>
        </row>
        <row r="10047">
          <cell r="A10047" t="str">
            <v>2623K647</v>
          </cell>
          <cell r="D10047" t="str">
            <v>KBP126</v>
          </cell>
          <cell r="E10047">
            <v>46193</v>
          </cell>
        </row>
        <row r="10048">
          <cell r="A10048" t="str">
            <v>2623KL47</v>
          </cell>
          <cell r="D10048" t="str">
            <v>FTW121KE</v>
          </cell>
          <cell r="E10048">
            <v>46193</v>
          </cell>
        </row>
        <row r="10049">
          <cell r="A10049" t="str">
            <v>2622V657</v>
          </cell>
          <cell r="D10049" t="str">
            <v>KBP76</v>
          </cell>
          <cell r="E10049">
            <v>46193</v>
          </cell>
        </row>
        <row r="10050">
          <cell r="A10050" t="str">
            <v>2619YQ57</v>
          </cell>
          <cell r="D10050" t="str">
            <v>KBP86</v>
          </cell>
          <cell r="E10050">
            <v>46193</v>
          </cell>
        </row>
        <row r="10051">
          <cell r="A10051" t="str">
            <v>2620QO37</v>
          </cell>
          <cell r="D10051" t="str">
            <v>TTS80</v>
          </cell>
          <cell r="E10051">
            <v>46193</v>
          </cell>
        </row>
        <row r="10052">
          <cell r="A10052" t="str">
            <v>2620O337</v>
          </cell>
          <cell r="D10052" t="str">
            <v>KBP86</v>
          </cell>
          <cell r="E10052">
            <v>46193</v>
          </cell>
        </row>
        <row r="10053">
          <cell r="A10053" t="str">
            <v>2622W647</v>
          </cell>
          <cell r="D10053" t="str">
            <v>FTP200</v>
          </cell>
          <cell r="E10053">
            <v>46193</v>
          </cell>
        </row>
        <row r="10054">
          <cell r="A10054" t="str">
            <v>2621IY27</v>
          </cell>
          <cell r="D10054" t="str">
            <v>KBP86</v>
          </cell>
          <cell r="E10054">
            <v>46193</v>
          </cell>
        </row>
        <row r="10055">
          <cell r="A10055" t="str">
            <v>2620V257</v>
          </cell>
          <cell r="D10055" t="str">
            <v>FTW503</v>
          </cell>
          <cell r="E10055">
            <v>46193</v>
          </cell>
        </row>
        <row r="10056">
          <cell r="A10056" t="str">
            <v>2622EV40</v>
          </cell>
          <cell r="D10056" t="str">
            <v>TTS125</v>
          </cell>
          <cell r="E10056">
            <v>46193</v>
          </cell>
        </row>
        <row r="10057">
          <cell r="A10057" t="str">
            <v>2622O757</v>
          </cell>
          <cell r="D10057" t="str">
            <v>STA156KA</v>
          </cell>
          <cell r="E10057">
            <v>46193</v>
          </cell>
        </row>
        <row r="10058">
          <cell r="A10058" t="str">
            <v>2622JG37</v>
          </cell>
          <cell r="D10058" t="str">
            <v>FTP150</v>
          </cell>
          <cell r="E10058">
            <v>46193</v>
          </cell>
        </row>
        <row r="10059">
          <cell r="A10059" t="str">
            <v>2623DL67</v>
          </cell>
          <cell r="D10059" t="str">
            <v>FTW503</v>
          </cell>
          <cell r="E10059">
            <v>46193</v>
          </cell>
        </row>
        <row r="10060">
          <cell r="A10060" t="str">
            <v>2622O437</v>
          </cell>
          <cell r="D10060" t="str">
            <v>KBP86</v>
          </cell>
          <cell r="E10060">
            <v>46193</v>
          </cell>
        </row>
        <row r="10061">
          <cell r="A10061" t="str">
            <v>2622SC37</v>
          </cell>
          <cell r="D10061" t="str">
            <v>TTS50</v>
          </cell>
          <cell r="E10061">
            <v>46193</v>
          </cell>
        </row>
        <row r="10062">
          <cell r="A10062" t="str">
            <v>2623LJ37</v>
          </cell>
          <cell r="D10062" t="str">
            <v>FTW121KE</v>
          </cell>
          <cell r="E10062">
            <v>46193</v>
          </cell>
        </row>
        <row r="10063">
          <cell r="A10063" t="str">
            <v>2623IX27</v>
          </cell>
          <cell r="D10063" t="str">
            <v>KBP76</v>
          </cell>
          <cell r="E10063">
            <v>46193</v>
          </cell>
        </row>
        <row r="10064">
          <cell r="A10064" t="str">
            <v>2623IE47</v>
          </cell>
          <cell r="D10064" t="str">
            <v>KBP76</v>
          </cell>
          <cell r="E10064">
            <v>46193</v>
          </cell>
        </row>
        <row r="10065">
          <cell r="A10065" t="str">
            <v>2623I167</v>
          </cell>
          <cell r="D10065" t="str">
            <v>KBP52</v>
          </cell>
          <cell r="E10065">
            <v>46193</v>
          </cell>
        </row>
        <row r="10066">
          <cell r="A10066" t="str">
            <v>2623LM37</v>
          </cell>
          <cell r="D10066" t="str">
            <v>FTW121KE</v>
          </cell>
          <cell r="E10066">
            <v>46193</v>
          </cell>
        </row>
        <row r="10067">
          <cell r="A10067" t="str">
            <v>2623KH47</v>
          </cell>
          <cell r="D10067" t="str">
            <v>FTW121KE</v>
          </cell>
          <cell r="E10067">
            <v>46193</v>
          </cell>
        </row>
        <row r="10068">
          <cell r="A10068" t="str">
            <v>2622SK17</v>
          </cell>
          <cell r="D10068" t="str">
            <v>KBP55</v>
          </cell>
          <cell r="E10068">
            <v>46193</v>
          </cell>
        </row>
        <row r="10069">
          <cell r="A10069" t="str">
            <v>2617II17</v>
          </cell>
          <cell r="D10069" t="str">
            <v>FTW503</v>
          </cell>
          <cell r="E10069">
            <v>46193</v>
          </cell>
        </row>
        <row r="10070">
          <cell r="A10070" t="str">
            <v>2623SI27</v>
          </cell>
          <cell r="D10070" t="str">
            <v>KBP126</v>
          </cell>
          <cell r="E10070">
            <v>46193</v>
          </cell>
        </row>
        <row r="10071">
          <cell r="A10071" t="str">
            <v>2621SX17</v>
          </cell>
          <cell r="D10071" t="str">
            <v>TTS80</v>
          </cell>
          <cell r="E10071">
            <v>46193</v>
          </cell>
        </row>
        <row r="10072">
          <cell r="A10072" t="str">
            <v>2623L517</v>
          </cell>
          <cell r="D10072" t="str">
            <v>FTW121KE</v>
          </cell>
          <cell r="E10072">
            <v>46193</v>
          </cell>
        </row>
        <row r="10073">
          <cell r="A10073" t="str">
            <v>2622DG67</v>
          </cell>
          <cell r="D10073" t="str">
            <v>KBP76</v>
          </cell>
          <cell r="E10073">
            <v>46193</v>
          </cell>
        </row>
        <row r="10074">
          <cell r="A10074" t="str">
            <v>2622D437</v>
          </cell>
          <cell r="D10074" t="str">
            <v>STA156KA</v>
          </cell>
          <cell r="E10074">
            <v>46193</v>
          </cell>
        </row>
        <row r="10075">
          <cell r="A10075" t="str">
            <v>2607XE57</v>
          </cell>
          <cell r="D10075" t="str">
            <v>FTP150</v>
          </cell>
          <cell r="E10075">
            <v>46193</v>
          </cell>
        </row>
        <row r="10076">
          <cell r="A10076" t="str">
            <v>2621J237</v>
          </cell>
          <cell r="D10076" t="str">
            <v>FTW503</v>
          </cell>
          <cell r="E10076">
            <v>46193</v>
          </cell>
        </row>
        <row r="10077">
          <cell r="A10077" t="str">
            <v>2623ID57</v>
          </cell>
          <cell r="D10077" t="str">
            <v>KBP126</v>
          </cell>
          <cell r="E10077">
            <v>46193</v>
          </cell>
        </row>
        <row r="10078">
          <cell r="A10078" t="str">
            <v>2623LL37</v>
          </cell>
          <cell r="D10078" t="str">
            <v>FTW121KE</v>
          </cell>
          <cell r="E10078">
            <v>46193</v>
          </cell>
        </row>
        <row r="10079">
          <cell r="A10079" t="str">
            <v>2623LS27</v>
          </cell>
          <cell r="D10079" t="str">
            <v>KBP86</v>
          </cell>
          <cell r="E10079">
            <v>46193</v>
          </cell>
        </row>
        <row r="10080">
          <cell r="A10080" t="str">
            <v>2615O557</v>
          </cell>
          <cell r="D10080" t="str">
            <v>TTS50</v>
          </cell>
          <cell r="E10080">
            <v>46193</v>
          </cell>
        </row>
        <row r="10081">
          <cell r="A10081" t="str">
            <v>2623F647</v>
          </cell>
          <cell r="D10081" t="str">
            <v>KBP76</v>
          </cell>
          <cell r="E10081">
            <v>46193</v>
          </cell>
        </row>
        <row r="10082">
          <cell r="A10082" t="str">
            <v>2620KD27</v>
          </cell>
          <cell r="D10082" t="str">
            <v>KBP86</v>
          </cell>
          <cell r="E10082">
            <v>46193</v>
          </cell>
        </row>
        <row r="10083">
          <cell r="A10083" t="str">
            <v>2622OJ47</v>
          </cell>
          <cell r="D10083" t="str">
            <v>FTW503</v>
          </cell>
          <cell r="E10083">
            <v>46193</v>
          </cell>
        </row>
        <row r="10084">
          <cell r="A10084" t="str">
            <v>2617FF37</v>
          </cell>
          <cell r="D10084" t="str">
            <v>FTW503</v>
          </cell>
          <cell r="E10084">
            <v>46193</v>
          </cell>
        </row>
        <row r="10085">
          <cell r="A10085" t="str">
            <v>2623OS17</v>
          </cell>
          <cell r="D10085" t="str">
            <v>TTS50</v>
          </cell>
          <cell r="E10085">
            <v>46193</v>
          </cell>
        </row>
        <row r="10086">
          <cell r="A10086" t="str">
            <v>2618GU27</v>
          </cell>
          <cell r="D10086" t="str">
            <v>FTW503</v>
          </cell>
          <cell r="E10086">
            <v>46193</v>
          </cell>
        </row>
        <row r="10087">
          <cell r="A10087" t="str">
            <v>2622K237</v>
          </cell>
          <cell r="D10087" t="str">
            <v>FTW503</v>
          </cell>
          <cell r="E10087">
            <v>46193</v>
          </cell>
        </row>
        <row r="10088">
          <cell r="A10088" t="str">
            <v>2622D157</v>
          </cell>
          <cell r="D10088" t="str">
            <v>KBP86</v>
          </cell>
          <cell r="E10088">
            <v>46193</v>
          </cell>
        </row>
        <row r="10089">
          <cell r="A10089" t="str">
            <v>2622LD37</v>
          </cell>
          <cell r="D10089" t="str">
            <v>FTW121KE</v>
          </cell>
          <cell r="E10089">
            <v>46193</v>
          </cell>
        </row>
        <row r="10090">
          <cell r="A10090" t="str">
            <v>2623OV17</v>
          </cell>
          <cell r="D10090" t="str">
            <v>TTS50</v>
          </cell>
          <cell r="E10090">
            <v>46193</v>
          </cell>
        </row>
        <row r="10091">
          <cell r="A10091" t="str">
            <v>2622XE57</v>
          </cell>
          <cell r="D10091" t="str">
            <v>FTW121KE</v>
          </cell>
          <cell r="E10091">
            <v>46193</v>
          </cell>
        </row>
        <row r="10092">
          <cell r="A10092" t="str">
            <v>2622XI57</v>
          </cell>
          <cell r="D10092" t="str">
            <v>FTW121KE</v>
          </cell>
          <cell r="E10092">
            <v>46193</v>
          </cell>
        </row>
        <row r="10093">
          <cell r="A10093" t="str">
            <v>2623EL67</v>
          </cell>
          <cell r="D10093" t="str">
            <v>FTW700</v>
          </cell>
          <cell r="E10093">
            <v>46193</v>
          </cell>
        </row>
        <row r="10094">
          <cell r="A10094" t="str">
            <v>2622JO37</v>
          </cell>
          <cell r="D10094" t="str">
            <v>FTW503</v>
          </cell>
          <cell r="E10094">
            <v>46193</v>
          </cell>
        </row>
        <row r="10095">
          <cell r="A10095" t="str">
            <v>2621K847</v>
          </cell>
          <cell r="D10095" t="str">
            <v>FTW503</v>
          </cell>
          <cell r="E10095">
            <v>46193</v>
          </cell>
        </row>
        <row r="10096">
          <cell r="A10096" t="str">
            <v>2622O657</v>
          </cell>
          <cell r="D10096" t="str">
            <v>STA156KA</v>
          </cell>
          <cell r="E10096">
            <v>46193</v>
          </cell>
        </row>
        <row r="10097">
          <cell r="A10097" t="str">
            <v>2621EY57</v>
          </cell>
          <cell r="D10097" t="str">
            <v>TTS50</v>
          </cell>
          <cell r="E10097">
            <v>46193</v>
          </cell>
        </row>
        <row r="10098">
          <cell r="A10098" t="str">
            <v>2621HC67</v>
          </cell>
          <cell r="D10098" t="str">
            <v>STA156KA</v>
          </cell>
          <cell r="E10098">
            <v>46193</v>
          </cell>
        </row>
        <row r="10099">
          <cell r="A10099" t="str">
            <v>2612D927</v>
          </cell>
          <cell r="D10099" t="str">
            <v>KBP76</v>
          </cell>
          <cell r="E10099">
            <v>46193</v>
          </cell>
        </row>
        <row r="10100">
          <cell r="A10100" t="str">
            <v>2620EW47</v>
          </cell>
          <cell r="D10100" t="str">
            <v>TTS80</v>
          </cell>
          <cell r="E10100">
            <v>46193</v>
          </cell>
        </row>
        <row r="10101">
          <cell r="A10101" t="str">
            <v>2623D467</v>
          </cell>
          <cell r="D10101" t="str">
            <v>KBP76</v>
          </cell>
          <cell r="E10101">
            <v>46193</v>
          </cell>
        </row>
        <row r="10102">
          <cell r="A10102" t="str">
            <v>2622LC27</v>
          </cell>
          <cell r="D10102" t="str">
            <v>KBP86</v>
          </cell>
          <cell r="E10102">
            <v>46193</v>
          </cell>
        </row>
        <row r="10103">
          <cell r="A10103" t="str">
            <v>2622BJ67</v>
          </cell>
          <cell r="D10103" t="str">
            <v>KBP86</v>
          </cell>
          <cell r="E10103">
            <v>46193</v>
          </cell>
        </row>
        <row r="10104">
          <cell r="A10104" t="str">
            <v>2619WB27</v>
          </cell>
          <cell r="D10104" t="str">
            <v>TTS50</v>
          </cell>
          <cell r="E10104">
            <v>46193</v>
          </cell>
        </row>
        <row r="10105">
          <cell r="A10105" t="str">
            <v>2617I917</v>
          </cell>
          <cell r="D10105" t="str">
            <v>FTW503</v>
          </cell>
          <cell r="E10105">
            <v>46193</v>
          </cell>
        </row>
        <row r="10106">
          <cell r="A10106" t="str">
            <v>2620OS37</v>
          </cell>
          <cell r="D10106" t="str">
            <v>KBP52</v>
          </cell>
          <cell r="E10106">
            <v>46193</v>
          </cell>
        </row>
        <row r="10107">
          <cell r="A10107" t="str">
            <v>2623L217</v>
          </cell>
          <cell r="D10107" t="str">
            <v>FTW121KE</v>
          </cell>
          <cell r="E10107">
            <v>46193</v>
          </cell>
        </row>
        <row r="10108">
          <cell r="A10108" t="str">
            <v>2623FE37</v>
          </cell>
          <cell r="D10108" t="str">
            <v>KBP76</v>
          </cell>
          <cell r="E10108">
            <v>46193</v>
          </cell>
        </row>
        <row r="10109">
          <cell r="A10109" t="str">
            <v>2623JB27</v>
          </cell>
          <cell r="D10109" t="str">
            <v>FTP200</v>
          </cell>
          <cell r="E10109">
            <v>46193</v>
          </cell>
        </row>
        <row r="10110">
          <cell r="A10110" t="str">
            <v>2623IK37</v>
          </cell>
          <cell r="D10110" t="str">
            <v>KBP86</v>
          </cell>
          <cell r="E10110">
            <v>46193</v>
          </cell>
        </row>
        <row r="10111">
          <cell r="A10111" t="str">
            <v>2623FK27</v>
          </cell>
          <cell r="D10111" t="str">
            <v>FTW121KR</v>
          </cell>
          <cell r="E10111">
            <v>46193</v>
          </cell>
        </row>
        <row r="10112">
          <cell r="A10112" t="str">
            <v>2623IB57</v>
          </cell>
          <cell r="D10112" t="str">
            <v>KBP126</v>
          </cell>
          <cell r="E10112">
            <v>46193</v>
          </cell>
        </row>
        <row r="10113">
          <cell r="A10113" t="str">
            <v>2622O857</v>
          </cell>
          <cell r="D10113" t="str">
            <v>STA156KA</v>
          </cell>
          <cell r="E10113">
            <v>46193</v>
          </cell>
        </row>
        <row r="10114">
          <cell r="A10114" t="str">
            <v>2623IV27</v>
          </cell>
          <cell r="D10114" t="str">
            <v>KBP76</v>
          </cell>
          <cell r="E10114">
            <v>46193</v>
          </cell>
        </row>
        <row r="10115">
          <cell r="A10115" t="str">
            <v>2623DK57</v>
          </cell>
          <cell r="D10115" t="str">
            <v>KBP76</v>
          </cell>
          <cell r="E10115">
            <v>46193</v>
          </cell>
        </row>
        <row r="10116">
          <cell r="A10116" t="str">
            <v>2620EZ47</v>
          </cell>
          <cell r="D10116" t="str">
            <v>TTS80</v>
          </cell>
          <cell r="E10116">
            <v>46193</v>
          </cell>
        </row>
        <row r="10117">
          <cell r="A10117" t="str">
            <v>2623ST37</v>
          </cell>
          <cell r="D10117" t="str">
            <v>TTS80</v>
          </cell>
          <cell r="E10117">
            <v>46193</v>
          </cell>
        </row>
        <row r="10118">
          <cell r="A10118" t="str">
            <v>2623LS47</v>
          </cell>
          <cell r="D10118" t="str">
            <v>KBP76</v>
          </cell>
          <cell r="E10118">
            <v>46193</v>
          </cell>
        </row>
        <row r="10119">
          <cell r="A10119" t="str">
            <v>2622OE47</v>
          </cell>
          <cell r="D10119" t="str">
            <v>FTW503</v>
          </cell>
          <cell r="E10119">
            <v>46193</v>
          </cell>
        </row>
        <row r="10120">
          <cell r="A10120" t="str">
            <v>2623I147</v>
          </cell>
          <cell r="D10120" t="str">
            <v>KBP86</v>
          </cell>
          <cell r="E10120">
            <v>46193</v>
          </cell>
        </row>
        <row r="10121">
          <cell r="A10121" t="str">
            <v>2619Z357</v>
          </cell>
          <cell r="D10121" t="str">
            <v>KBP86</v>
          </cell>
          <cell r="E10121">
            <v>46193</v>
          </cell>
        </row>
        <row r="10122">
          <cell r="A10122" t="str">
            <v>2623FB17</v>
          </cell>
          <cell r="D10122" t="str">
            <v>KBP86</v>
          </cell>
          <cell r="E10122">
            <v>46193</v>
          </cell>
        </row>
        <row r="10123">
          <cell r="A10123" t="str">
            <v>2620HE57</v>
          </cell>
          <cell r="D10123" t="str">
            <v>KBP86</v>
          </cell>
          <cell r="E10123">
            <v>46193</v>
          </cell>
        </row>
        <row r="10124">
          <cell r="A10124" t="str">
            <v>2623OB17</v>
          </cell>
          <cell r="D10124" t="str">
            <v>KBP86</v>
          </cell>
          <cell r="E10124">
            <v>46193</v>
          </cell>
        </row>
        <row r="10125">
          <cell r="A10125" t="str">
            <v>2623JK27</v>
          </cell>
          <cell r="D10125" t="str">
            <v>TTS80</v>
          </cell>
          <cell r="E10125">
            <v>46193</v>
          </cell>
        </row>
        <row r="10126">
          <cell r="A10126" t="str">
            <v>2622LI47</v>
          </cell>
          <cell r="D10126" t="str">
            <v>KBP86</v>
          </cell>
          <cell r="E10126">
            <v>46193</v>
          </cell>
        </row>
        <row r="10127">
          <cell r="A10127" t="str">
            <v>2621GK27</v>
          </cell>
          <cell r="D10127" t="str">
            <v>FTW503</v>
          </cell>
          <cell r="E10127">
            <v>46193</v>
          </cell>
        </row>
        <row r="10128">
          <cell r="A10128" t="str">
            <v>2623CG67</v>
          </cell>
          <cell r="D10128" t="str">
            <v>KBP86</v>
          </cell>
          <cell r="E10128">
            <v>46193</v>
          </cell>
        </row>
        <row r="10129">
          <cell r="A10129" t="str">
            <v>2621HX67</v>
          </cell>
          <cell r="D10129" t="str">
            <v>KBP55</v>
          </cell>
          <cell r="E10129">
            <v>46193</v>
          </cell>
        </row>
        <row r="10130">
          <cell r="A10130" t="str">
            <v>2620DD67</v>
          </cell>
          <cell r="D10130" t="str">
            <v>TTS80</v>
          </cell>
          <cell r="E10130">
            <v>46193</v>
          </cell>
        </row>
        <row r="10131">
          <cell r="A10131" t="str">
            <v>2623IW27</v>
          </cell>
          <cell r="D10131" t="str">
            <v>KBP76</v>
          </cell>
          <cell r="E10131">
            <v>46193</v>
          </cell>
        </row>
        <row r="10132">
          <cell r="A10132" t="str">
            <v>2622Q427</v>
          </cell>
          <cell r="D10132" t="str">
            <v>STA156KA</v>
          </cell>
          <cell r="E10132">
            <v>46193</v>
          </cell>
        </row>
        <row r="10133">
          <cell r="A10133" t="str">
            <v>2621PC17</v>
          </cell>
          <cell r="D10133" t="str">
            <v>KBP86</v>
          </cell>
          <cell r="E10133">
            <v>46193</v>
          </cell>
        </row>
        <row r="10134">
          <cell r="A10134" t="str">
            <v>2622PR17</v>
          </cell>
          <cell r="D10134" t="str">
            <v>HV80</v>
          </cell>
          <cell r="E10134">
            <v>46192</v>
          </cell>
        </row>
        <row r="10135">
          <cell r="A10135" t="str">
            <v>2618Z537</v>
          </cell>
          <cell r="D10135" t="str">
            <v>S706</v>
          </cell>
          <cell r="E10135">
            <v>46192</v>
          </cell>
        </row>
        <row r="10136">
          <cell r="A10136" t="str">
            <v>2621L737</v>
          </cell>
          <cell r="D10136" t="str">
            <v>KBP34</v>
          </cell>
          <cell r="E10136">
            <v>46192</v>
          </cell>
        </row>
        <row r="10137">
          <cell r="A10137" t="str">
            <v>2623O147</v>
          </cell>
          <cell r="D10137" t="str">
            <v>KBP55</v>
          </cell>
          <cell r="E10137">
            <v>46192</v>
          </cell>
        </row>
        <row r="10138">
          <cell r="A10138" t="str">
            <v>2618Z537</v>
          </cell>
          <cell r="D10138" t="str">
            <v>S706</v>
          </cell>
          <cell r="E10138">
            <v>46192</v>
          </cell>
        </row>
        <row r="10139">
          <cell r="A10139" t="str">
            <v>2623CZ37</v>
          </cell>
          <cell r="D10139" t="str">
            <v>S15MB</v>
          </cell>
          <cell r="E10139">
            <v>46192</v>
          </cell>
        </row>
        <row r="10140">
          <cell r="A10140" t="str">
            <v>2623PG37</v>
          </cell>
          <cell r="D10140" t="str">
            <v>HV80</v>
          </cell>
          <cell r="E10140">
            <v>46192</v>
          </cell>
        </row>
        <row r="10141">
          <cell r="A10141" t="str">
            <v>2623DN47</v>
          </cell>
          <cell r="D10141" t="str">
            <v>S15MB</v>
          </cell>
          <cell r="E10141">
            <v>46192</v>
          </cell>
        </row>
        <row r="10142">
          <cell r="A10142" t="str">
            <v>2620PA37</v>
          </cell>
          <cell r="D10142" t="str">
            <v>HV80</v>
          </cell>
          <cell r="E10142">
            <v>46192</v>
          </cell>
        </row>
        <row r="10143">
          <cell r="A10143" t="str">
            <v>2623BL67</v>
          </cell>
          <cell r="D10143" t="str">
            <v>KBP86</v>
          </cell>
          <cell r="E10143">
            <v>46192</v>
          </cell>
        </row>
        <row r="10144">
          <cell r="A10144" t="str">
            <v>2620KR17</v>
          </cell>
          <cell r="D10144" t="str">
            <v>HV80</v>
          </cell>
          <cell r="E10144">
            <v>46192</v>
          </cell>
        </row>
        <row r="10145">
          <cell r="A10145" t="str">
            <v>2622JJ37</v>
          </cell>
          <cell r="D10145" t="str">
            <v>FTW503</v>
          </cell>
          <cell r="E10145">
            <v>46192</v>
          </cell>
        </row>
        <row r="10146">
          <cell r="A10146" t="str">
            <v>2620KP17</v>
          </cell>
          <cell r="D10146" t="str">
            <v>HV80</v>
          </cell>
          <cell r="E10146">
            <v>46192</v>
          </cell>
        </row>
        <row r="10147">
          <cell r="A10147" t="str">
            <v>2621JT27</v>
          </cell>
          <cell r="D10147" t="str">
            <v>KBP86</v>
          </cell>
          <cell r="E10147">
            <v>46192</v>
          </cell>
        </row>
        <row r="10148">
          <cell r="A10148" t="str">
            <v>2622OA27</v>
          </cell>
          <cell r="D10148" t="str">
            <v>HV80</v>
          </cell>
          <cell r="E10148">
            <v>46192</v>
          </cell>
        </row>
        <row r="10149">
          <cell r="A10149" t="str">
            <v>2622AL67</v>
          </cell>
          <cell r="D10149" t="str">
            <v>KBP86</v>
          </cell>
          <cell r="E10149">
            <v>46192</v>
          </cell>
        </row>
        <row r="10150">
          <cell r="A10150" t="str">
            <v>2622CM67</v>
          </cell>
          <cell r="D10150" t="str">
            <v>HV80</v>
          </cell>
          <cell r="E10150">
            <v>46192</v>
          </cell>
        </row>
        <row r="10151">
          <cell r="A10151" t="str">
            <v>2623C467</v>
          </cell>
          <cell r="D10151" t="str">
            <v>KBP86</v>
          </cell>
          <cell r="E10151">
            <v>46192</v>
          </cell>
        </row>
        <row r="10152">
          <cell r="A10152" t="str">
            <v>2622CF67</v>
          </cell>
          <cell r="D10152" t="str">
            <v>HV80</v>
          </cell>
          <cell r="E10152">
            <v>46192</v>
          </cell>
        </row>
        <row r="10153">
          <cell r="A10153" t="str">
            <v>2623OT17</v>
          </cell>
          <cell r="D10153" t="str">
            <v>TTS50</v>
          </cell>
          <cell r="E10153">
            <v>46192</v>
          </cell>
        </row>
        <row r="10154">
          <cell r="A10154" t="str">
            <v>2622C767</v>
          </cell>
          <cell r="D10154" t="str">
            <v>HV80</v>
          </cell>
          <cell r="E10154">
            <v>46192</v>
          </cell>
        </row>
        <row r="10155">
          <cell r="A10155" t="str">
            <v>2623L337</v>
          </cell>
          <cell r="D10155" t="str">
            <v>FTW121KR</v>
          </cell>
          <cell r="E10155">
            <v>46192</v>
          </cell>
        </row>
        <row r="10156">
          <cell r="A10156" t="str">
            <v>2623OO17</v>
          </cell>
          <cell r="D10156" t="str">
            <v>HV80</v>
          </cell>
          <cell r="E10156">
            <v>46192</v>
          </cell>
        </row>
        <row r="10157">
          <cell r="A10157" t="str">
            <v>2622QU47</v>
          </cell>
          <cell r="D10157" t="str">
            <v>FTW121KR</v>
          </cell>
          <cell r="E10157">
            <v>46192</v>
          </cell>
        </row>
        <row r="10158">
          <cell r="A10158" t="str">
            <v>2622PR17</v>
          </cell>
          <cell r="D10158" t="str">
            <v>HV80</v>
          </cell>
          <cell r="E10158">
            <v>46192</v>
          </cell>
        </row>
        <row r="10159">
          <cell r="A10159" t="str">
            <v>2622XG57</v>
          </cell>
          <cell r="D10159" t="str">
            <v>FTW121KR</v>
          </cell>
          <cell r="E10159">
            <v>46192</v>
          </cell>
        </row>
        <row r="10160">
          <cell r="A10160" t="str">
            <v>2623FZ27</v>
          </cell>
          <cell r="D10160" t="str">
            <v>FTW121KR</v>
          </cell>
          <cell r="E10160">
            <v>46192</v>
          </cell>
        </row>
        <row r="10161">
          <cell r="A10161" t="str">
            <v>2618HU17</v>
          </cell>
          <cell r="D10161" t="str">
            <v>FTW503</v>
          </cell>
          <cell r="E10161">
            <v>46192</v>
          </cell>
        </row>
        <row r="10162">
          <cell r="A10162" t="str">
            <v>2620HV57</v>
          </cell>
          <cell r="D10162" t="str">
            <v>KBP86</v>
          </cell>
          <cell r="E10162">
            <v>46192</v>
          </cell>
        </row>
        <row r="10163">
          <cell r="A10163" t="str">
            <v>2616O157</v>
          </cell>
          <cell r="D10163" t="str">
            <v>KBP76</v>
          </cell>
          <cell r="E10163">
            <v>46192</v>
          </cell>
        </row>
        <row r="10164">
          <cell r="A10164" t="str">
            <v>2622E867</v>
          </cell>
          <cell r="D10164" t="str">
            <v>KBP74</v>
          </cell>
          <cell r="E10164">
            <v>46192</v>
          </cell>
        </row>
        <row r="10165">
          <cell r="A10165" t="str">
            <v>2622QA37</v>
          </cell>
          <cell r="D10165" t="str">
            <v>KBP76</v>
          </cell>
          <cell r="E10165">
            <v>46192</v>
          </cell>
        </row>
        <row r="10166">
          <cell r="A10166" t="str">
            <v>2623FB37</v>
          </cell>
          <cell r="D10166" t="str">
            <v>KBP86</v>
          </cell>
          <cell r="E10166">
            <v>46192</v>
          </cell>
        </row>
        <row r="10167">
          <cell r="A10167" t="str">
            <v>2624IA17</v>
          </cell>
          <cell r="D10167" t="str">
            <v>S706</v>
          </cell>
          <cell r="E10167">
            <v>46192</v>
          </cell>
        </row>
        <row r="10168">
          <cell r="A10168" t="str">
            <v>2623O167</v>
          </cell>
          <cell r="D10168" t="str">
            <v>TTS80</v>
          </cell>
          <cell r="E10168">
            <v>46192</v>
          </cell>
        </row>
        <row r="10169">
          <cell r="A10169" t="str">
            <v>2623I347</v>
          </cell>
          <cell r="D10169" t="str">
            <v>KBP86</v>
          </cell>
          <cell r="E10169">
            <v>46192</v>
          </cell>
        </row>
        <row r="10170">
          <cell r="A10170" t="str">
            <v>2622O257</v>
          </cell>
          <cell r="D10170" t="str">
            <v>S15MB</v>
          </cell>
          <cell r="E10170">
            <v>46192</v>
          </cell>
        </row>
        <row r="10171">
          <cell r="A10171" t="str">
            <v>2623QF17</v>
          </cell>
          <cell r="D10171" t="str">
            <v>KBP55</v>
          </cell>
          <cell r="E10171">
            <v>46192</v>
          </cell>
        </row>
        <row r="10172">
          <cell r="A10172" t="str">
            <v>2623FD27</v>
          </cell>
          <cell r="D10172" t="str">
            <v>FTW700</v>
          </cell>
          <cell r="E10172">
            <v>46192</v>
          </cell>
        </row>
        <row r="10173">
          <cell r="A10173" t="str">
            <v>2623H767</v>
          </cell>
          <cell r="D10173" t="str">
            <v>KBP52</v>
          </cell>
          <cell r="E10173">
            <v>46192</v>
          </cell>
        </row>
        <row r="10174">
          <cell r="A10174" t="str">
            <v>2622QI47</v>
          </cell>
          <cell r="D10174" t="str">
            <v>FTW121KE</v>
          </cell>
          <cell r="E10174">
            <v>46192</v>
          </cell>
        </row>
        <row r="10175">
          <cell r="A10175" t="str">
            <v>2623L117</v>
          </cell>
          <cell r="D10175" t="str">
            <v>FTW121KE</v>
          </cell>
          <cell r="E10175">
            <v>46192</v>
          </cell>
        </row>
        <row r="10176">
          <cell r="A10176" t="str">
            <v>2612LV47</v>
          </cell>
          <cell r="D10176" t="str">
            <v>KBP76</v>
          </cell>
          <cell r="E10176">
            <v>46192</v>
          </cell>
        </row>
        <row r="10177">
          <cell r="A10177" t="str">
            <v>2619YE57</v>
          </cell>
          <cell r="D10177" t="str">
            <v>KBP86</v>
          </cell>
          <cell r="E10177">
            <v>46192</v>
          </cell>
        </row>
        <row r="10178">
          <cell r="A10178" t="str">
            <v>2620CY47</v>
          </cell>
          <cell r="D10178" t="str">
            <v>KBP86</v>
          </cell>
          <cell r="E10178">
            <v>46192</v>
          </cell>
        </row>
        <row r="10179">
          <cell r="A10179" t="str">
            <v>2623QC17</v>
          </cell>
          <cell r="D10179" t="str">
            <v>KBP55</v>
          </cell>
          <cell r="E10179">
            <v>46192</v>
          </cell>
        </row>
        <row r="10180">
          <cell r="A10180" t="str">
            <v>2617IF17</v>
          </cell>
          <cell r="D10180" t="str">
            <v>FTW503</v>
          </cell>
          <cell r="E10180">
            <v>46192</v>
          </cell>
        </row>
        <row r="10181">
          <cell r="A10181" t="str">
            <v>2621LT47</v>
          </cell>
          <cell r="D10181" t="str">
            <v>KBP86</v>
          </cell>
          <cell r="E10181">
            <v>46192</v>
          </cell>
        </row>
        <row r="10182">
          <cell r="A10182" t="str">
            <v>2623JU57</v>
          </cell>
          <cell r="D10182" t="str">
            <v>S706</v>
          </cell>
          <cell r="E10182">
            <v>46192</v>
          </cell>
        </row>
        <row r="10183">
          <cell r="A10183" t="str">
            <v>2617ID17</v>
          </cell>
          <cell r="D10183" t="str">
            <v>FTW503</v>
          </cell>
          <cell r="E10183">
            <v>46192</v>
          </cell>
        </row>
        <row r="10184">
          <cell r="A10184" t="str">
            <v>2623G927</v>
          </cell>
          <cell r="D10184" t="str">
            <v>KBP86</v>
          </cell>
          <cell r="E10184">
            <v>46192</v>
          </cell>
        </row>
        <row r="10185">
          <cell r="A10185" t="str">
            <v>2623L647</v>
          </cell>
          <cell r="D10185" t="str">
            <v>TTS50</v>
          </cell>
          <cell r="E10185">
            <v>46192</v>
          </cell>
        </row>
        <row r="10186">
          <cell r="A10186" t="str">
            <v>2622P927</v>
          </cell>
          <cell r="D10186" t="str">
            <v>KBP76</v>
          </cell>
          <cell r="E10186">
            <v>46192</v>
          </cell>
        </row>
        <row r="10187">
          <cell r="A10187" t="str">
            <v>2621D757</v>
          </cell>
          <cell r="D10187" t="str">
            <v>FTP150</v>
          </cell>
          <cell r="E10187">
            <v>46192</v>
          </cell>
        </row>
        <row r="10188">
          <cell r="A10188" t="str">
            <v>2623HV17</v>
          </cell>
          <cell r="D10188" t="str">
            <v>KBP86</v>
          </cell>
          <cell r="E10188">
            <v>46192</v>
          </cell>
        </row>
        <row r="10189">
          <cell r="A10189" t="str">
            <v>2616OO57</v>
          </cell>
          <cell r="D10189" t="str">
            <v>FTW503</v>
          </cell>
          <cell r="E10189">
            <v>46192</v>
          </cell>
        </row>
        <row r="10190">
          <cell r="A10190" t="str">
            <v>2623ID47</v>
          </cell>
          <cell r="D10190" t="str">
            <v>KBP76</v>
          </cell>
          <cell r="E10190">
            <v>46192</v>
          </cell>
        </row>
        <row r="10191">
          <cell r="A10191" t="str">
            <v>2623I957</v>
          </cell>
          <cell r="D10191" t="str">
            <v>KBP126</v>
          </cell>
          <cell r="E10191">
            <v>46192</v>
          </cell>
        </row>
        <row r="10192">
          <cell r="A10192" t="str">
            <v>2623CD27</v>
          </cell>
          <cell r="D10192" t="str">
            <v>KBP86</v>
          </cell>
          <cell r="E10192">
            <v>46192</v>
          </cell>
        </row>
        <row r="10193">
          <cell r="A10193" t="str">
            <v>2624D417</v>
          </cell>
          <cell r="D10193" t="str">
            <v>KBP76</v>
          </cell>
          <cell r="E10193">
            <v>46192</v>
          </cell>
        </row>
        <row r="10194">
          <cell r="A10194" t="str">
            <v>2620CT47</v>
          </cell>
          <cell r="D10194" t="str">
            <v>KBP86</v>
          </cell>
          <cell r="E10194">
            <v>46192</v>
          </cell>
        </row>
        <row r="10195">
          <cell r="A10195" t="str">
            <v>2622EY67</v>
          </cell>
          <cell r="D10195" t="str">
            <v>TTS80</v>
          </cell>
          <cell r="E10195">
            <v>46192</v>
          </cell>
        </row>
        <row r="10196">
          <cell r="A10196" t="str">
            <v>2623SG37</v>
          </cell>
          <cell r="D10196" t="str">
            <v>TTS80</v>
          </cell>
          <cell r="E10196">
            <v>46192</v>
          </cell>
        </row>
        <row r="10197">
          <cell r="A10197" t="str">
            <v>2623JO57</v>
          </cell>
          <cell r="D10197" t="str">
            <v>TTS50</v>
          </cell>
          <cell r="E10197">
            <v>46192</v>
          </cell>
        </row>
        <row r="10198">
          <cell r="A10198" t="str">
            <v>2623PU57</v>
          </cell>
          <cell r="D10198" t="str">
            <v>S15MB</v>
          </cell>
          <cell r="E10198">
            <v>46192</v>
          </cell>
        </row>
        <row r="10199">
          <cell r="A10199" t="str">
            <v>2621IX27</v>
          </cell>
          <cell r="D10199" t="str">
            <v>KBP86</v>
          </cell>
          <cell r="E10199">
            <v>46192</v>
          </cell>
        </row>
        <row r="10200">
          <cell r="A10200" t="str">
            <v>2622JL37</v>
          </cell>
          <cell r="D10200" t="str">
            <v>FTW503</v>
          </cell>
          <cell r="E10200">
            <v>46192</v>
          </cell>
        </row>
        <row r="10201">
          <cell r="A10201" t="str">
            <v>2623AF57</v>
          </cell>
          <cell r="D10201" t="str">
            <v>S15MB</v>
          </cell>
          <cell r="E10201">
            <v>46192</v>
          </cell>
        </row>
        <row r="10202">
          <cell r="A10202" t="str">
            <v>2621DC57</v>
          </cell>
          <cell r="D10202" t="str">
            <v>FTP150</v>
          </cell>
          <cell r="E10202">
            <v>46192</v>
          </cell>
        </row>
        <row r="10203">
          <cell r="A10203" t="str">
            <v>2623D667</v>
          </cell>
          <cell r="D10203" t="str">
            <v>KBP76</v>
          </cell>
          <cell r="E10203">
            <v>46192</v>
          </cell>
        </row>
        <row r="10204">
          <cell r="A10204" t="str">
            <v>2623HX47</v>
          </cell>
          <cell r="D10204" t="str">
            <v>KBP86</v>
          </cell>
          <cell r="E10204">
            <v>46192</v>
          </cell>
        </row>
        <row r="10205">
          <cell r="A10205" t="str">
            <v>2617O557</v>
          </cell>
          <cell r="D10205" t="str">
            <v>FTW503</v>
          </cell>
          <cell r="E10205">
            <v>46192</v>
          </cell>
        </row>
        <row r="10206">
          <cell r="A10206" t="str">
            <v>2623GZ27</v>
          </cell>
          <cell r="D10206" t="str">
            <v>KBP52</v>
          </cell>
          <cell r="E10206">
            <v>46192</v>
          </cell>
        </row>
        <row r="10207">
          <cell r="A10207" t="str">
            <v>2623LH47</v>
          </cell>
          <cell r="D10207" t="str">
            <v>S706</v>
          </cell>
          <cell r="E10207">
            <v>46192</v>
          </cell>
        </row>
        <row r="10208">
          <cell r="A10208" t="str">
            <v>2622FI67</v>
          </cell>
          <cell r="D10208" t="str">
            <v>TTS80</v>
          </cell>
          <cell r="E10208">
            <v>46192</v>
          </cell>
        </row>
        <row r="10209">
          <cell r="A10209" t="str">
            <v>2623PW37</v>
          </cell>
          <cell r="D10209" t="str">
            <v>S706</v>
          </cell>
          <cell r="E10209">
            <v>46192</v>
          </cell>
        </row>
        <row r="10210">
          <cell r="A10210" t="str">
            <v>2616IQ37</v>
          </cell>
          <cell r="D10210" t="str">
            <v>TTS50</v>
          </cell>
          <cell r="E10210">
            <v>46192</v>
          </cell>
        </row>
        <row r="10211">
          <cell r="A10211" t="str">
            <v>2617IN17</v>
          </cell>
          <cell r="D10211" t="str">
            <v>FTW503</v>
          </cell>
          <cell r="E10211">
            <v>46192</v>
          </cell>
        </row>
        <row r="10212">
          <cell r="A10212" t="str">
            <v>2616DS80</v>
          </cell>
          <cell r="D10212" t="str">
            <v>TTS12KM</v>
          </cell>
          <cell r="E10212">
            <v>46192</v>
          </cell>
        </row>
        <row r="10213">
          <cell r="A10213" t="str">
            <v>2623PV37</v>
          </cell>
          <cell r="D10213" t="str">
            <v>S706</v>
          </cell>
          <cell r="E10213">
            <v>46192</v>
          </cell>
        </row>
        <row r="10214">
          <cell r="A10214" t="str">
            <v>2623SO37</v>
          </cell>
          <cell r="D10214" t="str">
            <v>TTS80</v>
          </cell>
          <cell r="E10214">
            <v>46192</v>
          </cell>
        </row>
        <row r="10215">
          <cell r="A10215" t="str">
            <v>2621L317</v>
          </cell>
          <cell r="D10215" t="str">
            <v>KBP76</v>
          </cell>
          <cell r="E10215">
            <v>46192</v>
          </cell>
        </row>
        <row r="10216">
          <cell r="A10216" t="str">
            <v>2622S547</v>
          </cell>
          <cell r="D10216" t="str">
            <v>KBP86</v>
          </cell>
          <cell r="E10216">
            <v>46192</v>
          </cell>
        </row>
        <row r="10217">
          <cell r="A10217" t="str">
            <v>2623QH17</v>
          </cell>
          <cell r="D10217" t="str">
            <v>KBP55</v>
          </cell>
          <cell r="E10217">
            <v>46192</v>
          </cell>
        </row>
        <row r="10218">
          <cell r="A10218" t="str">
            <v>2620KP27</v>
          </cell>
          <cell r="D10218" t="str">
            <v>KBP86</v>
          </cell>
          <cell r="E10218">
            <v>46192</v>
          </cell>
        </row>
        <row r="10219">
          <cell r="A10219" t="str">
            <v>2617O357</v>
          </cell>
          <cell r="D10219" t="str">
            <v>FTW503</v>
          </cell>
          <cell r="E10219">
            <v>46192</v>
          </cell>
        </row>
        <row r="10220">
          <cell r="A10220" t="str">
            <v>2622DE67</v>
          </cell>
          <cell r="D10220" t="str">
            <v>KBP76</v>
          </cell>
          <cell r="E10220">
            <v>46192</v>
          </cell>
        </row>
        <row r="10221">
          <cell r="A10221" t="str">
            <v>2620XL57</v>
          </cell>
          <cell r="D10221" t="str">
            <v>KBP86</v>
          </cell>
          <cell r="E10221">
            <v>46192</v>
          </cell>
        </row>
        <row r="10222">
          <cell r="A10222" t="str">
            <v>2623KM17</v>
          </cell>
          <cell r="D10222" t="str">
            <v>KBP126</v>
          </cell>
          <cell r="E10222">
            <v>46192</v>
          </cell>
        </row>
        <row r="10223">
          <cell r="A10223" t="str">
            <v>2623KZ37</v>
          </cell>
          <cell r="D10223" t="str">
            <v>FTW700</v>
          </cell>
          <cell r="E10223">
            <v>46192</v>
          </cell>
        </row>
        <row r="10224">
          <cell r="A10224" t="str">
            <v>2623Q337</v>
          </cell>
          <cell r="D10224" t="str">
            <v>KBP76</v>
          </cell>
          <cell r="E10224">
            <v>46192</v>
          </cell>
        </row>
        <row r="10225">
          <cell r="A10225" t="str">
            <v>2623S237</v>
          </cell>
          <cell r="D10225" t="str">
            <v>STA156KA</v>
          </cell>
          <cell r="E10225">
            <v>46192</v>
          </cell>
        </row>
        <row r="10226">
          <cell r="A10226" t="str">
            <v>2623S137</v>
          </cell>
          <cell r="D10226" t="str">
            <v>STA156KA</v>
          </cell>
          <cell r="E10226">
            <v>46192</v>
          </cell>
        </row>
        <row r="10227">
          <cell r="A10227" t="str">
            <v>2622OO47</v>
          </cell>
          <cell r="D10227" t="str">
            <v>FTW503</v>
          </cell>
          <cell r="E10227">
            <v>46192</v>
          </cell>
        </row>
        <row r="10228">
          <cell r="A10228" t="str">
            <v>2622PT47</v>
          </cell>
          <cell r="D10228" t="str">
            <v>KBP126</v>
          </cell>
          <cell r="E10228">
            <v>46192</v>
          </cell>
        </row>
        <row r="10229">
          <cell r="A10229" t="str">
            <v>2612LU47</v>
          </cell>
          <cell r="D10229" t="str">
            <v>KBP76</v>
          </cell>
          <cell r="E10229">
            <v>46192</v>
          </cell>
        </row>
        <row r="10230">
          <cell r="A10230" t="str">
            <v>2622F667</v>
          </cell>
          <cell r="D10230" t="str">
            <v>TTS80</v>
          </cell>
          <cell r="E10230">
            <v>46192</v>
          </cell>
        </row>
        <row r="10231">
          <cell r="A10231" t="str">
            <v>2623QI17</v>
          </cell>
          <cell r="D10231" t="str">
            <v>KBP55</v>
          </cell>
          <cell r="E10231">
            <v>46192</v>
          </cell>
        </row>
        <row r="10232">
          <cell r="A10232" t="str">
            <v>2623JI27</v>
          </cell>
          <cell r="D10232" t="str">
            <v>TTS80</v>
          </cell>
          <cell r="E10232">
            <v>46192</v>
          </cell>
        </row>
        <row r="10233">
          <cell r="A10233" t="str">
            <v>2623IQ67</v>
          </cell>
          <cell r="D10233" t="str">
            <v>S706</v>
          </cell>
          <cell r="E10233">
            <v>46192</v>
          </cell>
        </row>
        <row r="10234">
          <cell r="A10234" t="str">
            <v>2617FA37</v>
          </cell>
          <cell r="D10234" t="str">
            <v>FTW503</v>
          </cell>
          <cell r="E10234">
            <v>46192</v>
          </cell>
        </row>
        <row r="10235">
          <cell r="A10235" t="str">
            <v>2622W947</v>
          </cell>
          <cell r="D10235" t="str">
            <v>FTP200</v>
          </cell>
          <cell r="E10235">
            <v>46192</v>
          </cell>
        </row>
        <row r="10236">
          <cell r="A10236" t="str">
            <v>2621PG17</v>
          </cell>
          <cell r="D10236" t="str">
            <v>KBP86</v>
          </cell>
          <cell r="E10236">
            <v>46192</v>
          </cell>
        </row>
        <row r="10237">
          <cell r="A10237" t="str">
            <v>2623I547</v>
          </cell>
          <cell r="D10237" t="str">
            <v>KBP86</v>
          </cell>
          <cell r="E10237">
            <v>46192</v>
          </cell>
        </row>
        <row r="10238">
          <cell r="A10238" t="str">
            <v>2622KR37</v>
          </cell>
          <cell r="D10238" t="str">
            <v>KBP126</v>
          </cell>
          <cell r="E10238">
            <v>46192</v>
          </cell>
        </row>
        <row r="10239">
          <cell r="A10239" t="str">
            <v>2623JH27</v>
          </cell>
          <cell r="D10239" t="str">
            <v>TTS80</v>
          </cell>
          <cell r="E10239">
            <v>46192</v>
          </cell>
        </row>
        <row r="10240">
          <cell r="A10240" t="str">
            <v>2620X457</v>
          </cell>
          <cell r="D10240" t="str">
            <v>KBP52</v>
          </cell>
          <cell r="E10240">
            <v>46192</v>
          </cell>
        </row>
        <row r="10241">
          <cell r="A10241" t="str">
            <v>2623PQ17</v>
          </cell>
          <cell r="D10241" t="str">
            <v>KBP76</v>
          </cell>
          <cell r="E10241">
            <v>46192</v>
          </cell>
        </row>
        <row r="10242">
          <cell r="A10242" t="str">
            <v>2623QB17</v>
          </cell>
          <cell r="D10242" t="str">
            <v>KBP74</v>
          </cell>
          <cell r="E10242">
            <v>46192</v>
          </cell>
        </row>
        <row r="10243">
          <cell r="A10243" t="str">
            <v>2622WC57</v>
          </cell>
          <cell r="D10243" t="str">
            <v>TTS50</v>
          </cell>
          <cell r="E10243">
            <v>46192</v>
          </cell>
        </row>
        <row r="10244">
          <cell r="A10244" t="str">
            <v>2623JX57</v>
          </cell>
          <cell r="D10244" t="str">
            <v>S706</v>
          </cell>
          <cell r="E10244">
            <v>46192</v>
          </cell>
        </row>
        <row r="10245">
          <cell r="A10245" t="str">
            <v>2623KK17</v>
          </cell>
          <cell r="D10245" t="str">
            <v>KBP126</v>
          </cell>
          <cell r="E10245">
            <v>46192</v>
          </cell>
        </row>
        <row r="10246">
          <cell r="A10246" t="str">
            <v>2622EU50</v>
          </cell>
          <cell r="D10246" t="str">
            <v>TTS125</v>
          </cell>
          <cell r="E10246">
            <v>46192</v>
          </cell>
        </row>
        <row r="10247">
          <cell r="A10247" t="str">
            <v>2623CE27</v>
          </cell>
          <cell r="D10247" t="str">
            <v>KBP86</v>
          </cell>
          <cell r="E10247">
            <v>46192</v>
          </cell>
        </row>
        <row r="10248">
          <cell r="A10248" t="str">
            <v>2623KN17</v>
          </cell>
          <cell r="D10248" t="str">
            <v>KBP126</v>
          </cell>
          <cell r="E10248">
            <v>46192</v>
          </cell>
        </row>
        <row r="10249">
          <cell r="A10249" t="str">
            <v>2622O947</v>
          </cell>
          <cell r="D10249" t="str">
            <v>FTP150</v>
          </cell>
          <cell r="E10249">
            <v>46192</v>
          </cell>
        </row>
        <row r="10250">
          <cell r="A10250" t="str">
            <v>2621JP27</v>
          </cell>
          <cell r="D10250" t="str">
            <v>KBP86</v>
          </cell>
          <cell r="E10250">
            <v>46192</v>
          </cell>
        </row>
        <row r="10251">
          <cell r="A10251" t="str">
            <v>2621L737</v>
          </cell>
          <cell r="D10251" t="str">
            <v>KBP34</v>
          </cell>
          <cell r="E10251">
            <v>46192</v>
          </cell>
        </row>
        <row r="10252">
          <cell r="A10252" t="str">
            <v>2622L727</v>
          </cell>
          <cell r="D10252" t="str">
            <v>KBP86</v>
          </cell>
          <cell r="E10252">
            <v>46192</v>
          </cell>
        </row>
        <row r="10253">
          <cell r="A10253" t="str">
            <v>2623QN17</v>
          </cell>
          <cell r="D10253" t="str">
            <v>FTP200</v>
          </cell>
          <cell r="E10253">
            <v>46192</v>
          </cell>
        </row>
        <row r="10254">
          <cell r="A10254" t="str">
            <v>2622BE67</v>
          </cell>
          <cell r="D10254" t="str">
            <v>KBP52</v>
          </cell>
          <cell r="E10254">
            <v>46192</v>
          </cell>
        </row>
        <row r="10255">
          <cell r="A10255" t="str">
            <v>2622DR67</v>
          </cell>
          <cell r="D10255" t="str">
            <v>KBP76</v>
          </cell>
          <cell r="E10255">
            <v>46192</v>
          </cell>
        </row>
        <row r="10256">
          <cell r="A10256" t="str">
            <v>2622S137</v>
          </cell>
          <cell r="D10256" t="str">
            <v>STA156KA</v>
          </cell>
          <cell r="E10256">
            <v>46192</v>
          </cell>
        </row>
        <row r="10257">
          <cell r="A10257" t="str">
            <v>2614XZ47</v>
          </cell>
          <cell r="D10257" t="str">
            <v>TTS50</v>
          </cell>
          <cell r="E10257">
            <v>46192</v>
          </cell>
        </row>
        <row r="10258">
          <cell r="A10258" t="str">
            <v>2623JS57</v>
          </cell>
          <cell r="D10258" t="str">
            <v>S706</v>
          </cell>
          <cell r="E10258">
            <v>46192</v>
          </cell>
        </row>
        <row r="10259">
          <cell r="A10259" t="str">
            <v>2623SJ37</v>
          </cell>
          <cell r="D10259" t="str">
            <v>TTS80</v>
          </cell>
          <cell r="E10259">
            <v>46192</v>
          </cell>
        </row>
        <row r="10260">
          <cell r="A10260" t="str">
            <v>2620XP57</v>
          </cell>
          <cell r="D10260" t="str">
            <v>KBP86</v>
          </cell>
          <cell r="E10260">
            <v>46192</v>
          </cell>
        </row>
        <row r="10261">
          <cell r="A10261" t="str">
            <v>2623B467</v>
          </cell>
          <cell r="D10261" t="str">
            <v>KBP86</v>
          </cell>
          <cell r="E10261">
            <v>46192</v>
          </cell>
        </row>
        <row r="10262">
          <cell r="A10262" t="str">
            <v>2623K147</v>
          </cell>
          <cell r="D10262" t="str">
            <v>FTW700</v>
          </cell>
          <cell r="E10262">
            <v>46192</v>
          </cell>
        </row>
        <row r="10263">
          <cell r="A10263" t="str">
            <v>2623KJ17</v>
          </cell>
          <cell r="D10263" t="str">
            <v>KBP126</v>
          </cell>
          <cell r="E10263">
            <v>46192</v>
          </cell>
        </row>
        <row r="10264">
          <cell r="A10264" t="str">
            <v>2622WC47</v>
          </cell>
          <cell r="D10264" t="str">
            <v>FTP200</v>
          </cell>
          <cell r="E10264">
            <v>46192</v>
          </cell>
        </row>
        <row r="10265">
          <cell r="A10265" t="str">
            <v>2622E467</v>
          </cell>
          <cell r="D10265" t="str">
            <v>STA156KA</v>
          </cell>
          <cell r="E10265">
            <v>46192</v>
          </cell>
        </row>
        <row r="10266">
          <cell r="A10266" t="str">
            <v>2623J867</v>
          </cell>
          <cell r="D10266" t="str">
            <v>KBP76</v>
          </cell>
          <cell r="E10266">
            <v>46192</v>
          </cell>
        </row>
        <row r="10267">
          <cell r="A10267" t="str">
            <v>2623F447</v>
          </cell>
          <cell r="D10267" t="str">
            <v>KBP86</v>
          </cell>
          <cell r="E10267">
            <v>46192</v>
          </cell>
        </row>
        <row r="10268">
          <cell r="A10268" t="str">
            <v>2622EA67</v>
          </cell>
          <cell r="D10268" t="str">
            <v>KBP74</v>
          </cell>
          <cell r="E10268">
            <v>46192</v>
          </cell>
        </row>
        <row r="10269">
          <cell r="A10269" t="str">
            <v>2624I217</v>
          </cell>
          <cell r="D10269" t="str">
            <v>S706</v>
          </cell>
          <cell r="E10269">
            <v>46192</v>
          </cell>
        </row>
        <row r="10270">
          <cell r="A10270" t="str">
            <v>2623SL37</v>
          </cell>
          <cell r="D10270" t="str">
            <v>TTS80</v>
          </cell>
          <cell r="E10270">
            <v>46192</v>
          </cell>
        </row>
        <row r="10271">
          <cell r="A10271" t="str">
            <v>2622LB17</v>
          </cell>
          <cell r="D10271" t="str">
            <v>FTW503</v>
          </cell>
          <cell r="E10271">
            <v>46192</v>
          </cell>
        </row>
        <row r="10272">
          <cell r="A10272" t="str">
            <v>2623LK47</v>
          </cell>
          <cell r="D10272" t="str">
            <v>KBP76</v>
          </cell>
          <cell r="E10272">
            <v>46192</v>
          </cell>
        </row>
        <row r="10273">
          <cell r="A10273" t="str">
            <v>2623IB37</v>
          </cell>
          <cell r="D10273" t="str">
            <v>KBP86</v>
          </cell>
          <cell r="E10273">
            <v>46192</v>
          </cell>
        </row>
        <row r="10274">
          <cell r="A10274" t="str">
            <v>2623HF57</v>
          </cell>
          <cell r="D10274" t="str">
            <v>KBP76</v>
          </cell>
          <cell r="E10274">
            <v>46192</v>
          </cell>
        </row>
        <row r="10275">
          <cell r="A10275" t="str">
            <v>2623IR67</v>
          </cell>
          <cell r="D10275" t="str">
            <v>S706</v>
          </cell>
          <cell r="E10275">
            <v>46192</v>
          </cell>
        </row>
        <row r="10276">
          <cell r="A10276" t="str">
            <v>2620CD47</v>
          </cell>
          <cell r="D10276" t="str">
            <v>KBP86</v>
          </cell>
          <cell r="E10276">
            <v>46192</v>
          </cell>
        </row>
        <row r="10277">
          <cell r="A10277" t="str">
            <v>2623IL37</v>
          </cell>
          <cell r="D10277" t="str">
            <v>KBP86</v>
          </cell>
          <cell r="E10277">
            <v>46192</v>
          </cell>
        </row>
        <row r="10278">
          <cell r="A10278" t="str">
            <v>2623S737</v>
          </cell>
          <cell r="D10278" t="str">
            <v>KBP55</v>
          </cell>
          <cell r="E10278">
            <v>46192</v>
          </cell>
        </row>
        <row r="10279">
          <cell r="A10279" t="str">
            <v>2622EG67</v>
          </cell>
          <cell r="D10279" t="str">
            <v>TTS80</v>
          </cell>
          <cell r="E10279">
            <v>46192</v>
          </cell>
        </row>
        <row r="10280">
          <cell r="A10280" t="str">
            <v>2618GO27</v>
          </cell>
          <cell r="D10280" t="str">
            <v>FTW503</v>
          </cell>
          <cell r="E10280">
            <v>46192</v>
          </cell>
        </row>
        <row r="10281">
          <cell r="A10281" t="str">
            <v>2623HG57</v>
          </cell>
          <cell r="D10281" t="str">
            <v>KBP76</v>
          </cell>
          <cell r="E10281">
            <v>46192</v>
          </cell>
        </row>
        <row r="10282">
          <cell r="A10282" t="str">
            <v>2622PG17</v>
          </cell>
          <cell r="D10282" t="str">
            <v>KBP52</v>
          </cell>
          <cell r="E10282">
            <v>46192</v>
          </cell>
        </row>
        <row r="10283">
          <cell r="A10283" t="str">
            <v>2623CX37</v>
          </cell>
          <cell r="D10283" t="str">
            <v>S15MB</v>
          </cell>
          <cell r="E10283">
            <v>46192</v>
          </cell>
        </row>
        <row r="10284">
          <cell r="A10284" t="str">
            <v>2623J967</v>
          </cell>
          <cell r="D10284" t="str">
            <v>KBP76</v>
          </cell>
          <cell r="E10284">
            <v>46192</v>
          </cell>
        </row>
        <row r="10285">
          <cell r="A10285" t="str">
            <v>2624BU17</v>
          </cell>
          <cell r="D10285" t="str">
            <v>S15MB</v>
          </cell>
          <cell r="E10285">
            <v>46192</v>
          </cell>
        </row>
        <row r="10286">
          <cell r="A10286" t="str">
            <v>2622SG37</v>
          </cell>
          <cell r="D10286" t="str">
            <v>FTP200</v>
          </cell>
          <cell r="E10286">
            <v>46192</v>
          </cell>
        </row>
        <row r="10287">
          <cell r="A10287" t="str">
            <v>2622CY27</v>
          </cell>
          <cell r="D10287" t="str">
            <v>STA156KA</v>
          </cell>
          <cell r="E10287">
            <v>46192</v>
          </cell>
        </row>
        <row r="10288">
          <cell r="A10288" t="str">
            <v>2623FQ27</v>
          </cell>
          <cell r="D10288" t="str">
            <v>FTW121KR</v>
          </cell>
          <cell r="E10288">
            <v>46192</v>
          </cell>
        </row>
        <row r="10289">
          <cell r="A10289" t="str">
            <v>2623KX17</v>
          </cell>
          <cell r="D10289" t="str">
            <v>FTW121KR</v>
          </cell>
          <cell r="E10289">
            <v>46192</v>
          </cell>
        </row>
        <row r="10290">
          <cell r="A10290" t="str">
            <v>2623LG37</v>
          </cell>
          <cell r="D10290" t="str">
            <v>FTW121KE</v>
          </cell>
          <cell r="E10290">
            <v>46192</v>
          </cell>
        </row>
        <row r="10291">
          <cell r="A10291" t="str">
            <v>2623FJ27</v>
          </cell>
          <cell r="D10291" t="str">
            <v>FTW121KE</v>
          </cell>
          <cell r="E10291">
            <v>46192</v>
          </cell>
        </row>
        <row r="10292">
          <cell r="A10292" t="str">
            <v>2622PU47</v>
          </cell>
          <cell r="D10292" t="str">
            <v>FTW121KE</v>
          </cell>
          <cell r="E10292">
            <v>46192</v>
          </cell>
        </row>
        <row r="10293">
          <cell r="A10293" t="str">
            <v>2623L317</v>
          </cell>
          <cell r="D10293" t="str">
            <v>FTW121KE</v>
          </cell>
          <cell r="E10293">
            <v>46192</v>
          </cell>
        </row>
        <row r="10294">
          <cell r="A10294" t="str">
            <v>2623IS57</v>
          </cell>
          <cell r="D10294" t="str">
            <v>FTW121KE</v>
          </cell>
          <cell r="E10294">
            <v>46192</v>
          </cell>
        </row>
        <row r="10295">
          <cell r="A10295" t="str">
            <v>2623L817</v>
          </cell>
          <cell r="D10295" t="str">
            <v>FTW121KE</v>
          </cell>
          <cell r="E10295">
            <v>46192</v>
          </cell>
        </row>
        <row r="10296">
          <cell r="A10296" t="str">
            <v>2622L137</v>
          </cell>
          <cell r="D10296" t="str">
            <v>FTW121KE</v>
          </cell>
          <cell r="E10296">
            <v>46192</v>
          </cell>
        </row>
        <row r="10297">
          <cell r="A10297" t="str">
            <v>2623LH37</v>
          </cell>
          <cell r="D10297" t="str">
            <v>FTW121KE</v>
          </cell>
          <cell r="E10297">
            <v>46192</v>
          </cell>
        </row>
        <row r="10298">
          <cell r="A10298" t="str">
            <v>2622XH57</v>
          </cell>
          <cell r="D10298" t="str">
            <v>FTW121KE</v>
          </cell>
          <cell r="E10298">
            <v>46192</v>
          </cell>
        </row>
        <row r="10299">
          <cell r="A10299" t="str">
            <v>2622OM17</v>
          </cell>
          <cell r="D10299" t="str">
            <v>FTW121KE</v>
          </cell>
          <cell r="E10299">
            <v>46192</v>
          </cell>
        </row>
        <row r="10300">
          <cell r="A10300" t="str">
            <v>2622QW47</v>
          </cell>
          <cell r="D10300" t="str">
            <v>FTW121KE</v>
          </cell>
          <cell r="E10300">
            <v>46192</v>
          </cell>
        </row>
        <row r="10301">
          <cell r="A10301" t="str">
            <v>2623KK47</v>
          </cell>
          <cell r="D10301" t="str">
            <v>FTW121KE</v>
          </cell>
          <cell r="E10301">
            <v>46192</v>
          </cell>
        </row>
        <row r="10302">
          <cell r="A10302" t="str">
            <v>2623KQ17</v>
          </cell>
          <cell r="D10302" t="str">
            <v>FTW121KE</v>
          </cell>
          <cell r="E10302">
            <v>46192</v>
          </cell>
        </row>
        <row r="10303">
          <cell r="A10303" t="str">
            <v>2622XA57</v>
          </cell>
          <cell r="D10303" t="str">
            <v>FTW121KE</v>
          </cell>
          <cell r="E10303">
            <v>46192</v>
          </cell>
        </row>
        <row r="10304">
          <cell r="A10304" t="str">
            <v>2623LC37</v>
          </cell>
          <cell r="D10304" t="str">
            <v>FTW121KE</v>
          </cell>
          <cell r="E10304">
            <v>46192</v>
          </cell>
        </row>
        <row r="10305">
          <cell r="A10305" t="str">
            <v>2622PH17</v>
          </cell>
          <cell r="D10305" t="str">
            <v>KBP52</v>
          </cell>
          <cell r="E10305">
            <v>46192</v>
          </cell>
        </row>
        <row r="10306">
          <cell r="A10306" t="str">
            <v>2622IJ37</v>
          </cell>
          <cell r="D10306" t="str">
            <v>KBP86</v>
          </cell>
          <cell r="E10306">
            <v>46192</v>
          </cell>
        </row>
        <row r="10307">
          <cell r="A10307" t="str">
            <v>2621WE57</v>
          </cell>
          <cell r="D10307" t="str">
            <v>FTW503</v>
          </cell>
          <cell r="E10307">
            <v>46192</v>
          </cell>
        </row>
        <row r="10308">
          <cell r="A10308" t="str">
            <v>2620KP17</v>
          </cell>
          <cell r="D10308" t="str">
            <v>HV80</v>
          </cell>
          <cell r="E10308">
            <v>46192</v>
          </cell>
        </row>
        <row r="10309">
          <cell r="A10309" t="str">
            <v>2620PA37</v>
          </cell>
          <cell r="D10309" t="str">
            <v>HV80</v>
          </cell>
          <cell r="E10309">
            <v>46192</v>
          </cell>
        </row>
        <row r="10310">
          <cell r="A10310" t="str">
            <v>2622C767</v>
          </cell>
          <cell r="D10310" t="str">
            <v>HV80</v>
          </cell>
          <cell r="E10310">
            <v>46192</v>
          </cell>
        </row>
        <row r="10311">
          <cell r="A10311" t="str">
            <v>2622CM67</v>
          </cell>
          <cell r="D10311" t="str">
            <v>HV80</v>
          </cell>
          <cell r="E10311">
            <v>46192</v>
          </cell>
        </row>
        <row r="10312">
          <cell r="A10312" t="str">
            <v>2624LZ27</v>
          </cell>
          <cell r="D10312" t="str">
            <v>HV80</v>
          </cell>
          <cell r="E10312">
            <v>46191</v>
          </cell>
        </row>
        <row r="10313">
          <cell r="A10313" t="str">
            <v>2623D837</v>
          </cell>
          <cell r="D10313" t="str">
            <v>STA200KA</v>
          </cell>
          <cell r="E10313">
            <v>46191</v>
          </cell>
        </row>
        <row r="10314">
          <cell r="A10314" t="str">
            <v>2612CU80</v>
          </cell>
          <cell r="D10314" t="str">
            <v>HV200</v>
          </cell>
          <cell r="E10314">
            <v>46191</v>
          </cell>
        </row>
        <row r="10315">
          <cell r="A10315" t="str">
            <v>2623PJ37</v>
          </cell>
          <cell r="D10315" t="str">
            <v>HV80</v>
          </cell>
          <cell r="E10315">
            <v>46191</v>
          </cell>
        </row>
        <row r="10316">
          <cell r="A10316" t="str">
            <v>2619F757</v>
          </cell>
          <cell r="D10316" t="str">
            <v>HV80</v>
          </cell>
          <cell r="E10316">
            <v>46191</v>
          </cell>
        </row>
        <row r="10317">
          <cell r="A10317" t="str">
            <v>2620Y917</v>
          </cell>
          <cell r="D10317" t="str">
            <v>S706</v>
          </cell>
          <cell r="E10317">
            <v>46191</v>
          </cell>
        </row>
        <row r="10318">
          <cell r="A10318" t="str">
            <v>2622CL67</v>
          </cell>
          <cell r="D10318" t="str">
            <v>HV80</v>
          </cell>
          <cell r="E10318">
            <v>46191</v>
          </cell>
        </row>
        <row r="10319">
          <cell r="A10319" t="str">
            <v>2622CB67</v>
          </cell>
          <cell r="D10319" t="str">
            <v>HV80</v>
          </cell>
          <cell r="E10319">
            <v>46191</v>
          </cell>
        </row>
        <row r="10320">
          <cell r="A10320" t="str">
            <v>2623L347</v>
          </cell>
          <cell r="D10320" t="str">
            <v>HV80</v>
          </cell>
          <cell r="E10320">
            <v>46191</v>
          </cell>
        </row>
        <row r="10321">
          <cell r="A10321" t="str">
            <v>2618Z437</v>
          </cell>
          <cell r="D10321" t="str">
            <v>S706</v>
          </cell>
          <cell r="E10321">
            <v>46191</v>
          </cell>
        </row>
        <row r="10322">
          <cell r="A10322" t="str">
            <v>2623OQ17</v>
          </cell>
          <cell r="D10322" t="str">
            <v>HV80</v>
          </cell>
          <cell r="E10322">
            <v>46191</v>
          </cell>
        </row>
        <row r="10323">
          <cell r="A10323" t="str">
            <v>2623OQ17</v>
          </cell>
          <cell r="D10323" t="str">
            <v>HV80</v>
          </cell>
          <cell r="E10323">
            <v>46191</v>
          </cell>
        </row>
        <row r="10324">
          <cell r="A10324" t="str">
            <v>2622C567</v>
          </cell>
          <cell r="D10324" t="str">
            <v>HV80</v>
          </cell>
          <cell r="E10324">
            <v>46191</v>
          </cell>
        </row>
        <row r="10325">
          <cell r="A10325" t="str">
            <v>2622CL67</v>
          </cell>
          <cell r="D10325" t="str">
            <v>HV80</v>
          </cell>
          <cell r="E10325">
            <v>46191</v>
          </cell>
        </row>
        <row r="10326">
          <cell r="A10326" t="str">
            <v>2622CB67</v>
          </cell>
          <cell r="D10326" t="str">
            <v>HV80</v>
          </cell>
          <cell r="E10326">
            <v>46191</v>
          </cell>
        </row>
        <row r="10327">
          <cell r="A10327" t="str">
            <v>2624LZ27</v>
          </cell>
          <cell r="D10327" t="str">
            <v>HV80</v>
          </cell>
          <cell r="E10327">
            <v>46191</v>
          </cell>
        </row>
        <row r="10328">
          <cell r="A10328" t="str">
            <v>2623ON17</v>
          </cell>
          <cell r="D10328" t="str">
            <v>HV80</v>
          </cell>
          <cell r="E10328">
            <v>46191</v>
          </cell>
        </row>
        <row r="10329">
          <cell r="A10329" t="str">
            <v>2623IG37</v>
          </cell>
          <cell r="D10329" t="str">
            <v>KBP86</v>
          </cell>
          <cell r="E10329">
            <v>46191</v>
          </cell>
        </row>
        <row r="10330">
          <cell r="A10330" t="str">
            <v>2623PJ37</v>
          </cell>
          <cell r="D10330" t="str">
            <v>HV80</v>
          </cell>
          <cell r="E10330">
            <v>46191</v>
          </cell>
        </row>
        <row r="10331">
          <cell r="A10331" t="str">
            <v>2623CG27</v>
          </cell>
          <cell r="D10331" t="str">
            <v>KBP86</v>
          </cell>
          <cell r="E10331">
            <v>46191</v>
          </cell>
        </row>
        <row r="10332">
          <cell r="A10332" t="str">
            <v>2622CJ67</v>
          </cell>
          <cell r="D10332" t="str">
            <v>HV80</v>
          </cell>
          <cell r="E10332">
            <v>46191</v>
          </cell>
        </row>
        <row r="10333">
          <cell r="A10333" t="str">
            <v>2621HQ67</v>
          </cell>
          <cell r="D10333" t="str">
            <v>KBP55</v>
          </cell>
          <cell r="E10333">
            <v>46191</v>
          </cell>
        </row>
        <row r="10334">
          <cell r="A10334" t="str">
            <v>2623LU37</v>
          </cell>
          <cell r="D10334" t="str">
            <v>FTW121KE</v>
          </cell>
          <cell r="E10334">
            <v>46191</v>
          </cell>
        </row>
        <row r="10335">
          <cell r="A10335" t="str">
            <v>2611IT47</v>
          </cell>
          <cell r="D10335" t="str">
            <v>KBP76</v>
          </cell>
          <cell r="E10335">
            <v>46191</v>
          </cell>
        </row>
        <row r="10336">
          <cell r="A10336" t="str">
            <v>2623FP27</v>
          </cell>
          <cell r="D10336" t="str">
            <v>FTW121KE</v>
          </cell>
          <cell r="E10336">
            <v>46191</v>
          </cell>
        </row>
        <row r="10337">
          <cell r="A10337" t="str">
            <v>2623GN27</v>
          </cell>
          <cell r="D10337" t="str">
            <v>FTW102K</v>
          </cell>
          <cell r="E10337">
            <v>46191</v>
          </cell>
        </row>
        <row r="10338">
          <cell r="A10338" t="str">
            <v>2623LI37</v>
          </cell>
          <cell r="D10338" t="str">
            <v>FTW121KE</v>
          </cell>
          <cell r="E10338">
            <v>46191</v>
          </cell>
        </row>
        <row r="10339">
          <cell r="A10339" t="str">
            <v>2623IU67</v>
          </cell>
          <cell r="D10339" t="str">
            <v>S706</v>
          </cell>
          <cell r="E10339">
            <v>46191</v>
          </cell>
        </row>
        <row r="10340">
          <cell r="A10340" t="str">
            <v>2623KU17</v>
          </cell>
          <cell r="D10340" t="str">
            <v>FTW121KE</v>
          </cell>
          <cell r="E10340">
            <v>46191</v>
          </cell>
        </row>
        <row r="10341">
          <cell r="A10341" t="str">
            <v>2613J747</v>
          </cell>
          <cell r="D10341" t="str">
            <v>FTW102K</v>
          </cell>
          <cell r="E10341">
            <v>46191</v>
          </cell>
        </row>
        <row r="10342">
          <cell r="A10342" t="str">
            <v>2623G227</v>
          </cell>
          <cell r="D10342" t="str">
            <v>FTW121KE</v>
          </cell>
          <cell r="E10342">
            <v>46191</v>
          </cell>
        </row>
        <row r="10343">
          <cell r="A10343" t="str">
            <v>2624DC17</v>
          </cell>
          <cell r="D10343" t="str">
            <v>S805</v>
          </cell>
          <cell r="E10343">
            <v>46191</v>
          </cell>
        </row>
        <row r="10344">
          <cell r="A10344" t="str">
            <v>2623KT17</v>
          </cell>
          <cell r="D10344" t="str">
            <v>FTW121KE</v>
          </cell>
          <cell r="E10344">
            <v>46191</v>
          </cell>
        </row>
        <row r="10345">
          <cell r="A10345" t="str">
            <v>2623SS37</v>
          </cell>
          <cell r="D10345" t="str">
            <v>TTS80</v>
          </cell>
          <cell r="E10345">
            <v>46191</v>
          </cell>
        </row>
        <row r="10346">
          <cell r="A10346" t="str">
            <v>2623LA37</v>
          </cell>
          <cell r="D10346" t="str">
            <v>FTW121KE</v>
          </cell>
          <cell r="E10346">
            <v>46191</v>
          </cell>
        </row>
        <row r="10347">
          <cell r="A10347" t="str">
            <v>2622WG47</v>
          </cell>
          <cell r="D10347" t="str">
            <v>FTP200</v>
          </cell>
          <cell r="E10347">
            <v>46191</v>
          </cell>
        </row>
        <row r="10348">
          <cell r="A10348" t="str">
            <v>2623LF37</v>
          </cell>
          <cell r="D10348" t="str">
            <v>FTW121KE</v>
          </cell>
          <cell r="E10348">
            <v>46191</v>
          </cell>
        </row>
        <row r="10349">
          <cell r="A10349" t="str">
            <v>2621CR67</v>
          </cell>
          <cell r="D10349" t="str">
            <v>KBP86</v>
          </cell>
          <cell r="E10349">
            <v>46191</v>
          </cell>
        </row>
        <row r="10350">
          <cell r="A10350" t="str">
            <v>2622LC37</v>
          </cell>
          <cell r="D10350" t="str">
            <v>FTW121KR</v>
          </cell>
          <cell r="E10350">
            <v>46191</v>
          </cell>
        </row>
        <row r="10351">
          <cell r="A10351" t="str">
            <v>2622WH57</v>
          </cell>
          <cell r="D10351" t="str">
            <v>TTS50</v>
          </cell>
          <cell r="E10351">
            <v>46191</v>
          </cell>
        </row>
        <row r="10352">
          <cell r="A10352" t="str">
            <v>2622XM57</v>
          </cell>
          <cell r="D10352" t="str">
            <v>FTW121KE</v>
          </cell>
          <cell r="E10352">
            <v>46191</v>
          </cell>
        </row>
        <row r="10353">
          <cell r="A10353" t="str">
            <v>2622KX17</v>
          </cell>
          <cell r="D10353" t="str">
            <v>S805</v>
          </cell>
          <cell r="E10353">
            <v>46191</v>
          </cell>
        </row>
        <row r="10354">
          <cell r="A10354" t="str">
            <v>2623FT27</v>
          </cell>
          <cell r="D10354" t="str">
            <v>FTW121KR</v>
          </cell>
          <cell r="E10354">
            <v>46191</v>
          </cell>
        </row>
        <row r="10355">
          <cell r="A10355" t="str">
            <v>2623IP67</v>
          </cell>
          <cell r="D10355" t="str">
            <v>S706</v>
          </cell>
          <cell r="E10355">
            <v>46191</v>
          </cell>
        </row>
        <row r="10356">
          <cell r="A10356" t="str">
            <v>2622OP17</v>
          </cell>
          <cell r="D10356" t="str">
            <v>FTW121KE</v>
          </cell>
          <cell r="E10356">
            <v>46191</v>
          </cell>
        </row>
        <row r="10357">
          <cell r="A10357" t="str">
            <v>2622DB67</v>
          </cell>
          <cell r="D10357" t="str">
            <v>KBP76</v>
          </cell>
          <cell r="E10357">
            <v>46191</v>
          </cell>
        </row>
        <row r="10358">
          <cell r="A10358" t="str">
            <v>2623KN47</v>
          </cell>
          <cell r="D10358" t="str">
            <v>FTW121KE</v>
          </cell>
          <cell r="E10358">
            <v>46191</v>
          </cell>
        </row>
        <row r="10359">
          <cell r="A10359" t="str">
            <v>2623BM67</v>
          </cell>
          <cell r="D10359" t="str">
            <v>KBP86</v>
          </cell>
          <cell r="E10359">
            <v>46191</v>
          </cell>
        </row>
        <row r="10360">
          <cell r="A10360" t="str">
            <v>2622XP57</v>
          </cell>
          <cell r="D10360" t="str">
            <v>FTW121KE</v>
          </cell>
          <cell r="E10360">
            <v>46191</v>
          </cell>
        </row>
        <row r="10361">
          <cell r="A10361" t="str">
            <v>2623OA37</v>
          </cell>
          <cell r="D10361" t="str">
            <v>FTW102K</v>
          </cell>
          <cell r="E10361">
            <v>46191</v>
          </cell>
        </row>
        <row r="10362">
          <cell r="A10362" t="str">
            <v>2621K437</v>
          </cell>
          <cell r="D10362" t="str">
            <v>FTW121KE</v>
          </cell>
          <cell r="E10362">
            <v>46191</v>
          </cell>
        </row>
        <row r="10363">
          <cell r="A10363" t="str">
            <v>2623AB67</v>
          </cell>
          <cell r="D10363" t="str">
            <v>S15MB</v>
          </cell>
          <cell r="E10363">
            <v>46191</v>
          </cell>
        </row>
        <row r="10364">
          <cell r="A10364" t="str">
            <v>2621JZ37</v>
          </cell>
          <cell r="D10364" t="str">
            <v>FTW121KE</v>
          </cell>
          <cell r="E10364">
            <v>46191</v>
          </cell>
        </row>
        <row r="10365">
          <cell r="A10365" t="str">
            <v>2623PT17</v>
          </cell>
          <cell r="D10365" t="str">
            <v>KBP76</v>
          </cell>
          <cell r="E10365">
            <v>46191</v>
          </cell>
        </row>
        <row r="10366">
          <cell r="A10366" t="str">
            <v>2623KP17</v>
          </cell>
          <cell r="D10366" t="str">
            <v>FTW121KE</v>
          </cell>
          <cell r="E10366">
            <v>46191</v>
          </cell>
        </row>
        <row r="10367">
          <cell r="A10367" t="str">
            <v>2623SG27</v>
          </cell>
          <cell r="D10367" t="str">
            <v>KBP52</v>
          </cell>
          <cell r="E10367">
            <v>46191</v>
          </cell>
        </row>
        <row r="10368">
          <cell r="A10368" t="str">
            <v>2623LP37</v>
          </cell>
          <cell r="D10368" t="str">
            <v>FTW121KE</v>
          </cell>
          <cell r="E10368">
            <v>46191</v>
          </cell>
        </row>
        <row r="10369">
          <cell r="A10369" t="str">
            <v>2623I317</v>
          </cell>
          <cell r="D10369" t="str">
            <v>KBP86</v>
          </cell>
          <cell r="E10369">
            <v>46191</v>
          </cell>
        </row>
        <row r="10370">
          <cell r="A10370" t="str">
            <v>2623FM27</v>
          </cell>
          <cell r="D10370" t="str">
            <v>FTW121KE</v>
          </cell>
          <cell r="E10370">
            <v>46191</v>
          </cell>
        </row>
        <row r="10371">
          <cell r="A10371" t="str">
            <v>2623JV57</v>
          </cell>
          <cell r="D10371" t="str">
            <v>S706</v>
          </cell>
          <cell r="E10371">
            <v>46191</v>
          </cell>
        </row>
        <row r="10372">
          <cell r="A10372" t="str">
            <v>2620Y917</v>
          </cell>
          <cell r="D10372" t="str">
            <v>S706</v>
          </cell>
          <cell r="E10372">
            <v>46191</v>
          </cell>
        </row>
        <row r="10373">
          <cell r="A10373" t="str">
            <v>2622P317</v>
          </cell>
          <cell r="D10373" t="str">
            <v>KBP86</v>
          </cell>
          <cell r="E10373">
            <v>46191</v>
          </cell>
        </row>
        <row r="10374">
          <cell r="A10374" t="str">
            <v>2623KD47</v>
          </cell>
          <cell r="D10374" t="str">
            <v>FTW121KR</v>
          </cell>
          <cell r="E10374">
            <v>46191</v>
          </cell>
        </row>
        <row r="10375">
          <cell r="A10375" t="str">
            <v>2623LF47</v>
          </cell>
          <cell r="D10375" t="str">
            <v>S706</v>
          </cell>
          <cell r="E10375">
            <v>46191</v>
          </cell>
        </row>
        <row r="10376">
          <cell r="A10376" t="str">
            <v>2623FX27</v>
          </cell>
          <cell r="D10376" t="str">
            <v>FTW121KR</v>
          </cell>
          <cell r="E10376">
            <v>46191</v>
          </cell>
        </row>
        <row r="10377">
          <cell r="A10377" t="str">
            <v>2619J617</v>
          </cell>
          <cell r="D10377" t="str">
            <v>TTS50</v>
          </cell>
          <cell r="E10377">
            <v>46191</v>
          </cell>
        </row>
        <row r="10378">
          <cell r="A10378" t="str">
            <v>2618Z437</v>
          </cell>
          <cell r="D10378" t="str">
            <v>S706</v>
          </cell>
          <cell r="E10378">
            <v>46191</v>
          </cell>
        </row>
        <row r="10379">
          <cell r="A10379" t="str">
            <v>2620JB57</v>
          </cell>
          <cell r="D10379" t="str">
            <v>KBP55</v>
          </cell>
          <cell r="E10379">
            <v>46191</v>
          </cell>
        </row>
        <row r="10380">
          <cell r="A10380" t="str">
            <v>2623I447</v>
          </cell>
          <cell r="D10380" t="str">
            <v>KBP86</v>
          </cell>
          <cell r="E10380">
            <v>46191</v>
          </cell>
        </row>
        <row r="10381">
          <cell r="A10381" t="str">
            <v>2621KL37</v>
          </cell>
          <cell r="D10381" t="str">
            <v>KBP86</v>
          </cell>
          <cell r="E10381">
            <v>46191</v>
          </cell>
        </row>
        <row r="10382">
          <cell r="A10382" t="str">
            <v>2623SV37</v>
          </cell>
          <cell r="D10382" t="str">
            <v>TTS80</v>
          </cell>
          <cell r="E10382">
            <v>46191</v>
          </cell>
        </row>
        <row r="10383">
          <cell r="A10383" t="str">
            <v>2623L767</v>
          </cell>
          <cell r="D10383" t="str">
            <v>TTS80</v>
          </cell>
          <cell r="E10383">
            <v>46191</v>
          </cell>
        </row>
        <row r="10384">
          <cell r="A10384" t="str">
            <v>2623QD17</v>
          </cell>
          <cell r="D10384" t="str">
            <v>KBP55</v>
          </cell>
          <cell r="E10384">
            <v>46191</v>
          </cell>
        </row>
        <row r="10385">
          <cell r="A10385" t="str">
            <v>2623QE17</v>
          </cell>
          <cell r="D10385" t="str">
            <v>KBP55</v>
          </cell>
          <cell r="E10385">
            <v>46191</v>
          </cell>
        </row>
        <row r="10386">
          <cell r="A10386" t="str">
            <v>2621WD57</v>
          </cell>
          <cell r="D10386" t="str">
            <v>FTW503</v>
          </cell>
          <cell r="E10386">
            <v>46191</v>
          </cell>
        </row>
        <row r="10387">
          <cell r="A10387" t="str">
            <v>2620KS37</v>
          </cell>
          <cell r="D10387" t="str">
            <v>KBP86</v>
          </cell>
          <cell r="E10387">
            <v>46191</v>
          </cell>
        </row>
        <row r="10388">
          <cell r="A10388" t="str">
            <v>2622A237</v>
          </cell>
          <cell r="D10388" t="str">
            <v>KBP76</v>
          </cell>
          <cell r="E10388">
            <v>46191</v>
          </cell>
        </row>
        <row r="10389">
          <cell r="A10389" t="str">
            <v>2623OW37</v>
          </cell>
          <cell r="D10389" t="str">
            <v>KBP76</v>
          </cell>
          <cell r="E10389">
            <v>46191</v>
          </cell>
        </row>
        <row r="10390">
          <cell r="A10390" t="str">
            <v>2621F967</v>
          </cell>
          <cell r="D10390" t="str">
            <v>KBP76</v>
          </cell>
          <cell r="E10390">
            <v>46191</v>
          </cell>
        </row>
        <row r="10391">
          <cell r="A10391" t="str">
            <v>2623LD47</v>
          </cell>
          <cell r="D10391" t="str">
            <v>S706</v>
          </cell>
          <cell r="E10391">
            <v>46191</v>
          </cell>
        </row>
        <row r="10392">
          <cell r="A10392" t="str">
            <v>2623JR57</v>
          </cell>
          <cell r="D10392" t="str">
            <v>S706</v>
          </cell>
          <cell r="E10392">
            <v>46191</v>
          </cell>
        </row>
        <row r="10393">
          <cell r="A10393" t="str">
            <v>2623KN37</v>
          </cell>
          <cell r="D10393" t="str">
            <v>KBP44</v>
          </cell>
          <cell r="E10393">
            <v>46191</v>
          </cell>
        </row>
        <row r="10394">
          <cell r="A10394" t="str">
            <v>2623G427</v>
          </cell>
          <cell r="D10394" t="str">
            <v>KBP86</v>
          </cell>
          <cell r="E10394">
            <v>46191</v>
          </cell>
        </row>
        <row r="10395">
          <cell r="A10395" t="str">
            <v>2623SF27</v>
          </cell>
          <cell r="D10395" t="str">
            <v>KBP52</v>
          </cell>
          <cell r="E10395">
            <v>46191</v>
          </cell>
        </row>
        <row r="10396">
          <cell r="A10396" t="str">
            <v>2620CZ47</v>
          </cell>
          <cell r="D10396" t="str">
            <v>KBP86</v>
          </cell>
          <cell r="E10396">
            <v>46191</v>
          </cell>
        </row>
        <row r="10397">
          <cell r="A10397" t="str">
            <v>2622OV47</v>
          </cell>
          <cell r="D10397" t="str">
            <v>FTW503</v>
          </cell>
          <cell r="E10397">
            <v>46191</v>
          </cell>
        </row>
        <row r="10398">
          <cell r="A10398" t="str">
            <v>2619YF57</v>
          </cell>
          <cell r="D10398" t="str">
            <v>KBP86</v>
          </cell>
          <cell r="E10398">
            <v>46191</v>
          </cell>
        </row>
        <row r="10399">
          <cell r="A10399" t="str">
            <v>2623FB20</v>
          </cell>
          <cell r="D10399" t="str">
            <v>STA200KA</v>
          </cell>
          <cell r="E10399">
            <v>46191</v>
          </cell>
        </row>
        <row r="10400">
          <cell r="A10400" t="str">
            <v>2622DD67</v>
          </cell>
          <cell r="D10400" t="str">
            <v>KBP76</v>
          </cell>
          <cell r="E10400">
            <v>46191</v>
          </cell>
        </row>
        <row r="10401">
          <cell r="A10401" t="str">
            <v>2621FC67</v>
          </cell>
          <cell r="D10401" t="str">
            <v>KBP76</v>
          </cell>
          <cell r="E10401">
            <v>46191</v>
          </cell>
        </row>
        <row r="10402">
          <cell r="A10402" t="str">
            <v>2622BC67</v>
          </cell>
          <cell r="D10402" t="str">
            <v>KBP52</v>
          </cell>
          <cell r="E10402">
            <v>46191</v>
          </cell>
        </row>
        <row r="10403">
          <cell r="A10403" t="str">
            <v>2623J827</v>
          </cell>
          <cell r="D10403" t="str">
            <v>FTP200</v>
          </cell>
          <cell r="E10403">
            <v>46191</v>
          </cell>
        </row>
        <row r="10404">
          <cell r="A10404" t="str">
            <v>2623JT57</v>
          </cell>
          <cell r="D10404" t="str">
            <v>S706</v>
          </cell>
          <cell r="E10404">
            <v>46191</v>
          </cell>
        </row>
        <row r="10405">
          <cell r="A10405" t="str">
            <v>2623SH37</v>
          </cell>
          <cell r="D10405" t="str">
            <v>TTS80</v>
          </cell>
          <cell r="E10405">
            <v>46191</v>
          </cell>
        </row>
        <row r="10406">
          <cell r="A10406" t="str">
            <v>2623BI67</v>
          </cell>
          <cell r="D10406" t="str">
            <v>KBP86</v>
          </cell>
          <cell r="E10406">
            <v>46191</v>
          </cell>
        </row>
        <row r="10407">
          <cell r="A10407" t="str">
            <v>2623KS47</v>
          </cell>
          <cell r="D10407" t="str">
            <v>FTP200</v>
          </cell>
          <cell r="E10407">
            <v>46191</v>
          </cell>
        </row>
        <row r="10408">
          <cell r="A10408" t="str">
            <v>2623U427</v>
          </cell>
          <cell r="D10408" t="str">
            <v>KBP74</v>
          </cell>
          <cell r="E10408">
            <v>46191</v>
          </cell>
        </row>
        <row r="10409">
          <cell r="A10409" t="str">
            <v>2623IA27</v>
          </cell>
          <cell r="D10409" t="str">
            <v>KBP76</v>
          </cell>
          <cell r="E10409">
            <v>46191</v>
          </cell>
        </row>
        <row r="10410">
          <cell r="A10410" t="str">
            <v>2623LA17</v>
          </cell>
          <cell r="D10410" t="str">
            <v>FTP200</v>
          </cell>
          <cell r="E10410">
            <v>46191</v>
          </cell>
        </row>
        <row r="10411">
          <cell r="A10411" t="str">
            <v>2620UR57</v>
          </cell>
          <cell r="D10411" t="str">
            <v>S805</v>
          </cell>
          <cell r="E10411">
            <v>46191</v>
          </cell>
        </row>
        <row r="10412">
          <cell r="A10412" t="str">
            <v>2623IO67</v>
          </cell>
          <cell r="D10412" t="str">
            <v>S706</v>
          </cell>
          <cell r="E10412">
            <v>46191</v>
          </cell>
        </row>
        <row r="10413">
          <cell r="A10413" t="str">
            <v>2623SE27</v>
          </cell>
          <cell r="D10413" t="str">
            <v>KBP52</v>
          </cell>
          <cell r="E10413">
            <v>46191</v>
          </cell>
        </row>
        <row r="10414">
          <cell r="A10414" t="str">
            <v>2611Q857</v>
          </cell>
          <cell r="D10414" t="str">
            <v>FTW102K</v>
          </cell>
          <cell r="E10414">
            <v>46191</v>
          </cell>
        </row>
        <row r="10415">
          <cell r="A10415" t="str">
            <v>2623FG27</v>
          </cell>
          <cell r="D10415" t="str">
            <v>FTW700</v>
          </cell>
          <cell r="E10415">
            <v>46191</v>
          </cell>
        </row>
        <row r="10416">
          <cell r="A10416" t="str">
            <v>2623IT67</v>
          </cell>
          <cell r="D10416" t="str">
            <v>S706</v>
          </cell>
          <cell r="E10416">
            <v>46191</v>
          </cell>
        </row>
        <row r="10417">
          <cell r="A10417" t="str">
            <v>2621BE67</v>
          </cell>
          <cell r="D10417" t="str">
            <v>KBP76</v>
          </cell>
          <cell r="E10417">
            <v>46191</v>
          </cell>
        </row>
        <row r="10418">
          <cell r="A10418" t="str">
            <v>2623D837</v>
          </cell>
          <cell r="D10418" t="str">
            <v>STA200KA</v>
          </cell>
          <cell r="E10418">
            <v>46191</v>
          </cell>
        </row>
        <row r="10419">
          <cell r="A10419" t="str">
            <v>2622OB47</v>
          </cell>
          <cell r="D10419" t="str">
            <v>FTP150</v>
          </cell>
          <cell r="E10419">
            <v>46191</v>
          </cell>
        </row>
        <row r="10420">
          <cell r="A10420" t="str">
            <v>2622JV27</v>
          </cell>
          <cell r="D10420" t="str">
            <v>FTW102K</v>
          </cell>
          <cell r="E10420">
            <v>46191</v>
          </cell>
        </row>
        <row r="10421">
          <cell r="A10421" t="str">
            <v>2623IJ57</v>
          </cell>
          <cell r="D10421" t="str">
            <v>FTW102K</v>
          </cell>
          <cell r="E10421">
            <v>46191</v>
          </cell>
        </row>
        <row r="10422">
          <cell r="A10422" t="str">
            <v>2623LE47</v>
          </cell>
          <cell r="D10422" t="str">
            <v>S706</v>
          </cell>
          <cell r="E10422">
            <v>46191</v>
          </cell>
        </row>
        <row r="10423">
          <cell r="A10423" t="str">
            <v>2611PX57</v>
          </cell>
          <cell r="D10423" t="str">
            <v>FTW102K</v>
          </cell>
          <cell r="E10423">
            <v>46191</v>
          </cell>
        </row>
        <row r="10424">
          <cell r="A10424" t="str">
            <v>2623JT47</v>
          </cell>
          <cell r="D10424" t="str">
            <v>TTS50</v>
          </cell>
          <cell r="E10424">
            <v>46191</v>
          </cell>
        </row>
        <row r="10425">
          <cell r="A10425" t="str">
            <v>2622JM37</v>
          </cell>
          <cell r="D10425" t="str">
            <v>FTW503</v>
          </cell>
          <cell r="E10425">
            <v>46191</v>
          </cell>
        </row>
        <row r="10426">
          <cell r="A10426" t="str">
            <v>2622DA67</v>
          </cell>
          <cell r="D10426" t="str">
            <v>KBP76</v>
          </cell>
          <cell r="E10426">
            <v>46191</v>
          </cell>
        </row>
        <row r="10427">
          <cell r="A10427" t="str">
            <v>2623K857</v>
          </cell>
          <cell r="D10427" t="str">
            <v>KBP74</v>
          </cell>
          <cell r="E10427">
            <v>46191</v>
          </cell>
        </row>
        <row r="10428">
          <cell r="A10428" t="str">
            <v>2623DO47</v>
          </cell>
          <cell r="D10428" t="str">
            <v>S15MB</v>
          </cell>
          <cell r="E10428">
            <v>46191</v>
          </cell>
        </row>
        <row r="10429">
          <cell r="A10429" t="str">
            <v>2623U127</v>
          </cell>
          <cell r="D10429" t="str">
            <v>KBP76</v>
          </cell>
          <cell r="E10429">
            <v>46191</v>
          </cell>
        </row>
        <row r="10430">
          <cell r="A10430" t="str">
            <v>2622LC17</v>
          </cell>
          <cell r="D10430" t="str">
            <v>FTW503</v>
          </cell>
          <cell r="E10430">
            <v>46191</v>
          </cell>
        </row>
        <row r="10431">
          <cell r="A10431" t="str">
            <v>2623F937</v>
          </cell>
          <cell r="D10431" t="str">
            <v>KBP86</v>
          </cell>
          <cell r="E10431">
            <v>46191</v>
          </cell>
        </row>
        <row r="10432">
          <cell r="A10432" t="str">
            <v>2623CL27</v>
          </cell>
          <cell r="D10432" t="str">
            <v>KBP86</v>
          </cell>
          <cell r="E10432">
            <v>46191</v>
          </cell>
        </row>
        <row r="10433">
          <cell r="A10433" t="str">
            <v>2622JV37</v>
          </cell>
          <cell r="D10433" t="str">
            <v>FTW503</v>
          </cell>
          <cell r="E10433">
            <v>46191</v>
          </cell>
        </row>
        <row r="10434">
          <cell r="A10434" t="str">
            <v>2620CV67</v>
          </cell>
          <cell r="D10434" t="str">
            <v>KBP55</v>
          </cell>
          <cell r="E10434">
            <v>46191</v>
          </cell>
        </row>
        <row r="10435">
          <cell r="A10435" t="str">
            <v>2623JP57</v>
          </cell>
          <cell r="D10435" t="str">
            <v>TTS50</v>
          </cell>
          <cell r="E10435">
            <v>46191</v>
          </cell>
        </row>
        <row r="10436">
          <cell r="A10436" t="str">
            <v>2623I417</v>
          </cell>
          <cell r="D10436" t="str">
            <v>KBP86</v>
          </cell>
          <cell r="E10436">
            <v>46191</v>
          </cell>
        </row>
        <row r="10437">
          <cell r="A10437" t="str">
            <v>2622OY47</v>
          </cell>
          <cell r="D10437" t="str">
            <v>FTW503</v>
          </cell>
          <cell r="E10437">
            <v>46191</v>
          </cell>
        </row>
        <row r="10438">
          <cell r="A10438" t="str">
            <v>2621L637</v>
          </cell>
          <cell r="D10438" t="str">
            <v>KBP86</v>
          </cell>
          <cell r="E10438">
            <v>46191</v>
          </cell>
        </row>
        <row r="10439">
          <cell r="A10439" t="str">
            <v>2622OG37</v>
          </cell>
          <cell r="D10439" t="str">
            <v>KBP86</v>
          </cell>
          <cell r="E10439">
            <v>46191</v>
          </cell>
        </row>
        <row r="10440">
          <cell r="A10440" t="str">
            <v>2623LQ47</v>
          </cell>
          <cell r="D10440" t="str">
            <v>KBP76</v>
          </cell>
          <cell r="E10440">
            <v>46191</v>
          </cell>
        </row>
        <row r="10441">
          <cell r="A10441" t="str">
            <v>2623DD67</v>
          </cell>
          <cell r="D10441" t="str">
            <v>S805</v>
          </cell>
          <cell r="E10441">
            <v>46191</v>
          </cell>
        </row>
        <row r="10442">
          <cell r="A10442" t="str">
            <v>2623LG47</v>
          </cell>
          <cell r="D10442" t="str">
            <v>S706</v>
          </cell>
          <cell r="E10442">
            <v>46191</v>
          </cell>
        </row>
        <row r="10443">
          <cell r="A10443" t="str">
            <v>2622J437</v>
          </cell>
          <cell r="D10443" t="str">
            <v>S805</v>
          </cell>
          <cell r="E10443">
            <v>46191</v>
          </cell>
        </row>
        <row r="10444">
          <cell r="A10444" t="str">
            <v>2622VW47</v>
          </cell>
          <cell r="D10444" t="str">
            <v>STA156KA</v>
          </cell>
          <cell r="E10444">
            <v>46191</v>
          </cell>
        </row>
        <row r="10445">
          <cell r="A10445" t="str">
            <v>2622OU47</v>
          </cell>
          <cell r="D10445" t="str">
            <v>FTW503</v>
          </cell>
          <cell r="E10445">
            <v>46191</v>
          </cell>
        </row>
        <row r="10446">
          <cell r="A10446" t="str">
            <v>2622FH67</v>
          </cell>
          <cell r="D10446" t="str">
            <v>TTS80</v>
          </cell>
          <cell r="E10446">
            <v>46191</v>
          </cell>
        </row>
        <row r="10447">
          <cell r="A10447" t="str">
            <v>2610ZB37</v>
          </cell>
          <cell r="D10447" t="str">
            <v>KBP76</v>
          </cell>
          <cell r="E10447">
            <v>46191</v>
          </cell>
        </row>
        <row r="10448">
          <cell r="A10448" t="str">
            <v>2621DD57</v>
          </cell>
          <cell r="D10448" t="str">
            <v>FTP150</v>
          </cell>
          <cell r="E10448">
            <v>46191</v>
          </cell>
        </row>
        <row r="10449">
          <cell r="A10449" t="str">
            <v>2620AZ47</v>
          </cell>
          <cell r="D10449" t="str">
            <v>FTW102K</v>
          </cell>
          <cell r="E10449">
            <v>46191</v>
          </cell>
        </row>
        <row r="10450">
          <cell r="A10450" t="str">
            <v>2622QC47</v>
          </cell>
          <cell r="D10450" t="str">
            <v>FTW121KR</v>
          </cell>
          <cell r="E10450">
            <v>46191</v>
          </cell>
        </row>
        <row r="10451">
          <cell r="A10451" t="str">
            <v>2623FS27</v>
          </cell>
          <cell r="D10451" t="str">
            <v>FTW121KR</v>
          </cell>
          <cell r="E10451">
            <v>46191</v>
          </cell>
        </row>
        <row r="10452">
          <cell r="A10452" t="str">
            <v>2623LO37</v>
          </cell>
          <cell r="D10452" t="str">
            <v>FTW121KR</v>
          </cell>
          <cell r="E10452">
            <v>46191</v>
          </cell>
        </row>
        <row r="10453">
          <cell r="A10453" t="str">
            <v>2622OD37</v>
          </cell>
          <cell r="D10453" t="str">
            <v>KBP86</v>
          </cell>
          <cell r="E10453">
            <v>46191</v>
          </cell>
        </row>
        <row r="10454">
          <cell r="A10454" t="str">
            <v>2623F927</v>
          </cell>
          <cell r="D10454" t="str">
            <v>FTW700</v>
          </cell>
          <cell r="E10454">
            <v>46191</v>
          </cell>
        </row>
        <row r="10455">
          <cell r="A10455" t="str">
            <v>2622OS47</v>
          </cell>
          <cell r="D10455" t="str">
            <v>FTW503</v>
          </cell>
          <cell r="E10455">
            <v>46191</v>
          </cell>
        </row>
        <row r="10456">
          <cell r="A10456" t="str">
            <v>2623JY57</v>
          </cell>
          <cell r="D10456" t="str">
            <v>S706</v>
          </cell>
          <cell r="E10456">
            <v>46191</v>
          </cell>
        </row>
        <row r="10457">
          <cell r="A10457" t="str">
            <v>2623QM17</v>
          </cell>
          <cell r="D10457" t="str">
            <v>FTP200</v>
          </cell>
          <cell r="E10457">
            <v>46191</v>
          </cell>
        </row>
        <row r="10458">
          <cell r="A10458" t="str">
            <v>2622IW27</v>
          </cell>
          <cell r="D10458" t="str">
            <v>FTW503</v>
          </cell>
          <cell r="E10458">
            <v>46191</v>
          </cell>
        </row>
        <row r="10459">
          <cell r="A10459" t="str">
            <v>2623BX67</v>
          </cell>
          <cell r="D10459" t="str">
            <v>KBP86</v>
          </cell>
          <cell r="E10459">
            <v>46191</v>
          </cell>
        </row>
        <row r="10460">
          <cell r="A10460" t="str">
            <v>2622IJ27</v>
          </cell>
          <cell r="D10460" t="str">
            <v>FTW503</v>
          </cell>
          <cell r="E10460">
            <v>46191</v>
          </cell>
        </row>
        <row r="10461">
          <cell r="A10461" t="str">
            <v>2621PO27</v>
          </cell>
          <cell r="D10461" t="str">
            <v>KBP74</v>
          </cell>
          <cell r="E10461">
            <v>46191</v>
          </cell>
        </row>
        <row r="10462">
          <cell r="A10462" t="str">
            <v>2623SF37</v>
          </cell>
          <cell r="D10462" t="str">
            <v>TTS80</v>
          </cell>
          <cell r="E10462">
            <v>46191</v>
          </cell>
        </row>
        <row r="10463">
          <cell r="A10463" t="str">
            <v>2622O837</v>
          </cell>
          <cell r="D10463" t="str">
            <v>KBP86</v>
          </cell>
          <cell r="E10463">
            <v>46191</v>
          </cell>
        </row>
        <row r="10464">
          <cell r="A10464" t="str">
            <v>2621OA47</v>
          </cell>
          <cell r="D10464" t="str">
            <v>KBP86</v>
          </cell>
          <cell r="E10464">
            <v>46191</v>
          </cell>
        </row>
        <row r="10465">
          <cell r="A10465" t="str">
            <v>2623OX37</v>
          </cell>
          <cell r="D10465" t="str">
            <v>KBP76</v>
          </cell>
          <cell r="E10465">
            <v>46191</v>
          </cell>
        </row>
        <row r="10466">
          <cell r="A10466" t="str">
            <v>2622JS37</v>
          </cell>
          <cell r="D10466" t="str">
            <v>FTW503</v>
          </cell>
          <cell r="E10466">
            <v>46191</v>
          </cell>
        </row>
        <row r="10467">
          <cell r="A10467" t="str">
            <v>2624DN17</v>
          </cell>
          <cell r="D10467" t="str">
            <v>FTW503</v>
          </cell>
          <cell r="E10467">
            <v>46191</v>
          </cell>
        </row>
        <row r="10468">
          <cell r="A10468" t="str">
            <v>2613EX27</v>
          </cell>
          <cell r="D10468" t="str">
            <v>FTW102K</v>
          </cell>
          <cell r="E10468">
            <v>46191</v>
          </cell>
        </row>
        <row r="10469">
          <cell r="A10469" t="str">
            <v>2623P437</v>
          </cell>
          <cell r="D10469" t="str">
            <v>KBP52</v>
          </cell>
          <cell r="E10469">
            <v>46191</v>
          </cell>
        </row>
        <row r="10470">
          <cell r="A10470" t="str">
            <v>2622LP47</v>
          </cell>
          <cell r="D10470" t="str">
            <v>S706</v>
          </cell>
          <cell r="E10470">
            <v>46191</v>
          </cell>
        </row>
        <row r="10471">
          <cell r="A10471" t="str">
            <v>2622OL47</v>
          </cell>
          <cell r="D10471" t="str">
            <v>FTW503</v>
          </cell>
          <cell r="E10471">
            <v>46191</v>
          </cell>
        </row>
        <row r="10472">
          <cell r="A10472" t="str">
            <v>2622LH17</v>
          </cell>
          <cell r="D10472" t="str">
            <v>KBP44</v>
          </cell>
          <cell r="E10472">
            <v>46191</v>
          </cell>
        </row>
        <row r="10473">
          <cell r="A10473" t="str">
            <v>2623IF37</v>
          </cell>
          <cell r="D10473" t="str">
            <v>KBP86</v>
          </cell>
          <cell r="E10473">
            <v>46191</v>
          </cell>
        </row>
        <row r="10474">
          <cell r="A10474" t="str">
            <v>2623JD27</v>
          </cell>
          <cell r="D10474" t="str">
            <v>TTS80</v>
          </cell>
          <cell r="E10474">
            <v>46191</v>
          </cell>
        </row>
        <row r="10475">
          <cell r="A10475" t="str">
            <v>2623A967</v>
          </cell>
          <cell r="D10475" t="str">
            <v>S15MB</v>
          </cell>
          <cell r="E10475">
            <v>46191</v>
          </cell>
        </row>
        <row r="10476">
          <cell r="A10476" t="str">
            <v>2623HX67</v>
          </cell>
          <cell r="D10476" t="str">
            <v>KBP52</v>
          </cell>
          <cell r="E10476">
            <v>46191</v>
          </cell>
        </row>
        <row r="10477">
          <cell r="A10477" t="str">
            <v>2621Q727</v>
          </cell>
          <cell r="D10477" t="str">
            <v>KBP55</v>
          </cell>
          <cell r="E10477">
            <v>46191</v>
          </cell>
        </row>
        <row r="10478">
          <cell r="A10478" t="str">
            <v>2623IA37</v>
          </cell>
          <cell r="D10478" t="str">
            <v>KBP86</v>
          </cell>
          <cell r="E10478">
            <v>46191</v>
          </cell>
        </row>
        <row r="10479">
          <cell r="A10479" t="str">
            <v>2623FC37</v>
          </cell>
          <cell r="D10479" t="str">
            <v>KBP86</v>
          </cell>
          <cell r="E10479">
            <v>46191</v>
          </cell>
        </row>
        <row r="10480">
          <cell r="A10480" t="str">
            <v>2623I467</v>
          </cell>
          <cell r="D10480" t="str">
            <v>KBP52</v>
          </cell>
          <cell r="E10480">
            <v>46191</v>
          </cell>
        </row>
        <row r="10481">
          <cell r="A10481" t="str">
            <v>2623SR37</v>
          </cell>
          <cell r="D10481" t="str">
            <v>TTS80</v>
          </cell>
          <cell r="E10481">
            <v>46191</v>
          </cell>
        </row>
        <row r="10482">
          <cell r="A10482" t="str">
            <v>2622WI47</v>
          </cell>
          <cell r="D10482" t="str">
            <v>FTP200</v>
          </cell>
          <cell r="E10482">
            <v>46191</v>
          </cell>
        </row>
        <row r="10483">
          <cell r="A10483" t="str">
            <v>2623CQ27</v>
          </cell>
          <cell r="D10483" t="str">
            <v>KBP76</v>
          </cell>
          <cell r="E10483">
            <v>46191</v>
          </cell>
        </row>
        <row r="10484">
          <cell r="A10484" t="str">
            <v>2623PR17</v>
          </cell>
          <cell r="D10484" t="str">
            <v>KBP76</v>
          </cell>
          <cell r="E10484">
            <v>46191</v>
          </cell>
        </row>
        <row r="10485">
          <cell r="A10485" t="str">
            <v>2623LW67</v>
          </cell>
          <cell r="D10485" t="str">
            <v>TTS80</v>
          </cell>
          <cell r="E10485">
            <v>46191</v>
          </cell>
        </row>
        <row r="10486">
          <cell r="A10486" t="str">
            <v>2612CU80</v>
          </cell>
          <cell r="D10486" t="str">
            <v>HV200</v>
          </cell>
          <cell r="E10486">
            <v>46191</v>
          </cell>
        </row>
        <row r="10487">
          <cell r="A10487" t="str">
            <v>2622JH37</v>
          </cell>
          <cell r="D10487" t="str">
            <v>FTP150</v>
          </cell>
          <cell r="E10487">
            <v>46191</v>
          </cell>
        </row>
        <row r="10488">
          <cell r="A10488" t="str">
            <v>2622IV27</v>
          </cell>
          <cell r="D10488" t="str">
            <v>FTW503</v>
          </cell>
          <cell r="E10488">
            <v>46191</v>
          </cell>
        </row>
        <row r="10489">
          <cell r="A10489" t="str">
            <v>2620CI47</v>
          </cell>
          <cell r="D10489" t="str">
            <v>KBP86</v>
          </cell>
          <cell r="E10489">
            <v>46191</v>
          </cell>
        </row>
        <row r="10490">
          <cell r="A10490" t="str">
            <v>2623O467</v>
          </cell>
          <cell r="D10490" t="str">
            <v>TTS80</v>
          </cell>
          <cell r="E10490">
            <v>46191</v>
          </cell>
        </row>
        <row r="10491">
          <cell r="A10491" t="str">
            <v>2623L237</v>
          </cell>
          <cell r="D10491" t="str">
            <v>FTW700</v>
          </cell>
          <cell r="E10491">
            <v>46191</v>
          </cell>
        </row>
        <row r="10492">
          <cell r="A10492" t="str">
            <v>2621DL67</v>
          </cell>
          <cell r="D10492" t="str">
            <v>KBP76</v>
          </cell>
          <cell r="E10492">
            <v>46191</v>
          </cell>
        </row>
        <row r="10493">
          <cell r="A10493" t="str">
            <v>2623LN17</v>
          </cell>
          <cell r="D10493" t="str">
            <v>KBP86</v>
          </cell>
          <cell r="E10493">
            <v>46191</v>
          </cell>
        </row>
        <row r="10494">
          <cell r="A10494" t="str">
            <v>2620X857</v>
          </cell>
          <cell r="D10494" t="str">
            <v>KBP52</v>
          </cell>
          <cell r="E10494">
            <v>46191</v>
          </cell>
        </row>
        <row r="10495">
          <cell r="A10495" t="str">
            <v>2623L267</v>
          </cell>
          <cell r="D10495" t="str">
            <v>TTS80</v>
          </cell>
          <cell r="E10495">
            <v>46191</v>
          </cell>
        </row>
        <row r="10496">
          <cell r="A10496" t="str">
            <v>2622A767</v>
          </cell>
          <cell r="D10496" t="str">
            <v>KBP86</v>
          </cell>
          <cell r="E10496">
            <v>46191</v>
          </cell>
        </row>
        <row r="10497">
          <cell r="A10497" t="str">
            <v>2620ZX17</v>
          </cell>
          <cell r="D10497" t="str">
            <v>KBP86</v>
          </cell>
          <cell r="E10497">
            <v>46191</v>
          </cell>
        </row>
        <row r="10498">
          <cell r="A10498" t="str">
            <v>2618Z337</v>
          </cell>
          <cell r="D10498" t="str">
            <v>S706</v>
          </cell>
          <cell r="E10498">
            <v>46190</v>
          </cell>
        </row>
        <row r="10499">
          <cell r="A10499" t="str">
            <v>2618Z337</v>
          </cell>
          <cell r="D10499" t="str">
            <v>S706</v>
          </cell>
          <cell r="E10499">
            <v>46190</v>
          </cell>
        </row>
        <row r="10500">
          <cell r="A10500" t="str">
            <v>2623ZB57</v>
          </cell>
          <cell r="D10500" t="str">
            <v>KBP44</v>
          </cell>
          <cell r="E10500">
            <v>46190</v>
          </cell>
        </row>
        <row r="10501">
          <cell r="A10501" t="str">
            <v>2622CD67</v>
          </cell>
          <cell r="D10501" t="str">
            <v>HV80</v>
          </cell>
          <cell r="E10501">
            <v>46190</v>
          </cell>
        </row>
        <row r="10502">
          <cell r="A10502" t="str">
            <v>2620H157</v>
          </cell>
          <cell r="D10502" t="str">
            <v>FTW121KR</v>
          </cell>
          <cell r="E10502">
            <v>46190</v>
          </cell>
        </row>
        <row r="10503">
          <cell r="A10503" t="str">
            <v>2623OL17</v>
          </cell>
          <cell r="D10503" t="str">
            <v>HV80</v>
          </cell>
          <cell r="E10503">
            <v>46190</v>
          </cell>
        </row>
        <row r="10504">
          <cell r="A10504" t="str">
            <v>2622CV67</v>
          </cell>
          <cell r="D10504" t="str">
            <v>TTS50</v>
          </cell>
          <cell r="E10504">
            <v>46190</v>
          </cell>
        </row>
        <row r="10505">
          <cell r="A10505" t="str">
            <v>2621LI37</v>
          </cell>
          <cell r="D10505" t="str">
            <v>HV80</v>
          </cell>
          <cell r="E10505">
            <v>46190</v>
          </cell>
        </row>
        <row r="10506">
          <cell r="A10506" t="str">
            <v>2623HX27</v>
          </cell>
          <cell r="D10506" t="str">
            <v>S706</v>
          </cell>
          <cell r="E10506">
            <v>46190</v>
          </cell>
        </row>
        <row r="10507">
          <cell r="A10507" t="str">
            <v>2619EX57</v>
          </cell>
          <cell r="D10507" t="str">
            <v>HV80</v>
          </cell>
          <cell r="E10507">
            <v>46190</v>
          </cell>
        </row>
        <row r="10508">
          <cell r="A10508" t="str">
            <v>2623SO27</v>
          </cell>
          <cell r="D10508" t="str">
            <v>S706</v>
          </cell>
          <cell r="E10508">
            <v>46190</v>
          </cell>
        </row>
        <row r="10509">
          <cell r="A10509" t="str">
            <v>2623I427</v>
          </cell>
          <cell r="D10509" t="str">
            <v>S706</v>
          </cell>
          <cell r="E10509">
            <v>46190</v>
          </cell>
        </row>
        <row r="10510">
          <cell r="A10510" t="str">
            <v>2623PR37</v>
          </cell>
          <cell r="D10510" t="str">
            <v>S706</v>
          </cell>
          <cell r="E10510">
            <v>46190</v>
          </cell>
        </row>
        <row r="10511">
          <cell r="A10511" t="str">
            <v>2623JS67</v>
          </cell>
          <cell r="D10511" t="str">
            <v>KBP76</v>
          </cell>
          <cell r="E10511">
            <v>46190</v>
          </cell>
        </row>
        <row r="10512">
          <cell r="A10512" t="str">
            <v>2623JU67</v>
          </cell>
          <cell r="D10512" t="str">
            <v>KBP76</v>
          </cell>
          <cell r="E10512">
            <v>46190</v>
          </cell>
        </row>
        <row r="10513">
          <cell r="A10513" t="str">
            <v>2623JV67</v>
          </cell>
          <cell r="D10513" t="str">
            <v>KBP76</v>
          </cell>
          <cell r="E10513">
            <v>46190</v>
          </cell>
        </row>
        <row r="10514">
          <cell r="A10514" t="str">
            <v>2623JY67</v>
          </cell>
          <cell r="D10514" t="str">
            <v>KBP76</v>
          </cell>
          <cell r="E10514">
            <v>46190</v>
          </cell>
        </row>
        <row r="10515">
          <cell r="A10515" t="str">
            <v>2624IT17</v>
          </cell>
          <cell r="D10515" t="str">
            <v>KBP76</v>
          </cell>
          <cell r="E10515">
            <v>46190</v>
          </cell>
        </row>
        <row r="10516">
          <cell r="A10516" t="str">
            <v>2624IU17</v>
          </cell>
          <cell r="D10516" t="str">
            <v>KBP76</v>
          </cell>
          <cell r="E10516">
            <v>46190</v>
          </cell>
        </row>
        <row r="10517">
          <cell r="A10517" t="str">
            <v>2623SY37</v>
          </cell>
          <cell r="D10517" t="str">
            <v>KBP86</v>
          </cell>
          <cell r="E10517">
            <v>46190</v>
          </cell>
        </row>
        <row r="10518">
          <cell r="A10518" t="str">
            <v>2623SX37</v>
          </cell>
          <cell r="D10518" t="str">
            <v>KBP86</v>
          </cell>
          <cell r="E10518">
            <v>46190</v>
          </cell>
        </row>
        <row r="10519">
          <cell r="A10519" t="str">
            <v>2620P537</v>
          </cell>
          <cell r="D10519" t="str">
            <v>HV80</v>
          </cell>
          <cell r="E10519">
            <v>46190</v>
          </cell>
        </row>
        <row r="10520">
          <cell r="A10520" t="str">
            <v>2619EX57</v>
          </cell>
          <cell r="D10520" t="str">
            <v>HV80</v>
          </cell>
          <cell r="E10520">
            <v>46190</v>
          </cell>
        </row>
        <row r="10521">
          <cell r="A10521" t="str">
            <v>2620LF27</v>
          </cell>
          <cell r="D10521" t="str">
            <v>HV80</v>
          </cell>
          <cell r="E10521">
            <v>46190</v>
          </cell>
        </row>
        <row r="10522">
          <cell r="A10522" t="str">
            <v>2621LI37</v>
          </cell>
          <cell r="D10522" t="str">
            <v>HV80</v>
          </cell>
          <cell r="E10522">
            <v>46190</v>
          </cell>
        </row>
        <row r="10523">
          <cell r="A10523" t="str">
            <v>2623OL17</v>
          </cell>
          <cell r="D10523" t="str">
            <v>HV80</v>
          </cell>
          <cell r="E10523">
            <v>46190</v>
          </cell>
        </row>
        <row r="10524">
          <cell r="A10524" t="str">
            <v>2622OC27</v>
          </cell>
          <cell r="D10524" t="str">
            <v>HV80</v>
          </cell>
          <cell r="E10524">
            <v>46190</v>
          </cell>
        </row>
        <row r="10525">
          <cell r="A10525" t="str">
            <v>2621LR27</v>
          </cell>
          <cell r="D10525" t="str">
            <v>HV80</v>
          </cell>
          <cell r="E10525">
            <v>46190</v>
          </cell>
        </row>
        <row r="10526">
          <cell r="A10526" t="str">
            <v>2621QG17</v>
          </cell>
          <cell r="D10526" t="str">
            <v>HV80</v>
          </cell>
          <cell r="E10526">
            <v>46190</v>
          </cell>
        </row>
        <row r="10527">
          <cell r="A10527" t="str">
            <v>2622CD67</v>
          </cell>
          <cell r="D10527" t="str">
            <v>HV80</v>
          </cell>
          <cell r="E10527">
            <v>46190</v>
          </cell>
        </row>
        <row r="10528">
          <cell r="A10528" t="str">
            <v>2620KN17</v>
          </cell>
          <cell r="D10528" t="str">
            <v>HV80</v>
          </cell>
          <cell r="E10528">
            <v>46190</v>
          </cell>
        </row>
        <row r="10529">
          <cell r="A10529" t="str">
            <v>2622JZ27</v>
          </cell>
          <cell r="D10529" t="str">
            <v>FTW121KE</v>
          </cell>
          <cell r="E10529">
            <v>46190</v>
          </cell>
        </row>
        <row r="10530">
          <cell r="A10530" t="str">
            <v>2621OE37</v>
          </cell>
          <cell r="D10530" t="str">
            <v>KBP55</v>
          </cell>
          <cell r="E10530">
            <v>46190</v>
          </cell>
        </row>
        <row r="10531">
          <cell r="A10531" t="str">
            <v>2622DA47</v>
          </cell>
          <cell r="D10531" t="str">
            <v>S15MB</v>
          </cell>
          <cell r="E10531">
            <v>46190</v>
          </cell>
        </row>
        <row r="10532">
          <cell r="A10532" t="str">
            <v>2623IN47</v>
          </cell>
          <cell r="D10532" t="str">
            <v>FTW102K</v>
          </cell>
          <cell r="E10532">
            <v>46190</v>
          </cell>
        </row>
        <row r="10533">
          <cell r="A10533" t="str">
            <v>2622S637</v>
          </cell>
          <cell r="D10533" t="str">
            <v>TTS50</v>
          </cell>
          <cell r="E10533">
            <v>46190</v>
          </cell>
        </row>
        <row r="10534">
          <cell r="A10534" t="str">
            <v>2623KM47</v>
          </cell>
          <cell r="D10534" t="str">
            <v>FTW121KE</v>
          </cell>
          <cell r="E10534">
            <v>46190</v>
          </cell>
        </row>
        <row r="10535">
          <cell r="A10535" t="str">
            <v>2623DF27</v>
          </cell>
          <cell r="D10535" t="str">
            <v>S805</v>
          </cell>
          <cell r="E10535">
            <v>46190</v>
          </cell>
        </row>
        <row r="10536">
          <cell r="A10536" t="str">
            <v>2623LR17</v>
          </cell>
          <cell r="D10536" t="str">
            <v>FTW102K</v>
          </cell>
          <cell r="E10536">
            <v>46190</v>
          </cell>
        </row>
        <row r="10537">
          <cell r="A10537" t="str">
            <v>2622OY57</v>
          </cell>
          <cell r="D10537" t="str">
            <v>KBP86</v>
          </cell>
          <cell r="E10537">
            <v>46190</v>
          </cell>
        </row>
        <row r="10538">
          <cell r="A10538" t="str">
            <v>2622EM67</v>
          </cell>
          <cell r="D10538" t="str">
            <v>TTS80</v>
          </cell>
          <cell r="E10538">
            <v>46190</v>
          </cell>
        </row>
        <row r="10539">
          <cell r="A10539" t="str">
            <v>2615DJ40</v>
          </cell>
          <cell r="D10539" t="str">
            <v>TTS125</v>
          </cell>
          <cell r="E10539">
            <v>46190</v>
          </cell>
        </row>
        <row r="10540">
          <cell r="A10540" t="str">
            <v>2622W447</v>
          </cell>
          <cell r="D10540" t="str">
            <v>TTS50</v>
          </cell>
          <cell r="E10540">
            <v>46190</v>
          </cell>
        </row>
        <row r="10541">
          <cell r="A10541" t="str">
            <v>2623J927</v>
          </cell>
          <cell r="D10541" t="str">
            <v>FTP200</v>
          </cell>
          <cell r="E10541">
            <v>46190</v>
          </cell>
        </row>
        <row r="10542">
          <cell r="A10542" t="str">
            <v>2621PS17</v>
          </cell>
          <cell r="D10542" t="str">
            <v>KBP86</v>
          </cell>
          <cell r="E10542">
            <v>46190</v>
          </cell>
        </row>
        <row r="10543">
          <cell r="A10543" t="str">
            <v>2623QK17</v>
          </cell>
          <cell r="D10543" t="str">
            <v>FTP200</v>
          </cell>
          <cell r="E10543">
            <v>46190</v>
          </cell>
        </row>
        <row r="10544">
          <cell r="A10544" t="str">
            <v>2613EE27</v>
          </cell>
          <cell r="D10544" t="str">
            <v>FTW102K</v>
          </cell>
          <cell r="E10544">
            <v>46190</v>
          </cell>
        </row>
        <row r="10545">
          <cell r="A10545" t="str">
            <v>2622FE67</v>
          </cell>
          <cell r="D10545" t="str">
            <v>TTS80</v>
          </cell>
          <cell r="E10545">
            <v>46190</v>
          </cell>
        </row>
        <row r="10546">
          <cell r="A10546" t="str">
            <v>2622FA67</v>
          </cell>
          <cell r="D10546" t="str">
            <v>TTS80</v>
          </cell>
          <cell r="E10546">
            <v>46190</v>
          </cell>
        </row>
        <row r="10547">
          <cell r="A10547" t="str">
            <v>2622O557</v>
          </cell>
          <cell r="D10547" t="str">
            <v>STA156KA</v>
          </cell>
          <cell r="E10547">
            <v>46190</v>
          </cell>
        </row>
        <row r="10548">
          <cell r="A10548" t="str">
            <v>2622AR67</v>
          </cell>
          <cell r="D10548" t="str">
            <v>FTW102K</v>
          </cell>
          <cell r="E10548">
            <v>46190</v>
          </cell>
        </row>
        <row r="10549">
          <cell r="A10549" t="str">
            <v>2621G627</v>
          </cell>
          <cell r="D10549" t="str">
            <v>KBP86</v>
          </cell>
          <cell r="E10549">
            <v>46190</v>
          </cell>
        </row>
        <row r="10550">
          <cell r="A10550" t="str">
            <v>2622F367</v>
          </cell>
          <cell r="D10550" t="str">
            <v>TTS80</v>
          </cell>
          <cell r="E10550">
            <v>46190</v>
          </cell>
        </row>
        <row r="10551">
          <cell r="A10551" t="str">
            <v>2620D147</v>
          </cell>
          <cell r="D10551" t="str">
            <v>KBP86</v>
          </cell>
          <cell r="E10551">
            <v>46190</v>
          </cell>
        </row>
        <row r="10552">
          <cell r="A10552" t="str">
            <v>2620X757</v>
          </cell>
          <cell r="D10552" t="str">
            <v>KBP52</v>
          </cell>
          <cell r="E10552">
            <v>46190</v>
          </cell>
        </row>
        <row r="10553">
          <cell r="A10553" t="str">
            <v>2623D967</v>
          </cell>
          <cell r="D10553" t="str">
            <v>S706</v>
          </cell>
          <cell r="E10553">
            <v>46190</v>
          </cell>
        </row>
        <row r="10554">
          <cell r="A10554" t="str">
            <v>2613H637</v>
          </cell>
          <cell r="D10554" t="str">
            <v>FTW503</v>
          </cell>
          <cell r="E10554">
            <v>46190</v>
          </cell>
        </row>
        <row r="10555">
          <cell r="A10555" t="str">
            <v>2621I527</v>
          </cell>
          <cell r="D10555" t="str">
            <v>FTW121KE</v>
          </cell>
          <cell r="E10555">
            <v>46190</v>
          </cell>
        </row>
        <row r="10556">
          <cell r="A10556" t="str">
            <v>2621DH67</v>
          </cell>
          <cell r="D10556" t="str">
            <v>KBP52</v>
          </cell>
          <cell r="E10556">
            <v>46190</v>
          </cell>
        </row>
        <row r="10557">
          <cell r="A10557" t="str">
            <v>2623IQ27</v>
          </cell>
          <cell r="D10557" t="str">
            <v>KBP76</v>
          </cell>
          <cell r="E10557">
            <v>46190</v>
          </cell>
        </row>
        <row r="10558">
          <cell r="A10558" t="str">
            <v>2622F167</v>
          </cell>
          <cell r="D10558" t="str">
            <v>TTS80</v>
          </cell>
          <cell r="E10558">
            <v>46190</v>
          </cell>
        </row>
        <row r="10559">
          <cell r="A10559" t="str">
            <v>2622OQ47</v>
          </cell>
          <cell r="D10559" t="str">
            <v>FTW503</v>
          </cell>
          <cell r="E10559">
            <v>46190</v>
          </cell>
        </row>
        <row r="10560">
          <cell r="A10560" t="str">
            <v>2623B667</v>
          </cell>
          <cell r="D10560" t="str">
            <v>KBP86</v>
          </cell>
          <cell r="E10560">
            <v>46190</v>
          </cell>
        </row>
        <row r="10561">
          <cell r="A10561" t="str">
            <v>2623LP27</v>
          </cell>
          <cell r="D10561" t="str">
            <v>KBP86</v>
          </cell>
          <cell r="E10561">
            <v>46190</v>
          </cell>
        </row>
        <row r="10562">
          <cell r="A10562" t="str">
            <v>2623GL27</v>
          </cell>
          <cell r="D10562" t="str">
            <v>FTW102K</v>
          </cell>
          <cell r="E10562">
            <v>46190</v>
          </cell>
        </row>
        <row r="10563">
          <cell r="A10563" t="str">
            <v>2622W847</v>
          </cell>
          <cell r="D10563" t="str">
            <v>FTP200</v>
          </cell>
          <cell r="E10563">
            <v>46190</v>
          </cell>
        </row>
        <row r="10564">
          <cell r="A10564" t="str">
            <v>2623GK27</v>
          </cell>
          <cell r="D10564" t="str">
            <v>FTW102K</v>
          </cell>
          <cell r="E10564">
            <v>46190</v>
          </cell>
        </row>
        <row r="10565">
          <cell r="A10565" t="str">
            <v>2623IK17</v>
          </cell>
          <cell r="D10565" t="str">
            <v>S706</v>
          </cell>
          <cell r="E10565">
            <v>46190</v>
          </cell>
        </row>
        <row r="10566">
          <cell r="A10566" t="str">
            <v>2621PW17</v>
          </cell>
          <cell r="D10566" t="str">
            <v>KBP34</v>
          </cell>
          <cell r="E10566">
            <v>46190</v>
          </cell>
        </row>
        <row r="10567">
          <cell r="A10567" t="str">
            <v>2621KG47</v>
          </cell>
          <cell r="D10567" t="str">
            <v>FTW121KE</v>
          </cell>
          <cell r="E10567">
            <v>46190</v>
          </cell>
        </row>
        <row r="10568">
          <cell r="A10568" t="str">
            <v>2623CC27</v>
          </cell>
          <cell r="D10568" t="str">
            <v>KBP86</v>
          </cell>
          <cell r="E10568">
            <v>46190</v>
          </cell>
        </row>
        <row r="10569">
          <cell r="A10569" t="str">
            <v>2622VG57</v>
          </cell>
          <cell r="D10569" t="str">
            <v>S706</v>
          </cell>
          <cell r="E10569">
            <v>46190</v>
          </cell>
        </row>
        <row r="10570">
          <cell r="A10570" t="str">
            <v>2623FE17</v>
          </cell>
          <cell r="D10570" t="str">
            <v>KBP86</v>
          </cell>
          <cell r="E10570">
            <v>46190</v>
          </cell>
        </row>
        <row r="10571">
          <cell r="A10571" t="str">
            <v>2621G127</v>
          </cell>
          <cell r="D10571" t="str">
            <v>KBP86</v>
          </cell>
          <cell r="E10571">
            <v>46190</v>
          </cell>
        </row>
        <row r="10572">
          <cell r="A10572" t="str">
            <v>2622EW67</v>
          </cell>
          <cell r="D10572" t="str">
            <v>TTS80</v>
          </cell>
          <cell r="E10572">
            <v>46190</v>
          </cell>
        </row>
        <row r="10573">
          <cell r="A10573" t="str">
            <v>2622WE47</v>
          </cell>
          <cell r="D10573" t="str">
            <v>FTP200</v>
          </cell>
          <cell r="E10573">
            <v>46190</v>
          </cell>
        </row>
        <row r="10574">
          <cell r="A10574" t="str">
            <v>2623SP37</v>
          </cell>
          <cell r="D10574" t="str">
            <v>TTS80</v>
          </cell>
          <cell r="E10574">
            <v>46190</v>
          </cell>
        </row>
        <row r="10575">
          <cell r="A10575" t="str">
            <v>2620CO47</v>
          </cell>
          <cell r="D10575" t="str">
            <v>KBP86</v>
          </cell>
          <cell r="E10575">
            <v>46190</v>
          </cell>
        </row>
        <row r="10576">
          <cell r="A10576" t="str">
            <v>2622UI57</v>
          </cell>
          <cell r="D10576" t="str">
            <v>KBP86</v>
          </cell>
          <cell r="E10576">
            <v>46190</v>
          </cell>
        </row>
        <row r="10577">
          <cell r="A10577" t="str">
            <v>2618GX27</v>
          </cell>
          <cell r="D10577" t="str">
            <v>FTW503</v>
          </cell>
          <cell r="E10577">
            <v>46190</v>
          </cell>
        </row>
        <row r="10578">
          <cell r="A10578" t="str">
            <v>2622LV57</v>
          </cell>
          <cell r="D10578" t="str">
            <v>KBP126</v>
          </cell>
          <cell r="E10578">
            <v>46190</v>
          </cell>
        </row>
        <row r="10579">
          <cell r="A10579" t="str">
            <v>2622EJ67</v>
          </cell>
          <cell r="D10579" t="str">
            <v>TTS80</v>
          </cell>
          <cell r="E10579">
            <v>46190</v>
          </cell>
        </row>
        <row r="10580">
          <cell r="A10580" t="str">
            <v>2623FH27</v>
          </cell>
          <cell r="D10580" t="str">
            <v>FTW700</v>
          </cell>
          <cell r="E10580">
            <v>46190</v>
          </cell>
        </row>
        <row r="10581">
          <cell r="A10581" t="str">
            <v>2623CH27</v>
          </cell>
          <cell r="D10581" t="str">
            <v>KBP86</v>
          </cell>
          <cell r="E10581">
            <v>46190</v>
          </cell>
        </row>
        <row r="10582">
          <cell r="A10582" t="str">
            <v>2622AS67</v>
          </cell>
          <cell r="D10582" t="str">
            <v>FTW102K</v>
          </cell>
          <cell r="E10582">
            <v>46190</v>
          </cell>
        </row>
        <row r="10583">
          <cell r="A10583" t="str">
            <v>2623SH27</v>
          </cell>
          <cell r="D10583" t="str">
            <v>KBP126</v>
          </cell>
          <cell r="E10583">
            <v>46190</v>
          </cell>
        </row>
        <row r="10584">
          <cell r="A10584" t="str">
            <v>2622AP67</v>
          </cell>
          <cell r="D10584" t="str">
            <v>FTW102K</v>
          </cell>
          <cell r="E10584">
            <v>46190</v>
          </cell>
        </row>
        <row r="10585">
          <cell r="A10585" t="str">
            <v>2618HP17</v>
          </cell>
          <cell r="D10585" t="str">
            <v>FTW503</v>
          </cell>
          <cell r="E10585">
            <v>46190</v>
          </cell>
        </row>
        <row r="10586">
          <cell r="A10586" t="str">
            <v>2620JD27</v>
          </cell>
          <cell r="D10586" t="str">
            <v>TTS50</v>
          </cell>
          <cell r="E10586">
            <v>46190</v>
          </cell>
        </row>
        <row r="10587">
          <cell r="A10587" t="str">
            <v>2623SI37</v>
          </cell>
          <cell r="D10587" t="str">
            <v>TTS80</v>
          </cell>
          <cell r="E10587">
            <v>46190</v>
          </cell>
        </row>
        <row r="10588">
          <cell r="A10588" t="str">
            <v>2611I527</v>
          </cell>
          <cell r="D10588" t="str">
            <v>FTW102K</v>
          </cell>
          <cell r="E10588">
            <v>46190</v>
          </cell>
        </row>
        <row r="10589">
          <cell r="A10589" t="str">
            <v>2622X857</v>
          </cell>
          <cell r="D10589" t="str">
            <v>FTW121KE</v>
          </cell>
          <cell r="E10589">
            <v>46190</v>
          </cell>
        </row>
        <row r="10590">
          <cell r="A10590" t="str">
            <v>2622SP47</v>
          </cell>
          <cell r="D10590" t="str">
            <v>KBP52</v>
          </cell>
          <cell r="E10590">
            <v>46190</v>
          </cell>
        </row>
        <row r="10591">
          <cell r="A10591" t="str">
            <v>2622QZ17</v>
          </cell>
          <cell r="D10591" t="str">
            <v>STA156KA</v>
          </cell>
          <cell r="E10591">
            <v>46190</v>
          </cell>
        </row>
        <row r="10592">
          <cell r="A10592" t="str">
            <v>2621OG47</v>
          </cell>
          <cell r="D10592" t="str">
            <v>KBP86</v>
          </cell>
          <cell r="E10592">
            <v>46190</v>
          </cell>
        </row>
        <row r="10593">
          <cell r="A10593" t="str">
            <v>2623DG17</v>
          </cell>
          <cell r="D10593" t="str">
            <v>KBP126</v>
          </cell>
          <cell r="E10593">
            <v>46190</v>
          </cell>
        </row>
        <row r="10594">
          <cell r="A10594" t="str">
            <v>2623CM27</v>
          </cell>
          <cell r="D10594" t="str">
            <v>KBP86</v>
          </cell>
          <cell r="E10594">
            <v>46190</v>
          </cell>
        </row>
        <row r="10595">
          <cell r="A10595" t="str">
            <v>2618H127</v>
          </cell>
          <cell r="D10595" t="str">
            <v>FTW503</v>
          </cell>
          <cell r="E10595">
            <v>46190</v>
          </cell>
        </row>
        <row r="10596">
          <cell r="A10596" t="str">
            <v>2622QH47</v>
          </cell>
          <cell r="D10596" t="str">
            <v>FTW121KE</v>
          </cell>
          <cell r="E10596">
            <v>46190</v>
          </cell>
        </row>
        <row r="10597">
          <cell r="A10597" t="str">
            <v>2623IM17</v>
          </cell>
          <cell r="D10597" t="str">
            <v>S706</v>
          </cell>
          <cell r="E10597">
            <v>46190</v>
          </cell>
        </row>
        <row r="10598">
          <cell r="A10598" t="str">
            <v>2622K717</v>
          </cell>
          <cell r="D10598" t="str">
            <v>S15MB</v>
          </cell>
          <cell r="E10598">
            <v>46190</v>
          </cell>
        </row>
        <row r="10599">
          <cell r="A10599" t="str">
            <v>2610X857</v>
          </cell>
          <cell r="D10599" t="str">
            <v>FTP150</v>
          </cell>
          <cell r="E10599">
            <v>46190</v>
          </cell>
        </row>
        <row r="10600">
          <cell r="A10600" t="str">
            <v>2612DW57</v>
          </cell>
          <cell r="D10600" t="str">
            <v>FTW503</v>
          </cell>
          <cell r="E10600">
            <v>46190</v>
          </cell>
        </row>
        <row r="10601">
          <cell r="A10601" t="str">
            <v>2622OQ37</v>
          </cell>
          <cell r="D10601" t="str">
            <v>FTW102K</v>
          </cell>
          <cell r="E10601">
            <v>46190</v>
          </cell>
        </row>
        <row r="10602">
          <cell r="A10602" t="str">
            <v>2622S937</v>
          </cell>
          <cell r="D10602" t="str">
            <v>TTS50</v>
          </cell>
          <cell r="E10602">
            <v>46190</v>
          </cell>
        </row>
        <row r="10603">
          <cell r="A10603" t="str">
            <v>2620WT57</v>
          </cell>
          <cell r="D10603" t="str">
            <v>FTW121KE</v>
          </cell>
          <cell r="E10603">
            <v>46190</v>
          </cell>
        </row>
        <row r="10604">
          <cell r="A10604" t="str">
            <v>2612IC47</v>
          </cell>
          <cell r="D10604" t="str">
            <v>FTW102K</v>
          </cell>
          <cell r="E10604">
            <v>46190</v>
          </cell>
        </row>
        <row r="10605">
          <cell r="A10605" t="str">
            <v>2622LM47</v>
          </cell>
          <cell r="D10605" t="str">
            <v>S706</v>
          </cell>
          <cell r="E10605">
            <v>46190</v>
          </cell>
        </row>
        <row r="10606">
          <cell r="A10606" t="str">
            <v>2612I927</v>
          </cell>
          <cell r="D10606" t="str">
            <v>FTW102K</v>
          </cell>
          <cell r="E10606">
            <v>46190</v>
          </cell>
        </row>
        <row r="10607">
          <cell r="A10607" t="str">
            <v>2622LQ37</v>
          </cell>
          <cell r="D10607" t="str">
            <v>FTW121KE</v>
          </cell>
          <cell r="E10607">
            <v>46190</v>
          </cell>
        </row>
        <row r="10608">
          <cell r="A10608" t="str">
            <v>2623CR27</v>
          </cell>
          <cell r="D10608" t="str">
            <v>KBP76</v>
          </cell>
          <cell r="E10608">
            <v>46190</v>
          </cell>
        </row>
        <row r="10609">
          <cell r="A10609" t="str">
            <v>2622LR57</v>
          </cell>
          <cell r="D10609" t="str">
            <v>KBP126</v>
          </cell>
          <cell r="E10609">
            <v>46190</v>
          </cell>
        </row>
        <row r="10610">
          <cell r="A10610" t="str">
            <v>2622D947</v>
          </cell>
          <cell r="D10610" t="str">
            <v>S15MB</v>
          </cell>
          <cell r="E10610">
            <v>46190</v>
          </cell>
        </row>
        <row r="10611">
          <cell r="A10611" t="str">
            <v>2622JN37</v>
          </cell>
          <cell r="D10611" t="str">
            <v>FTW503</v>
          </cell>
          <cell r="E10611">
            <v>46190</v>
          </cell>
        </row>
        <row r="10612">
          <cell r="A10612" t="str">
            <v>2620J727</v>
          </cell>
          <cell r="D10612" t="str">
            <v>TTS50</v>
          </cell>
          <cell r="E10612">
            <v>46190</v>
          </cell>
        </row>
        <row r="10613">
          <cell r="A10613" t="str">
            <v>2623LP17</v>
          </cell>
          <cell r="D10613" t="str">
            <v>FTW102K</v>
          </cell>
          <cell r="E10613">
            <v>46190</v>
          </cell>
        </row>
        <row r="10614">
          <cell r="A10614" t="str">
            <v>2622D847</v>
          </cell>
          <cell r="D10614" t="str">
            <v>S15MB</v>
          </cell>
          <cell r="E10614">
            <v>46190</v>
          </cell>
        </row>
        <row r="10615">
          <cell r="A10615" t="str">
            <v>2621EK57</v>
          </cell>
          <cell r="D10615" t="str">
            <v>KBP86</v>
          </cell>
          <cell r="E10615">
            <v>46190</v>
          </cell>
        </row>
        <row r="10616">
          <cell r="A10616" t="str">
            <v>2622V357</v>
          </cell>
          <cell r="D10616" t="str">
            <v>KBP76</v>
          </cell>
          <cell r="E10616">
            <v>46190</v>
          </cell>
        </row>
        <row r="10617">
          <cell r="A10617" t="str">
            <v>2612G847</v>
          </cell>
          <cell r="D10617" t="str">
            <v>FTW503</v>
          </cell>
          <cell r="E10617">
            <v>46190</v>
          </cell>
        </row>
        <row r="10618">
          <cell r="A10618" t="str">
            <v>2622EN67</v>
          </cell>
          <cell r="D10618" t="str">
            <v>TTS80</v>
          </cell>
          <cell r="E10618">
            <v>46190</v>
          </cell>
        </row>
        <row r="10619">
          <cell r="A10619" t="str">
            <v>2620SW57</v>
          </cell>
          <cell r="D10619" t="str">
            <v>KBP76</v>
          </cell>
          <cell r="E10619">
            <v>46190</v>
          </cell>
        </row>
        <row r="10620">
          <cell r="A10620" t="str">
            <v>2622SE47</v>
          </cell>
          <cell r="D10620" t="str">
            <v>FTW102K</v>
          </cell>
          <cell r="E10620">
            <v>46190</v>
          </cell>
        </row>
        <row r="10621">
          <cell r="A10621" t="str">
            <v>2618HD37</v>
          </cell>
          <cell r="D10621" t="str">
            <v>FTW503</v>
          </cell>
          <cell r="E10621">
            <v>46190</v>
          </cell>
        </row>
        <row r="10622">
          <cell r="A10622" t="str">
            <v>2622OX57</v>
          </cell>
          <cell r="D10622" t="str">
            <v>KBP86</v>
          </cell>
          <cell r="E10622">
            <v>46190</v>
          </cell>
        </row>
        <row r="10623">
          <cell r="A10623" t="str">
            <v>2613B527</v>
          </cell>
          <cell r="D10623" t="str">
            <v>FTW503</v>
          </cell>
          <cell r="E10623">
            <v>46190</v>
          </cell>
        </row>
        <row r="10624">
          <cell r="A10624" t="str">
            <v>2621U257</v>
          </cell>
          <cell r="D10624" t="str">
            <v>KBP126</v>
          </cell>
          <cell r="E10624">
            <v>46190</v>
          </cell>
        </row>
        <row r="10625">
          <cell r="A10625" t="str">
            <v>2623FC17</v>
          </cell>
          <cell r="D10625" t="str">
            <v>KBP86</v>
          </cell>
          <cell r="E10625">
            <v>46190</v>
          </cell>
        </row>
        <row r="10626">
          <cell r="A10626" t="str">
            <v>2622CW27</v>
          </cell>
          <cell r="D10626" t="str">
            <v>STA156KA</v>
          </cell>
          <cell r="E10626">
            <v>46190</v>
          </cell>
        </row>
        <row r="10627">
          <cell r="A10627" t="str">
            <v>2622LJ47</v>
          </cell>
          <cell r="D10627" t="str">
            <v>S706</v>
          </cell>
          <cell r="E10627">
            <v>46190</v>
          </cell>
        </row>
        <row r="10628">
          <cell r="A10628" t="str">
            <v>2623K817</v>
          </cell>
          <cell r="D10628" t="str">
            <v>FTW700</v>
          </cell>
          <cell r="E10628">
            <v>46190</v>
          </cell>
        </row>
        <row r="10629">
          <cell r="A10629" t="str">
            <v>2622Q747</v>
          </cell>
          <cell r="D10629" t="str">
            <v>FTW121KE</v>
          </cell>
          <cell r="E10629">
            <v>46190</v>
          </cell>
        </row>
        <row r="10630">
          <cell r="A10630" t="str">
            <v>2619YU57</v>
          </cell>
          <cell r="D10630" t="str">
            <v>KBP86</v>
          </cell>
          <cell r="E10630">
            <v>46190</v>
          </cell>
        </row>
        <row r="10631">
          <cell r="A10631" t="str">
            <v>2622SQ47</v>
          </cell>
          <cell r="D10631" t="str">
            <v>KBP52</v>
          </cell>
          <cell r="E10631">
            <v>46190</v>
          </cell>
        </row>
        <row r="10632">
          <cell r="A10632" t="str">
            <v>2612GO47</v>
          </cell>
          <cell r="D10632" t="str">
            <v>FTW503</v>
          </cell>
          <cell r="E10632">
            <v>46190</v>
          </cell>
        </row>
        <row r="10633">
          <cell r="A10633" t="str">
            <v>2623FC27</v>
          </cell>
          <cell r="D10633" t="str">
            <v>FTW700</v>
          </cell>
          <cell r="E10633">
            <v>46190</v>
          </cell>
        </row>
        <row r="10634">
          <cell r="A10634" t="str">
            <v>2623GM27</v>
          </cell>
          <cell r="D10634" t="str">
            <v>FTW102K</v>
          </cell>
          <cell r="E10634">
            <v>46190</v>
          </cell>
        </row>
        <row r="10635">
          <cell r="A10635" t="str">
            <v>2623FI27</v>
          </cell>
          <cell r="D10635" t="str">
            <v>FTW121KE</v>
          </cell>
          <cell r="E10635">
            <v>46190</v>
          </cell>
        </row>
        <row r="10636">
          <cell r="A10636" t="str">
            <v>2623OG17</v>
          </cell>
          <cell r="D10636" t="str">
            <v>KBP52</v>
          </cell>
          <cell r="E10636">
            <v>46190</v>
          </cell>
        </row>
        <row r="10637">
          <cell r="A10637" t="str">
            <v>2617F537</v>
          </cell>
          <cell r="D10637" t="str">
            <v>FTW503</v>
          </cell>
          <cell r="E10637">
            <v>46190</v>
          </cell>
        </row>
        <row r="10638">
          <cell r="A10638" t="str">
            <v>2623LO17</v>
          </cell>
          <cell r="D10638" t="str">
            <v>FTW102K</v>
          </cell>
          <cell r="E10638">
            <v>46190</v>
          </cell>
        </row>
        <row r="10639">
          <cell r="A10639" t="str">
            <v>2621XA57</v>
          </cell>
          <cell r="D10639" t="str">
            <v>FTW121KE</v>
          </cell>
          <cell r="E10639">
            <v>46190</v>
          </cell>
        </row>
        <row r="10640">
          <cell r="A10640" t="str">
            <v>2622QF47</v>
          </cell>
          <cell r="D10640" t="str">
            <v>FTW121KE</v>
          </cell>
          <cell r="E10640">
            <v>46190</v>
          </cell>
        </row>
        <row r="10641">
          <cell r="A10641" t="str">
            <v>2623LQ17</v>
          </cell>
          <cell r="D10641" t="str">
            <v>FTW102K</v>
          </cell>
          <cell r="E10641">
            <v>46190</v>
          </cell>
        </row>
        <row r="10642">
          <cell r="A10642" t="str">
            <v>2622K527</v>
          </cell>
          <cell r="D10642" t="str">
            <v>FTW121KE</v>
          </cell>
          <cell r="E10642">
            <v>46190</v>
          </cell>
        </row>
        <row r="10643">
          <cell r="A10643" t="str">
            <v>2622KZ47</v>
          </cell>
          <cell r="D10643" t="str">
            <v>KBP86</v>
          </cell>
          <cell r="E10643">
            <v>46190</v>
          </cell>
        </row>
        <row r="10644">
          <cell r="A10644" t="str">
            <v>2610I137</v>
          </cell>
          <cell r="D10644" t="str">
            <v>FTP150</v>
          </cell>
          <cell r="E10644">
            <v>46190</v>
          </cell>
        </row>
        <row r="10645">
          <cell r="A10645" t="str">
            <v>2619YZ57</v>
          </cell>
          <cell r="D10645" t="str">
            <v>KBP86</v>
          </cell>
          <cell r="E10645">
            <v>46190</v>
          </cell>
        </row>
        <row r="10646">
          <cell r="A10646" t="str">
            <v>2622PE17</v>
          </cell>
          <cell r="D10646" t="str">
            <v>KBP52</v>
          </cell>
          <cell r="E10646">
            <v>46190</v>
          </cell>
        </row>
        <row r="10647">
          <cell r="A10647" t="str">
            <v>2612VA57</v>
          </cell>
          <cell r="D10647" t="str">
            <v>FTW102K</v>
          </cell>
          <cell r="E10647">
            <v>46190</v>
          </cell>
        </row>
        <row r="10648">
          <cell r="A10648" t="str">
            <v>2622UF57</v>
          </cell>
          <cell r="D10648" t="str">
            <v>KBP86</v>
          </cell>
          <cell r="E10648">
            <v>46190</v>
          </cell>
        </row>
        <row r="10649">
          <cell r="A10649" t="str">
            <v>2623QL37</v>
          </cell>
          <cell r="D10649" t="str">
            <v>KBP76</v>
          </cell>
          <cell r="E10649">
            <v>46190</v>
          </cell>
        </row>
        <row r="10650">
          <cell r="A10650" t="str">
            <v>2622FC67</v>
          </cell>
          <cell r="D10650" t="str">
            <v>TTS80</v>
          </cell>
          <cell r="E10650">
            <v>46190</v>
          </cell>
        </row>
        <row r="10651">
          <cell r="A10651" t="str">
            <v>2622XD57</v>
          </cell>
          <cell r="D10651" t="str">
            <v>FTW121KR</v>
          </cell>
          <cell r="E10651">
            <v>46190</v>
          </cell>
        </row>
        <row r="10652">
          <cell r="A10652" t="str">
            <v>2621SO17</v>
          </cell>
          <cell r="D10652" t="str">
            <v>KBP55</v>
          </cell>
          <cell r="E10652">
            <v>46190</v>
          </cell>
        </row>
        <row r="10653">
          <cell r="A10653" t="str">
            <v>2622VH57</v>
          </cell>
          <cell r="D10653" t="str">
            <v>S706</v>
          </cell>
          <cell r="E10653">
            <v>46190</v>
          </cell>
        </row>
        <row r="10654">
          <cell r="A10654" t="str">
            <v>2622HA27</v>
          </cell>
          <cell r="D10654" t="str">
            <v>KBP86</v>
          </cell>
          <cell r="E10654">
            <v>46190</v>
          </cell>
        </row>
        <row r="10655">
          <cell r="A10655" t="str">
            <v>2622D557</v>
          </cell>
          <cell r="D10655" t="str">
            <v>S805</v>
          </cell>
          <cell r="E10655">
            <v>46190</v>
          </cell>
        </row>
        <row r="10656">
          <cell r="A10656" t="str">
            <v>2623DC27</v>
          </cell>
          <cell r="D10656" t="str">
            <v>S706</v>
          </cell>
          <cell r="E10656">
            <v>46190</v>
          </cell>
        </row>
        <row r="10657">
          <cell r="A10657" t="str">
            <v>2621E357</v>
          </cell>
          <cell r="D10657" t="str">
            <v>FTW121KE</v>
          </cell>
          <cell r="E10657">
            <v>46190</v>
          </cell>
        </row>
        <row r="10658">
          <cell r="A10658" t="str">
            <v>2622QN17</v>
          </cell>
          <cell r="D10658" t="str">
            <v>KBP76</v>
          </cell>
          <cell r="E10658">
            <v>46190</v>
          </cell>
        </row>
        <row r="10659">
          <cell r="A10659" t="str">
            <v>2622JX27</v>
          </cell>
          <cell r="D10659" t="str">
            <v>FTW121KE</v>
          </cell>
          <cell r="E10659">
            <v>46190</v>
          </cell>
        </row>
        <row r="10660">
          <cell r="A10660" t="str">
            <v>2621L347</v>
          </cell>
          <cell r="D10660" t="str">
            <v>FTW121KR</v>
          </cell>
          <cell r="E10660">
            <v>46190</v>
          </cell>
        </row>
        <row r="10661">
          <cell r="A10661" t="str">
            <v>2617L347</v>
          </cell>
          <cell r="D10661" t="str">
            <v>FTP200</v>
          </cell>
          <cell r="E10661">
            <v>46190</v>
          </cell>
        </row>
        <row r="10662">
          <cell r="A10662" t="str">
            <v>2623IT27</v>
          </cell>
          <cell r="D10662" t="str">
            <v>KBP76</v>
          </cell>
          <cell r="E10662">
            <v>46190</v>
          </cell>
        </row>
        <row r="10663">
          <cell r="A10663" t="str">
            <v>2623LS37</v>
          </cell>
          <cell r="D10663" t="str">
            <v>FTW121KR</v>
          </cell>
          <cell r="E10663">
            <v>46190</v>
          </cell>
        </row>
        <row r="10664">
          <cell r="A10664" t="str">
            <v>2621ES57</v>
          </cell>
          <cell r="D10664" t="str">
            <v>TTS50</v>
          </cell>
          <cell r="E10664">
            <v>46190</v>
          </cell>
        </row>
        <row r="10665">
          <cell r="A10665" t="str">
            <v>2623HF27</v>
          </cell>
          <cell r="D10665" t="str">
            <v>KBP52</v>
          </cell>
          <cell r="E10665">
            <v>46190</v>
          </cell>
        </row>
        <row r="10666">
          <cell r="A10666" t="str">
            <v>2622DO67</v>
          </cell>
          <cell r="D10666" t="str">
            <v>KBP76</v>
          </cell>
          <cell r="E10666">
            <v>46190</v>
          </cell>
        </row>
        <row r="10667">
          <cell r="A10667" t="str">
            <v>2623FU27</v>
          </cell>
          <cell r="D10667" t="str">
            <v>FTW121KR</v>
          </cell>
          <cell r="E10667">
            <v>46190</v>
          </cell>
        </row>
        <row r="10668">
          <cell r="A10668" t="str">
            <v>2621LK47</v>
          </cell>
          <cell r="D10668" t="str">
            <v>FTW121KR</v>
          </cell>
          <cell r="E10668">
            <v>46190</v>
          </cell>
        </row>
        <row r="10669">
          <cell r="A10669" t="str">
            <v>2622LK37</v>
          </cell>
          <cell r="D10669" t="str">
            <v>FTW121KR</v>
          </cell>
          <cell r="E10669">
            <v>46190</v>
          </cell>
        </row>
        <row r="10670">
          <cell r="A10670" t="str">
            <v>2622CO67</v>
          </cell>
          <cell r="D10670" t="str">
            <v>TTS50</v>
          </cell>
          <cell r="E10670">
            <v>46190</v>
          </cell>
        </row>
        <row r="10671">
          <cell r="A10671" t="str">
            <v>2620EH47</v>
          </cell>
          <cell r="D10671" t="str">
            <v>TTS50</v>
          </cell>
          <cell r="E10671">
            <v>46190</v>
          </cell>
        </row>
        <row r="10672">
          <cell r="A10672" t="str">
            <v>2623HZ27</v>
          </cell>
          <cell r="D10672" t="str">
            <v>S706</v>
          </cell>
          <cell r="E10672">
            <v>46190</v>
          </cell>
        </row>
        <row r="10673">
          <cell r="A10673" t="str">
            <v>2623PX37</v>
          </cell>
          <cell r="D10673" t="str">
            <v>S706</v>
          </cell>
          <cell r="E10673">
            <v>46190</v>
          </cell>
        </row>
        <row r="10674">
          <cell r="A10674" t="str">
            <v>2623SL27</v>
          </cell>
          <cell r="D10674" t="str">
            <v>S706</v>
          </cell>
          <cell r="E10674">
            <v>46190</v>
          </cell>
        </row>
        <row r="10675">
          <cell r="A10675" t="str">
            <v>2623PD17</v>
          </cell>
          <cell r="D10675" t="str">
            <v>S706</v>
          </cell>
          <cell r="E10675">
            <v>46190</v>
          </cell>
        </row>
        <row r="10676">
          <cell r="A10676" t="str">
            <v>2623P917</v>
          </cell>
          <cell r="D10676" t="str">
            <v>S706</v>
          </cell>
          <cell r="E10676">
            <v>46190</v>
          </cell>
        </row>
        <row r="10677">
          <cell r="A10677" t="str">
            <v>2619Z347</v>
          </cell>
          <cell r="D10677" t="str">
            <v>S706</v>
          </cell>
          <cell r="E10677">
            <v>46189</v>
          </cell>
        </row>
        <row r="10678">
          <cell r="A10678" t="str">
            <v>2623U527</v>
          </cell>
          <cell r="D10678" t="str">
            <v>KBP86</v>
          </cell>
          <cell r="E10678">
            <v>46189</v>
          </cell>
        </row>
        <row r="10679">
          <cell r="A10679" t="str">
            <v>2622W257</v>
          </cell>
          <cell r="D10679" t="str">
            <v>TTS50</v>
          </cell>
          <cell r="E10679">
            <v>46189</v>
          </cell>
        </row>
        <row r="10680">
          <cell r="A10680" t="str">
            <v>2620DH47</v>
          </cell>
          <cell r="D10680" t="str">
            <v>KBP52</v>
          </cell>
          <cell r="E10680">
            <v>46189</v>
          </cell>
        </row>
        <row r="10681">
          <cell r="A10681" t="str">
            <v>2621Z257</v>
          </cell>
          <cell r="D10681" t="str">
            <v>S706</v>
          </cell>
          <cell r="E10681">
            <v>46189</v>
          </cell>
        </row>
        <row r="10682">
          <cell r="A10682" t="str">
            <v>2621KO47</v>
          </cell>
          <cell r="D10682" t="str">
            <v>FTW121KR</v>
          </cell>
          <cell r="E10682">
            <v>46189</v>
          </cell>
        </row>
        <row r="10683">
          <cell r="A10683" t="str">
            <v>2622C367</v>
          </cell>
          <cell r="D10683" t="str">
            <v>HV80</v>
          </cell>
          <cell r="E10683">
            <v>46189</v>
          </cell>
        </row>
        <row r="10684">
          <cell r="A10684" t="str">
            <v>2623LE17</v>
          </cell>
          <cell r="D10684" t="str">
            <v>KBP86</v>
          </cell>
          <cell r="E10684">
            <v>46189</v>
          </cell>
        </row>
        <row r="10685">
          <cell r="A10685" t="str">
            <v>2622C467</v>
          </cell>
          <cell r="D10685" t="str">
            <v>HV80</v>
          </cell>
          <cell r="E10685">
            <v>46189</v>
          </cell>
        </row>
        <row r="10686">
          <cell r="A10686" t="str">
            <v>2620WG57</v>
          </cell>
          <cell r="D10686" t="str">
            <v>FTW121KE</v>
          </cell>
          <cell r="E10686">
            <v>46189</v>
          </cell>
        </row>
        <row r="10687">
          <cell r="A10687" t="str">
            <v>2623OJ17</v>
          </cell>
          <cell r="D10687" t="str">
            <v>HV80</v>
          </cell>
          <cell r="E10687">
            <v>46189</v>
          </cell>
        </row>
        <row r="10688">
          <cell r="A10688" t="str">
            <v>2623FJ17</v>
          </cell>
          <cell r="D10688" t="str">
            <v>KBP76</v>
          </cell>
          <cell r="E10688">
            <v>46189</v>
          </cell>
        </row>
        <row r="10689">
          <cell r="A10689" t="str">
            <v>2622CH67</v>
          </cell>
          <cell r="D10689" t="str">
            <v>HV80</v>
          </cell>
          <cell r="E10689">
            <v>46189</v>
          </cell>
        </row>
        <row r="10690">
          <cell r="A10690" t="str">
            <v>2620H757</v>
          </cell>
          <cell r="D10690" t="str">
            <v>FTW121KE</v>
          </cell>
          <cell r="E10690">
            <v>46189</v>
          </cell>
        </row>
        <row r="10691">
          <cell r="A10691" t="str">
            <v>2621X457</v>
          </cell>
          <cell r="D10691" t="str">
            <v>FTW121KR</v>
          </cell>
          <cell r="E10691">
            <v>46189</v>
          </cell>
        </row>
        <row r="10692">
          <cell r="A10692" t="str">
            <v>2623CY37</v>
          </cell>
          <cell r="D10692" t="str">
            <v>S15MB</v>
          </cell>
          <cell r="E10692">
            <v>46189</v>
          </cell>
        </row>
        <row r="10693">
          <cell r="A10693" t="str">
            <v>2623HY57</v>
          </cell>
          <cell r="D10693" t="str">
            <v>FTW102K</v>
          </cell>
          <cell r="E10693">
            <v>46189</v>
          </cell>
        </row>
        <row r="10694">
          <cell r="A10694" t="str">
            <v>2623CY37</v>
          </cell>
          <cell r="D10694" t="str">
            <v>S15MB</v>
          </cell>
          <cell r="E10694">
            <v>46189</v>
          </cell>
        </row>
        <row r="10695">
          <cell r="A10695" t="str">
            <v>2620I457</v>
          </cell>
          <cell r="D10695" t="str">
            <v>KBP86</v>
          </cell>
          <cell r="E10695">
            <v>46189</v>
          </cell>
        </row>
        <row r="10696">
          <cell r="A10696" t="str">
            <v>2622EH67</v>
          </cell>
          <cell r="D10696" t="str">
            <v>TTS80</v>
          </cell>
          <cell r="E10696">
            <v>46189</v>
          </cell>
        </row>
        <row r="10697">
          <cell r="A10697" t="str">
            <v>2623SW37</v>
          </cell>
          <cell r="D10697" t="str">
            <v>TTS80</v>
          </cell>
          <cell r="E10697">
            <v>46189</v>
          </cell>
        </row>
        <row r="10698">
          <cell r="A10698" t="str">
            <v>2621CU67</v>
          </cell>
          <cell r="D10698" t="str">
            <v>KBP86</v>
          </cell>
          <cell r="E10698">
            <v>46189</v>
          </cell>
        </row>
        <row r="10699">
          <cell r="A10699" t="str">
            <v>2623K547</v>
          </cell>
          <cell r="D10699" t="str">
            <v>FTW700</v>
          </cell>
          <cell r="E10699">
            <v>46189</v>
          </cell>
        </row>
        <row r="10700">
          <cell r="A10700" t="str">
            <v>2623DB27</v>
          </cell>
          <cell r="D10700" t="str">
            <v>S706</v>
          </cell>
          <cell r="E10700">
            <v>46189</v>
          </cell>
        </row>
        <row r="10701">
          <cell r="A10701" t="str">
            <v>2622D737</v>
          </cell>
          <cell r="D10701" t="str">
            <v>STA156KA</v>
          </cell>
          <cell r="E10701">
            <v>46189</v>
          </cell>
        </row>
        <row r="10702">
          <cell r="A10702" t="str">
            <v>2622UZ57</v>
          </cell>
          <cell r="D10702" t="str">
            <v>KBP76</v>
          </cell>
          <cell r="E10702">
            <v>46189</v>
          </cell>
        </row>
        <row r="10703">
          <cell r="A10703" t="str">
            <v>2621F457</v>
          </cell>
          <cell r="D10703" t="str">
            <v>FTP200</v>
          </cell>
          <cell r="E10703">
            <v>46189</v>
          </cell>
        </row>
        <row r="10704">
          <cell r="A10704" t="str">
            <v>2613HS47</v>
          </cell>
          <cell r="D10704" t="str">
            <v>FTW503</v>
          </cell>
          <cell r="E10704">
            <v>46189</v>
          </cell>
        </row>
        <row r="10705">
          <cell r="A10705" t="str">
            <v>2622KU27</v>
          </cell>
          <cell r="D10705" t="str">
            <v>FTW121KE</v>
          </cell>
          <cell r="E10705">
            <v>46189</v>
          </cell>
        </row>
        <row r="10706">
          <cell r="A10706" t="str">
            <v>2621P217</v>
          </cell>
          <cell r="D10706" t="str">
            <v>KBP52</v>
          </cell>
          <cell r="E10706">
            <v>46189</v>
          </cell>
        </row>
        <row r="10707">
          <cell r="A10707" t="str">
            <v>2623SQ37</v>
          </cell>
          <cell r="D10707" t="str">
            <v>TTS80</v>
          </cell>
          <cell r="E10707">
            <v>46189</v>
          </cell>
        </row>
        <row r="10708">
          <cell r="A10708" t="str">
            <v>2622OF47</v>
          </cell>
          <cell r="D10708" t="str">
            <v>FTW503</v>
          </cell>
          <cell r="E10708">
            <v>46189</v>
          </cell>
        </row>
        <row r="10709">
          <cell r="A10709" t="str">
            <v>2622HO27</v>
          </cell>
          <cell r="D10709" t="str">
            <v>KBP86</v>
          </cell>
          <cell r="E10709">
            <v>46189</v>
          </cell>
        </row>
        <row r="10710">
          <cell r="A10710" t="str">
            <v>2623IP27</v>
          </cell>
          <cell r="D10710" t="str">
            <v>KBP76</v>
          </cell>
          <cell r="E10710">
            <v>46189</v>
          </cell>
        </row>
        <row r="10711">
          <cell r="A10711" t="str">
            <v>2622W747</v>
          </cell>
          <cell r="D10711" t="str">
            <v>FTP200</v>
          </cell>
          <cell r="E10711">
            <v>46189</v>
          </cell>
        </row>
        <row r="10712">
          <cell r="A10712" t="str">
            <v>2621OI17</v>
          </cell>
          <cell r="D10712" t="str">
            <v>FTW121KE</v>
          </cell>
          <cell r="E10712">
            <v>46189</v>
          </cell>
        </row>
        <row r="10713">
          <cell r="A10713" t="str">
            <v>2621HS27</v>
          </cell>
          <cell r="D10713" t="str">
            <v>FTW121KE</v>
          </cell>
          <cell r="E10713">
            <v>46189</v>
          </cell>
        </row>
        <row r="10714">
          <cell r="A10714" t="str">
            <v>2622QZ47</v>
          </cell>
          <cell r="D10714" t="str">
            <v>KBP86</v>
          </cell>
          <cell r="E10714">
            <v>46189</v>
          </cell>
        </row>
        <row r="10715">
          <cell r="A10715" t="str">
            <v>2621JA27</v>
          </cell>
          <cell r="D10715" t="str">
            <v>KBP86</v>
          </cell>
          <cell r="E10715">
            <v>46189</v>
          </cell>
        </row>
        <row r="10716">
          <cell r="A10716" t="str">
            <v>2622O217</v>
          </cell>
          <cell r="D10716" t="str">
            <v>FTW121KR</v>
          </cell>
          <cell r="E10716">
            <v>46189</v>
          </cell>
        </row>
        <row r="10717">
          <cell r="A10717" t="str">
            <v>2622IO27</v>
          </cell>
          <cell r="D10717" t="str">
            <v>FTW503</v>
          </cell>
          <cell r="E10717">
            <v>46189</v>
          </cell>
        </row>
        <row r="10718">
          <cell r="A10718" t="str">
            <v>2612LT47</v>
          </cell>
          <cell r="D10718" t="str">
            <v>KBP76</v>
          </cell>
          <cell r="E10718">
            <v>46189</v>
          </cell>
        </row>
        <row r="10719">
          <cell r="A10719" t="str">
            <v>2617K357</v>
          </cell>
          <cell r="D10719" t="str">
            <v>STA156KA</v>
          </cell>
          <cell r="E10719">
            <v>46189</v>
          </cell>
        </row>
        <row r="10720">
          <cell r="A10720" t="str">
            <v>2612SY57</v>
          </cell>
          <cell r="D10720" t="str">
            <v>FTW503</v>
          </cell>
          <cell r="E10720">
            <v>46189</v>
          </cell>
        </row>
        <row r="10721">
          <cell r="A10721" t="str">
            <v>2622LZ17</v>
          </cell>
          <cell r="D10721" t="str">
            <v>FTW121KR</v>
          </cell>
          <cell r="E10721">
            <v>46189</v>
          </cell>
        </row>
        <row r="10722">
          <cell r="A10722" t="str">
            <v>2623CY37</v>
          </cell>
          <cell r="D10722" t="str">
            <v>S15MB</v>
          </cell>
          <cell r="E10722">
            <v>46189</v>
          </cell>
        </row>
        <row r="10723">
          <cell r="A10723" t="str">
            <v>2622JU27</v>
          </cell>
          <cell r="D10723" t="str">
            <v>KBP126</v>
          </cell>
          <cell r="E10723">
            <v>46189</v>
          </cell>
        </row>
        <row r="10724">
          <cell r="A10724" t="str">
            <v>2622U557</v>
          </cell>
          <cell r="D10724" t="str">
            <v>KBP86</v>
          </cell>
          <cell r="E10724">
            <v>46189</v>
          </cell>
        </row>
        <row r="10725">
          <cell r="A10725" t="str">
            <v>2622XV57</v>
          </cell>
          <cell r="D10725" t="str">
            <v>FTW121KR</v>
          </cell>
          <cell r="E10725">
            <v>46189</v>
          </cell>
        </row>
        <row r="10726">
          <cell r="A10726" t="str">
            <v>2621KO47</v>
          </cell>
          <cell r="D10726" t="str">
            <v>FTW121KR</v>
          </cell>
          <cell r="E10726">
            <v>46189</v>
          </cell>
        </row>
        <row r="10727">
          <cell r="A10727" t="str">
            <v>2623IH37</v>
          </cell>
          <cell r="D10727" t="str">
            <v>KBP86</v>
          </cell>
          <cell r="E10727">
            <v>46189</v>
          </cell>
        </row>
        <row r="10728">
          <cell r="A10728" t="str">
            <v>2622PS47</v>
          </cell>
          <cell r="D10728" t="str">
            <v>KBP126</v>
          </cell>
          <cell r="E10728">
            <v>46189</v>
          </cell>
        </row>
        <row r="10729">
          <cell r="A10729" t="str">
            <v>2623QL17</v>
          </cell>
          <cell r="D10729" t="str">
            <v>FTP200</v>
          </cell>
          <cell r="E10729">
            <v>46189</v>
          </cell>
        </row>
        <row r="10730">
          <cell r="A10730" t="str">
            <v>2622OZ47</v>
          </cell>
          <cell r="D10730" t="str">
            <v>FTW503</v>
          </cell>
          <cell r="E10730">
            <v>46189</v>
          </cell>
        </row>
        <row r="10731">
          <cell r="A10731" t="str">
            <v>2623JE27</v>
          </cell>
          <cell r="D10731" t="str">
            <v>TTS80</v>
          </cell>
          <cell r="E10731">
            <v>46189</v>
          </cell>
        </row>
        <row r="10732">
          <cell r="A10732" t="str">
            <v>2613EU27</v>
          </cell>
          <cell r="D10732" t="str">
            <v>FTW102K</v>
          </cell>
          <cell r="E10732">
            <v>46189</v>
          </cell>
        </row>
        <row r="10733">
          <cell r="A10733" t="str">
            <v>2623EC17</v>
          </cell>
          <cell r="D10733" t="str">
            <v>STA156KA</v>
          </cell>
          <cell r="E10733">
            <v>46189</v>
          </cell>
        </row>
        <row r="10734">
          <cell r="A10734" t="str">
            <v>2620H957</v>
          </cell>
          <cell r="D10734" t="str">
            <v>KBP86</v>
          </cell>
          <cell r="E10734">
            <v>46189</v>
          </cell>
        </row>
        <row r="10735">
          <cell r="A10735" t="str">
            <v>2622P357</v>
          </cell>
          <cell r="D10735" t="str">
            <v>KBP76</v>
          </cell>
          <cell r="E10735">
            <v>46189</v>
          </cell>
        </row>
        <row r="10736">
          <cell r="A10736" t="str">
            <v>2622WH47</v>
          </cell>
          <cell r="D10736" t="str">
            <v>FTP200</v>
          </cell>
          <cell r="E10736">
            <v>46189</v>
          </cell>
        </row>
        <row r="10737">
          <cell r="A10737" t="str">
            <v>2622AK67</v>
          </cell>
          <cell r="D10737" t="str">
            <v>KBP86</v>
          </cell>
          <cell r="E10737">
            <v>46189</v>
          </cell>
        </row>
        <row r="10738">
          <cell r="A10738" t="str">
            <v>2623IP17</v>
          </cell>
          <cell r="D10738" t="str">
            <v>S805</v>
          </cell>
          <cell r="E10738">
            <v>46189</v>
          </cell>
        </row>
        <row r="10739">
          <cell r="A10739" t="str">
            <v>2622JY37</v>
          </cell>
          <cell r="D10739" t="str">
            <v>FTW503</v>
          </cell>
          <cell r="E10739">
            <v>46189</v>
          </cell>
        </row>
        <row r="10740">
          <cell r="A10740" t="str">
            <v>2623HQ57</v>
          </cell>
          <cell r="D10740" t="str">
            <v>FTW102K</v>
          </cell>
          <cell r="E10740">
            <v>46189</v>
          </cell>
        </row>
        <row r="10741">
          <cell r="A10741" t="str">
            <v>2623HN57</v>
          </cell>
          <cell r="D10741" t="str">
            <v>FTW102K</v>
          </cell>
          <cell r="E10741">
            <v>46189</v>
          </cell>
        </row>
        <row r="10742">
          <cell r="A10742" t="str">
            <v>2623HY17</v>
          </cell>
          <cell r="D10742" t="str">
            <v>KBP86</v>
          </cell>
          <cell r="E10742">
            <v>46189</v>
          </cell>
        </row>
        <row r="10743">
          <cell r="A10743" t="str">
            <v>2620OC37</v>
          </cell>
          <cell r="D10743" t="str">
            <v>KBP86</v>
          </cell>
          <cell r="E10743">
            <v>46189</v>
          </cell>
        </row>
        <row r="10744">
          <cell r="A10744" t="str">
            <v>2621HJ27</v>
          </cell>
          <cell r="D10744" t="str">
            <v>FTW121KE</v>
          </cell>
          <cell r="E10744">
            <v>46189</v>
          </cell>
        </row>
        <row r="10745">
          <cell r="A10745" t="str">
            <v>2622I527</v>
          </cell>
          <cell r="D10745" t="str">
            <v>S805</v>
          </cell>
          <cell r="E10745">
            <v>46189</v>
          </cell>
        </row>
        <row r="10746">
          <cell r="A10746" t="str">
            <v>2622S737</v>
          </cell>
          <cell r="D10746" t="str">
            <v>TTS50</v>
          </cell>
          <cell r="E10746">
            <v>46189</v>
          </cell>
        </row>
        <row r="10747">
          <cell r="A10747" t="str">
            <v>2622JR37</v>
          </cell>
          <cell r="D10747" t="str">
            <v>FTW503</v>
          </cell>
          <cell r="E10747">
            <v>46189</v>
          </cell>
        </row>
        <row r="10748">
          <cell r="A10748" t="str">
            <v>2623J337</v>
          </cell>
          <cell r="D10748" t="str">
            <v>S805</v>
          </cell>
          <cell r="E10748">
            <v>46189</v>
          </cell>
        </row>
        <row r="10749">
          <cell r="A10749" t="str">
            <v>2619ZY57</v>
          </cell>
          <cell r="D10749" t="str">
            <v>KBP86</v>
          </cell>
          <cell r="E10749">
            <v>46189</v>
          </cell>
        </row>
        <row r="10750">
          <cell r="A10750" t="str">
            <v>2621UO57</v>
          </cell>
          <cell r="D10750" t="str">
            <v>FTW400</v>
          </cell>
          <cell r="E10750">
            <v>46189</v>
          </cell>
        </row>
        <row r="10751">
          <cell r="A10751" t="str">
            <v>2622D867</v>
          </cell>
          <cell r="D10751" t="str">
            <v>KBP76</v>
          </cell>
          <cell r="E10751">
            <v>46189</v>
          </cell>
        </row>
        <row r="10752">
          <cell r="A10752" t="str">
            <v>2622EH67</v>
          </cell>
          <cell r="D10752" t="str">
            <v>TTS80</v>
          </cell>
          <cell r="E10752">
            <v>46189</v>
          </cell>
        </row>
        <row r="10753">
          <cell r="A10753" t="str">
            <v>2621A367</v>
          </cell>
          <cell r="D10753" t="str">
            <v>FTW121KE</v>
          </cell>
          <cell r="E10753">
            <v>46189</v>
          </cell>
        </row>
        <row r="10754">
          <cell r="A10754" t="str">
            <v>2621HY67</v>
          </cell>
          <cell r="D10754" t="str">
            <v>KBP55</v>
          </cell>
          <cell r="E10754">
            <v>46189</v>
          </cell>
        </row>
        <row r="10755">
          <cell r="A10755" t="str">
            <v>2619BD47</v>
          </cell>
          <cell r="D10755" t="str">
            <v>TTS50</v>
          </cell>
          <cell r="E10755">
            <v>46189</v>
          </cell>
        </row>
        <row r="10756">
          <cell r="A10756" t="str">
            <v>2622W257</v>
          </cell>
          <cell r="D10756" t="str">
            <v>TTS50</v>
          </cell>
          <cell r="E10756">
            <v>46189</v>
          </cell>
        </row>
        <row r="10757">
          <cell r="A10757" t="str">
            <v>2622IM27</v>
          </cell>
          <cell r="D10757" t="str">
            <v>FTW503</v>
          </cell>
          <cell r="E10757">
            <v>46189</v>
          </cell>
        </row>
        <row r="10758">
          <cell r="A10758" t="str">
            <v>2622UN57</v>
          </cell>
          <cell r="D10758" t="str">
            <v>KBP86</v>
          </cell>
          <cell r="E10758">
            <v>46189</v>
          </cell>
        </row>
        <row r="10759">
          <cell r="A10759" t="str">
            <v>2622IR27</v>
          </cell>
          <cell r="D10759" t="str">
            <v>FTW503</v>
          </cell>
          <cell r="E10759">
            <v>46189</v>
          </cell>
        </row>
        <row r="10760">
          <cell r="A10760" t="str">
            <v>2621DJ67</v>
          </cell>
          <cell r="D10760" t="str">
            <v>KBP76</v>
          </cell>
          <cell r="E10760">
            <v>46189</v>
          </cell>
        </row>
        <row r="10761">
          <cell r="A10761" t="str">
            <v>2622VE57</v>
          </cell>
          <cell r="D10761" t="str">
            <v>S706</v>
          </cell>
          <cell r="E10761">
            <v>46189</v>
          </cell>
        </row>
        <row r="10762">
          <cell r="A10762" t="str">
            <v>2623DA27</v>
          </cell>
          <cell r="D10762" t="str">
            <v>S706</v>
          </cell>
          <cell r="E10762">
            <v>46189</v>
          </cell>
        </row>
        <row r="10763">
          <cell r="A10763" t="str">
            <v>2622OT47</v>
          </cell>
          <cell r="D10763" t="str">
            <v>FTW503</v>
          </cell>
          <cell r="E10763">
            <v>46189</v>
          </cell>
        </row>
        <row r="10764">
          <cell r="A10764" t="str">
            <v>2622KJ17</v>
          </cell>
          <cell r="D10764" t="str">
            <v>KBP76</v>
          </cell>
          <cell r="E10764">
            <v>46189</v>
          </cell>
        </row>
        <row r="10765">
          <cell r="A10765" t="str">
            <v>2622SE37</v>
          </cell>
          <cell r="D10765" t="str">
            <v>FTP200</v>
          </cell>
          <cell r="E10765">
            <v>46189</v>
          </cell>
        </row>
        <row r="10766">
          <cell r="A10766" t="str">
            <v>2622P457</v>
          </cell>
          <cell r="D10766" t="str">
            <v>KBP76</v>
          </cell>
          <cell r="E10766">
            <v>46189</v>
          </cell>
        </row>
        <row r="10767">
          <cell r="A10767" t="str">
            <v>2622D637</v>
          </cell>
          <cell r="D10767" t="str">
            <v>STA156KA</v>
          </cell>
          <cell r="E10767">
            <v>46189</v>
          </cell>
        </row>
        <row r="10768">
          <cell r="A10768" t="str">
            <v>2623CJ27</v>
          </cell>
          <cell r="D10768" t="str">
            <v>KBP76</v>
          </cell>
          <cell r="E10768">
            <v>46189</v>
          </cell>
        </row>
        <row r="10769">
          <cell r="A10769" t="str">
            <v>2622QA27</v>
          </cell>
          <cell r="D10769" t="str">
            <v>KBP55</v>
          </cell>
          <cell r="E10769">
            <v>46189</v>
          </cell>
        </row>
        <row r="10770">
          <cell r="A10770" t="str">
            <v>2623Q317</v>
          </cell>
          <cell r="D10770" t="str">
            <v>KBP76</v>
          </cell>
          <cell r="E10770">
            <v>46189</v>
          </cell>
        </row>
        <row r="10771">
          <cell r="A10771" t="str">
            <v>2623FI17</v>
          </cell>
          <cell r="D10771" t="str">
            <v>KBP76</v>
          </cell>
          <cell r="E10771">
            <v>46189</v>
          </cell>
        </row>
        <row r="10772">
          <cell r="A10772" t="str">
            <v>2623IM47</v>
          </cell>
          <cell r="D10772" t="str">
            <v>FTW102K</v>
          </cell>
          <cell r="E10772">
            <v>46189</v>
          </cell>
        </row>
        <row r="10773">
          <cell r="A10773" t="str">
            <v>2623SU37</v>
          </cell>
          <cell r="D10773" t="str">
            <v>TTS80</v>
          </cell>
          <cell r="E10773">
            <v>46189</v>
          </cell>
        </row>
        <row r="10774">
          <cell r="A10774" t="str">
            <v>2621OV47</v>
          </cell>
          <cell r="D10774" t="str">
            <v>KBP86</v>
          </cell>
          <cell r="E10774">
            <v>46189</v>
          </cell>
        </row>
        <row r="10775">
          <cell r="A10775" t="str">
            <v>2623PT37</v>
          </cell>
          <cell r="D10775" t="str">
            <v>S706</v>
          </cell>
          <cell r="E10775">
            <v>46189</v>
          </cell>
        </row>
        <row r="10776">
          <cell r="A10776" t="str">
            <v>2621DK67</v>
          </cell>
          <cell r="D10776" t="str">
            <v>KBP76</v>
          </cell>
          <cell r="E10776">
            <v>46189</v>
          </cell>
        </row>
        <row r="10777">
          <cell r="A10777" t="str">
            <v>2621HF27</v>
          </cell>
          <cell r="D10777" t="str">
            <v>FTW121KE</v>
          </cell>
          <cell r="E10777">
            <v>46189</v>
          </cell>
        </row>
        <row r="10778">
          <cell r="A10778" t="str">
            <v>2613G837</v>
          </cell>
          <cell r="D10778" t="str">
            <v>FTW503</v>
          </cell>
          <cell r="E10778">
            <v>46189</v>
          </cell>
        </row>
        <row r="10779">
          <cell r="A10779" t="str">
            <v>2621WQ57</v>
          </cell>
          <cell r="D10779" t="str">
            <v>FTW121KE</v>
          </cell>
          <cell r="E10779">
            <v>46189</v>
          </cell>
        </row>
        <row r="10780">
          <cell r="A10780" t="str">
            <v>2621PM17</v>
          </cell>
          <cell r="D10780" t="str">
            <v>KBP86</v>
          </cell>
          <cell r="E10780">
            <v>46189</v>
          </cell>
        </row>
        <row r="10781">
          <cell r="A10781" t="str">
            <v>2620WG57</v>
          </cell>
          <cell r="D10781" t="str">
            <v>FTW121KE</v>
          </cell>
          <cell r="E10781">
            <v>46189</v>
          </cell>
        </row>
        <row r="10782">
          <cell r="A10782" t="str">
            <v>2623J437</v>
          </cell>
          <cell r="D10782" t="str">
            <v>S805</v>
          </cell>
          <cell r="E10782">
            <v>46189</v>
          </cell>
        </row>
        <row r="10783">
          <cell r="A10783" t="str">
            <v>2623HP57</v>
          </cell>
          <cell r="D10783" t="str">
            <v>FTW102K</v>
          </cell>
          <cell r="E10783">
            <v>46189</v>
          </cell>
        </row>
        <row r="10784">
          <cell r="A10784" t="str">
            <v>2622KQ37</v>
          </cell>
          <cell r="D10784" t="str">
            <v>KBP126</v>
          </cell>
          <cell r="E10784">
            <v>46189</v>
          </cell>
        </row>
        <row r="10785">
          <cell r="A10785" t="str">
            <v>2623JR67</v>
          </cell>
          <cell r="D10785" t="str">
            <v>KBP76</v>
          </cell>
          <cell r="E10785">
            <v>46189</v>
          </cell>
        </row>
        <row r="10786">
          <cell r="A10786" t="str">
            <v>2621HV67</v>
          </cell>
          <cell r="D10786" t="str">
            <v>KBP55</v>
          </cell>
          <cell r="E10786">
            <v>46189</v>
          </cell>
        </row>
        <row r="10787">
          <cell r="A10787" t="str">
            <v>2622EL67</v>
          </cell>
          <cell r="D10787" t="str">
            <v>TTS80</v>
          </cell>
          <cell r="E10787">
            <v>46189</v>
          </cell>
        </row>
        <row r="10788">
          <cell r="A10788" t="str">
            <v>2621EH57</v>
          </cell>
          <cell r="D10788" t="str">
            <v>KBP86</v>
          </cell>
          <cell r="E10788">
            <v>46189</v>
          </cell>
        </row>
        <row r="10789">
          <cell r="A10789" t="str">
            <v>2622FF67</v>
          </cell>
          <cell r="D10789" t="str">
            <v>TTS80</v>
          </cell>
          <cell r="E10789">
            <v>46189</v>
          </cell>
        </row>
        <row r="10790">
          <cell r="A10790" t="str">
            <v>2623JC27</v>
          </cell>
          <cell r="D10790" t="str">
            <v>TTS80</v>
          </cell>
          <cell r="E10790">
            <v>46189</v>
          </cell>
        </row>
        <row r="10791">
          <cell r="A10791" t="str">
            <v>2621ES60</v>
          </cell>
          <cell r="D10791" t="str">
            <v>TTS125</v>
          </cell>
          <cell r="E10791">
            <v>46189</v>
          </cell>
        </row>
        <row r="10792">
          <cell r="A10792" t="str">
            <v>2621K327</v>
          </cell>
          <cell r="D10792" t="str">
            <v>KBP34</v>
          </cell>
          <cell r="E10792">
            <v>46189</v>
          </cell>
        </row>
        <row r="10793">
          <cell r="A10793" t="str">
            <v>2622HD27</v>
          </cell>
          <cell r="D10793" t="str">
            <v>KBP126</v>
          </cell>
          <cell r="E10793">
            <v>46189</v>
          </cell>
        </row>
        <row r="10794">
          <cell r="A10794" t="str">
            <v>2615DK30</v>
          </cell>
          <cell r="D10794" t="str">
            <v>TTS125</v>
          </cell>
          <cell r="E10794">
            <v>46189</v>
          </cell>
        </row>
        <row r="10795">
          <cell r="A10795" t="str">
            <v>2623SK37</v>
          </cell>
          <cell r="D10795" t="str">
            <v>TTS80</v>
          </cell>
          <cell r="E10795">
            <v>46189</v>
          </cell>
        </row>
        <row r="10796">
          <cell r="A10796" t="str">
            <v>2620CF47</v>
          </cell>
          <cell r="D10796" t="str">
            <v>KBP86</v>
          </cell>
          <cell r="E10796">
            <v>46189</v>
          </cell>
        </row>
        <row r="10797">
          <cell r="A10797" t="str">
            <v>2623JT67</v>
          </cell>
          <cell r="D10797" t="str">
            <v>KBP76</v>
          </cell>
          <cell r="E10797">
            <v>46189</v>
          </cell>
        </row>
        <row r="10798">
          <cell r="A10798" t="str">
            <v>2621I727</v>
          </cell>
          <cell r="D10798" t="str">
            <v>FTW121KE</v>
          </cell>
          <cell r="E10798">
            <v>46189</v>
          </cell>
        </row>
        <row r="10799">
          <cell r="A10799" t="str">
            <v>2623QT37</v>
          </cell>
          <cell r="D10799" t="str">
            <v>KBP76</v>
          </cell>
          <cell r="E10799">
            <v>46189</v>
          </cell>
        </row>
        <row r="10800">
          <cell r="A10800" t="str">
            <v>2620H757</v>
          </cell>
          <cell r="D10800" t="str">
            <v>FTW121KE</v>
          </cell>
          <cell r="E10800">
            <v>46189</v>
          </cell>
        </row>
        <row r="10801">
          <cell r="A10801" t="str">
            <v>2622U957</v>
          </cell>
          <cell r="D10801" t="str">
            <v>KBP86</v>
          </cell>
          <cell r="E10801">
            <v>46189</v>
          </cell>
        </row>
        <row r="10802">
          <cell r="A10802" t="str">
            <v>2620KT27</v>
          </cell>
          <cell r="D10802" t="str">
            <v>KBP86</v>
          </cell>
          <cell r="E10802">
            <v>46189</v>
          </cell>
        </row>
        <row r="10803">
          <cell r="A10803" t="str">
            <v>2622LW47</v>
          </cell>
          <cell r="D10803" t="str">
            <v>S706</v>
          </cell>
          <cell r="E10803">
            <v>46189</v>
          </cell>
        </row>
        <row r="10804">
          <cell r="A10804" t="str">
            <v>2622LL47</v>
          </cell>
          <cell r="D10804" t="str">
            <v>S706</v>
          </cell>
          <cell r="E10804">
            <v>46189</v>
          </cell>
        </row>
        <row r="10805">
          <cell r="A10805" t="str">
            <v>2621K337</v>
          </cell>
          <cell r="D10805" t="str">
            <v>FTW121KE</v>
          </cell>
          <cell r="E10805">
            <v>46189</v>
          </cell>
        </row>
        <row r="10806">
          <cell r="A10806" t="str">
            <v>2620KI27</v>
          </cell>
          <cell r="D10806" t="str">
            <v>KBP86</v>
          </cell>
          <cell r="E10806">
            <v>46189</v>
          </cell>
        </row>
        <row r="10807">
          <cell r="A10807" t="str">
            <v>2613GA37</v>
          </cell>
          <cell r="D10807" t="str">
            <v>FTW503</v>
          </cell>
          <cell r="E10807">
            <v>46189</v>
          </cell>
        </row>
        <row r="10808">
          <cell r="A10808" t="str">
            <v>2623FB27</v>
          </cell>
          <cell r="D10808" t="str">
            <v>FTW700</v>
          </cell>
          <cell r="E10808">
            <v>46189</v>
          </cell>
        </row>
        <row r="10809">
          <cell r="A10809" t="str">
            <v>2623SC27</v>
          </cell>
          <cell r="D10809" t="str">
            <v>STA156KA</v>
          </cell>
          <cell r="E10809">
            <v>46189</v>
          </cell>
        </row>
        <row r="10810">
          <cell r="A10810" t="str">
            <v>2622D457</v>
          </cell>
          <cell r="D10810" t="str">
            <v>S805</v>
          </cell>
          <cell r="E10810">
            <v>46189</v>
          </cell>
        </row>
        <row r="10811">
          <cell r="A10811" t="str">
            <v>2621DG57</v>
          </cell>
          <cell r="D10811" t="str">
            <v>KBP76</v>
          </cell>
          <cell r="E10811">
            <v>46189</v>
          </cell>
        </row>
        <row r="10812">
          <cell r="A10812" t="str">
            <v>2622D857</v>
          </cell>
          <cell r="D10812" t="str">
            <v>S805</v>
          </cell>
          <cell r="E10812">
            <v>46189</v>
          </cell>
        </row>
        <row r="10813">
          <cell r="A10813" t="str">
            <v>2623JY47</v>
          </cell>
          <cell r="D10813" t="str">
            <v>FTW700</v>
          </cell>
          <cell r="E10813">
            <v>46189</v>
          </cell>
        </row>
        <row r="10814">
          <cell r="A10814" t="str">
            <v>2622I727</v>
          </cell>
          <cell r="D10814" t="str">
            <v>S805</v>
          </cell>
          <cell r="E10814">
            <v>46189</v>
          </cell>
        </row>
        <row r="10815">
          <cell r="A10815" t="str">
            <v>2623QJ37</v>
          </cell>
          <cell r="D10815" t="str">
            <v>KBP76</v>
          </cell>
          <cell r="E10815">
            <v>46189</v>
          </cell>
        </row>
        <row r="10816">
          <cell r="A10816" t="str">
            <v>2623LB47</v>
          </cell>
          <cell r="D10816" t="str">
            <v>S706</v>
          </cell>
          <cell r="E10816">
            <v>46189</v>
          </cell>
        </row>
        <row r="10817">
          <cell r="A10817" t="str">
            <v>2623PO37</v>
          </cell>
          <cell r="D10817" t="str">
            <v>S706</v>
          </cell>
          <cell r="E10817">
            <v>46189</v>
          </cell>
        </row>
        <row r="10818">
          <cell r="A10818" t="str">
            <v>2623SM27</v>
          </cell>
          <cell r="D10818" t="str">
            <v>S706</v>
          </cell>
          <cell r="E10818">
            <v>46189</v>
          </cell>
        </row>
        <row r="10819">
          <cell r="A10819" t="str">
            <v>2623I627</v>
          </cell>
          <cell r="D10819" t="str">
            <v>S706</v>
          </cell>
          <cell r="E10819">
            <v>46189</v>
          </cell>
        </row>
        <row r="10820">
          <cell r="A10820" t="str">
            <v>2623PA17</v>
          </cell>
          <cell r="D10820" t="str">
            <v>S706</v>
          </cell>
          <cell r="E10820">
            <v>46189</v>
          </cell>
        </row>
        <row r="10821">
          <cell r="A10821" t="str">
            <v>2623PU37</v>
          </cell>
          <cell r="D10821" t="str">
            <v>S706</v>
          </cell>
          <cell r="E10821">
            <v>46189</v>
          </cell>
        </row>
        <row r="10822">
          <cell r="A10822" t="str">
            <v>2623PQ37</v>
          </cell>
          <cell r="D10822" t="str">
            <v>S706</v>
          </cell>
          <cell r="E10822">
            <v>46189</v>
          </cell>
        </row>
        <row r="10823">
          <cell r="A10823" t="str">
            <v>2623OX17</v>
          </cell>
          <cell r="D10823" t="str">
            <v>S706</v>
          </cell>
          <cell r="E10823">
            <v>46189</v>
          </cell>
        </row>
        <row r="10824">
          <cell r="A10824" t="str">
            <v>2620PJ37</v>
          </cell>
          <cell r="D10824" t="str">
            <v>TTS50</v>
          </cell>
          <cell r="E10824">
            <v>46189</v>
          </cell>
        </row>
        <row r="10825">
          <cell r="A10825" t="str">
            <v>2623L747</v>
          </cell>
          <cell r="D10825" t="str">
            <v>TTS50</v>
          </cell>
          <cell r="E10825">
            <v>46189</v>
          </cell>
        </row>
        <row r="10826">
          <cell r="A10826" t="str">
            <v>2622UL47</v>
          </cell>
          <cell r="D10826" t="str">
            <v>TTS50</v>
          </cell>
          <cell r="E10826">
            <v>46189</v>
          </cell>
        </row>
        <row r="10827">
          <cell r="A10827" t="str">
            <v>2621IG27</v>
          </cell>
          <cell r="D10827" t="str">
            <v>FTW121KE</v>
          </cell>
          <cell r="E10827">
            <v>46189</v>
          </cell>
        </row>
        <row r="10828">
          <cell r="A10828" t="str">
            <v>2623FN27</v>
          </cell>
          <cell r="D10828" t="str">
            <v>FTW121KE</v>
          </cell>
          <cell r="E10828">
            <v>46189</v>
          </cell>
        </row>
        <row r="10829">
          <cell r="A10829" t="str">
            <v>2619WO27</v>
          </cell>
          <cell r="D10829" t="str">
            <v>TTS50</v>
          </cell>
          <cell r="E10829">
            <v>46189</v>
          </cell>
        </row>
        <row r="10830">
          <cell r="A10830" t="str">
            <v>2621XF57</v>
          </cell>
          <cell r="D10830" t="str">
            <v>FTW121KE</v>
          </cell>
          <cell r="E10830">
            <v>46189</v>
          </cell>
        </row>
        <row r="10831">
          <cell r="A10831" t="str">
            <v>2622Q327</v>
          </cell>
          <cell r="D10831" t="str">
            <v>TTS175</v>
          </cell>
          <cell r="E10831">
            <v>46189</v>
          </cell>
        </row>
        <row r="10832">
          <cell r="A10832" t="str">
            <v>2621E657</v>
          </cell>
          <cell r="D10832" t="str">
            <v>FTW121KE</v>
          </cell>
          <cell r="E10832">
            <v>46189</v>
          </cell>
        </row>
        <row r="10833">
          <cell r="A10833" t="str">
            <v>2622C967</v>
          </cell>
          <cell r="D10833" t="str">
            <v>HV80</v>
          </cell>
          <cell r="E10833">
            <v>46189</v>
          </cell>
        </row>
        <row r="10834">
          <cell r="A10834" t="str">
            <v>2622C367</v>
          </cell>
          <cell r="D10834" t="str">
            <v>HV80</v>
          </cell>
          <cell r="E10834">
            <v>46189</v>
          </cell>
        </row>
        <row r="10835">
          <cell r="A10835" t="str">
            <v>2623OP17</v>
          </cell>
          <cell r="D10835" t="str">
            <v>HV80</v>
          </cell>
          <cell r="E10835">
            <v>46189</v>
          </cell>
        </row>
        <row r="10836">
          <cell r="A10836" t="str">
            <v>2622C467</v>
          </cell>
          <cell r="D10836" t="str">
            <v>HV80</v>
          </cell>
          <cell r="E10836">
            <v>46189</v>
          </cell>
        </row>
        <row r="10837">
          <cell r="A10837" t="str">
            <v>2622CE67</v>
          </cell>
          <cell r="D10837" t="str">
            <v>HV80</v>
          </cell>
          <cell r="E10837">
            <v>46189</v>
          </cell>
        </row>
        <row r="10838">
          <cell r="A10838" t="str">
            <v>2623OJ17</v>
          </cell>
          <cell r="D10838" t="str">
            <v>HV80</v>
          </cell>
          <cell r="E10838">
            <v>46189</v>
          </cell>
        </row>
        <row r="10839">
          <cell r="A10839" t="str">
            <v>2622CH67</v>
          </cell>
          <cell r="D10839" t="str">
            <v>HV80</v>
          </cell>
          <cell r="E10839">
            <v>46189</v>
          </cell>
        </row>
        <row r="10840">
          <cell r="A10840" t="str">
            <v>2622CK67</v>
          </cell>
          <cell r="D10840" t="str">
            <v>HV80</v>
          </cell>
          <cell r="E10840">
            <v>46189</v>
          </cell>
        </row>
        <row r="10841">
          <cell r="A10841" t="str">
            <v>2622C267</v>
          </cell>
          <cell r="D10841" t="str">
            <v>HV80</v>
          </cell>
          <cell r="E10841">
            <v>46189</v>
          </cell>
        </row>
        <row r="10842">
          <cell r="A10842" t="str">
            <v>2622C667</v>
          </cell>
          <cell r="D10842" t="str">
            <v>HV80</v>
          </cell>
          <cell r="E10842">
            <v>46189</v>
          </cell>
        </row>
        <row r="10843">
          <cell r="A10843" t="str">
            <v>2622OD47</v>
          </cell>
          <cell r="D10843" t="str">
            <v>FTW503</v>
          </cell>
          <cell r="E10843">
            <v>46189</v>
          </cell>
        </row>
        <row r="10844">
          <cell r="A10844" t="str">
            <v>2622O337</v>
          </cell>
          <cell r="D10844" t="str">
            <v>KBP86</v>
          </cell>
          <cell r="E10844">
            <v>46189</v>
          </cell>
        </row>
        <row r="10845">
          <cell r="A10845" t="str">
            <v>2619LG47</v>
          </cell>
          <cell r="D10845" t="str">
            <v>STA156KA</v>
          </cell>
          <cell r="E10845">
            <v>46189</v>
          </cell>
        </row>
        <row r="10846">
          <cell r="A10846" t="str">
            <v>2618BZ27</v>
          </cell>
          <cell r="D10846" t="str">
            <v>STA156KA</v>
          </cell>
          <cell r="E10846">
            <v>46189</v>
          </cell>
        </row>
        <row r="10847">
          <cell r="A10847" t="str">
            <v>2622KP27</v>
          </cell>
          <cell r="D10847" t="str">
            <v>FTW121KE</v>
          </cell>
          <cell r="E10847">
            <v>46189</v>
          </cell>
        </row>
        <row r="10848">
          <cell r="A10848" t="str">
            <v>2623U527</v>
          </cell>
          <cell r="D10848" t="str">
            <v>KBP86</v>
          </cell>
          <cell r="E10848">
            <v>46189</v>
          </cell>
        </row>
        <row r="10849">
          <cell r="A10849" t="str">
            <v>2622SB37</v>
          </cell>
          <cell r="D10849" t="str">
            <v>TTS50</v>
          </cell>
          <cell r="E10849">
            <v>46189</v>
          </cell>
        </row>
        <row r="10850">
          <cell r="A10850" t="str">
            <v>2621D957</v>
          </cell>
          <cell r="D10850" t="str">
            <v>FTP150</v>
          </cell>
          <cell r="E10850">
            <v>46189</v>
          </cell>
        </row>
        <row r="10851">
          <cell r="A10851" t="str">
            <v>2622DQ67</v>
          </cell>
          <cell r="D10851" t="str">
            <v>KBP76</v>
          </cell>
          <cell r="E10851">
            <v>46189</v>
          </cell>
        </row>
        <row r="10852">
          <cell r="A10852" t="str">
            <v>2621FE67</v>
          </cell>
          <cell r="D10852" t="str">
            <v>KBP86</v>
          </cell>
          <cell r="E10852">
            <v>46189</v>
          </cell>
        </row>
        <row r="10853">
          <cell r="A10853" t="str">
            <v>2623IN17</v>
          </cell>
          <cell r="D10853" t="str">
            <v>S706</v>
          </cell>
          <cell r="E10853">
            <v>46189</v>
          </cell>
        </row>
        <row r="10854">
          <cell r="A10854" t="str">
            <v>2622VI57</v>
          </cell>
          <cell r="D10854" t="str">
            <v>S706</v>
          </cell>
          <cell r="E10854">
            <v>46189</v>
          </cell>
        </row>
        <row r="10855">
          <cell r="A10855" t="str">
            <v>2623KL17</v>
          </cell>
          <cell r="D10855" t="str">
            <v>KBP126</v>
          </cell>
          <cell r="E10855">
            <v>46189</v>
          </cell>
        </row>
        <row r="10856">
          <cell r="A10856" t="str">
            <v>2622EZ67</v>
          </cell>
          <cell r="D10856" t="str">
            <v>TTS80</v>
          </cell>
          <cell r="E10856">
            <v>46189</v>
          </cell>
        </row>
        <row r="10857">
          <cell r="A10857" t="str">
            <v>2623I517</v>
          </cell>
          <cell r="D10857" t="str">
            <v>KBP86</v>
          </cell>
          <cell r="E10857">
            <v>46189</v>
          </cell>
        </row>
        <row r="10858">
          <cell r="A10858" t="str">
            <v>2620ID57</v>
          </cell>
          <cell r="D10858" t="str">
            <v>KBP86</v>
          </cell>
          <cell r="E10858">
            <v>46189</v>
          </cell>
        </row>
        <row r="10859">
          <cell r="A10859" t="str">
            <v>2622SX57</v>
          </cell>
          <cell r="D10859" t="str">
            <v>KBP86</v>
          </cell>
          <cell r="E10859">
            <v>46189</v>
          </cell>
        </row>
        <row r="10860">
          <cell r="A10860" t="str">
            <v>2622L417</v>
          </cell>
          <cell r="D10860" t="str">
            <v>FTP150</v>
          </cell>
          <cell r="E10860">
            <v>46189</v>
          </cell>
        </row>
        <row r="10861">
          <cell r="A10861" t="str">
            <v>2619ZZ57</v>
          </cell>
          <cell r="D10861" t="str">
            <v>KBP86</v>
          </cell>
          <cell r="E10861">
            <v>46189</v>
          </cell>
        </row>
        <row r="10862">
          <cell r="A10862" t="str">
            <v>2623IL17</v>
          </cell>
          <cell r="D10862" t="str">
            <v>S706</v>
          </cell>
          <cell r="E10862">
            <v>46189</v>
          </cell>
        </row>
        <row r="10863">
          <cell r="A10863" t="str">
            <v>2623IO37</v>
          </cell>
          <cell r="D10863" t="str">
            <v>KBP126</v>
          </cell>
          <cell r="E10863">
            <v>46189</v>
          </cell>
        </row>
        <row r="10864">
          <cell r="A10864" t="str">
            <v>2623SN37</v>
          </cell>
          <cell r="D10864" t="str">
            <v>TTS80</v>
          </cell>
          <cell r="E10864">
            <v>46189</v>
          </cell>
        </row>
        <row r="10865">
          <cell r="A10865" t="str">
            <v>2623QU37</v>
          </cell>
          <cell r="D10865" t="str">
            <v>KBP76</v>
          </cell>
          <cell r="E10865">
            <v>46189</v>
          </cell>
        </row>
        <row r="10866">
          <cell r="A10866" t="str">
            <v>2620WB57</v>
          </cell>
          <cell r="D10866" t="str">
            <v>FTW121KR</v>
          </cell>
          <cell r="E10866">
            <v>46189</v>
          </cell>
        </row>
        <row r="10867">
          <cell r="A10867" t="str">
            <v>2617Z927</v>
          </cell>
          <cell r="D10867" t="str">
            <v>KBP86</v>
          </cell>
          <cell r="E10867">
            <v>46188</v>
          </cell>
        </row>
        <row r="10868">
          <cell r="A10868" t="str">
            <v>2622QN47</v>
          </cell>
          <cell r="D10868" t="str">
            <v>FTW121KR</v>
          </cell>
          <cell r="E10868">
            <v>46188</v>
          </cell>
        </row>
        <row r="10869">
          <cell r="A10869" t="str">
            <v>2620BJ67</v>
          </cell>
          <cell r="D10869" t="str">
            <v>HV80</v>
          </cell>
          <cell r="E10869">
            <v>46188</v>
          </cell>
        </row>
        <row r="10870">
          <cell r="A10870" t="str">
            <v>2621EF67</v>
          </cell>
          <cell r="D10870" t="str">
            <v>HV80</v>
          </cell>
          <cell r="E10870">
            <v>46188</v>
          </cell>
        </row>
        <row r="10871">
          <cell r="A10871" t="str">
            <v>2619CL47</v>
          </cell>
          <cell r="D10871" t="str">
            <v>HV80</v>
          </cell>
          <cell r="E10871">
            <v>46188</v>
          </cell>
        </row>
        <row r="10872">
          <cell r="A10872" t="str">
            <v>2622QN47</v>
          </cell>
          <cell r="D10872" t="str">
            <v>FTW121KR</v>
          </cell>
          <cell r="E10872">
            <v>46188</v>
          </cell>
        </row>
        <row r="10873">
          <cell r="A10873" t="str">
            <v>2622OB27</v>
          </cell>
          <cell r="D10873" t="str">
            <v>HV80</v>
          </cell>
          <cell r="E10873">
            <v>46188</v>
          </cell>
        </row>
        <row r="10874">
          <cell r="A10874" t="str">
            <v>2622KH27</v>
          </cell>
          <cell r="D10874" t="str">
            <v>FTW121KE</v>
          </cell>
          <cell r="E10874">
            <v>46188</v>
          </cell>
        </row>
        <row r="10875">
          <cell r="A10875" t="str">
            <v>2621QH17</v>
          </cell>
          <cell r="D10875" t="str">
            <v>HV80</v>
          </cell>
          <cell r="E10875">
            <v>46188</v>
          </cell>
        </row>
        <row r="10876">
          <cell r="A10876" t="str">
            <v>2622QN47</v>
          </cell>
          <cell r="D10876" t="str">
            <v>FTW121KR</v>
          </cell>
          <cell r="E10876">
            <v>46188</v>
          </cell>
        </row>
        <row r="10877">
          <cell r="A10877" t="str">
            <v>2621XE57</v>
          </cell>
          <cell r="D10877" t="str">
            <v>FTW121KE</v>
          </cell>
          <cell r="E10877">
            <v>46188</v>
          </cell>
        </row>
        <row r="10878">
          <cell r="A10878" t="str">
            <v>2622XJ57</v>
          </cell>
          <cell r="D10878" t="str">
            <v>FTW121KE</v>
          </cell>
          <cell r="E10878">
            <v>46188</v>
          </cell>
        </row>
        <row r="10879">
          <cell r="A10879" t="str">
            <v>2621WS57</v>
          </cell>
          <cell r="D10879" t="str">
            <v>FTW121KE</v>
          </cell>
          <cell r="E10879">
            <v>46188</v>
          </cell>
        </row>
        <row r="10880">
          <cell r="A10880" t="str">
            <v>2621XY57</v>
          </cell>
          <cell r="D10880" t="str">
            <v>FTW121KE</v>
          </cell>
          <cell r="E10880">
            <v>46188</v>
          </cell>
        </row>
        <row r="10881">
          <cell r="A10881" t="str">
            <v>2622G367</v>
          </cell>
          <cell r="D10881" t="str">
            <v>FTW121KE</v>
          </cell>
          <cell r="E10881">
            <v>46188</v>
          </cell>
        </row>
        <row r="10882">
          <cell r="A10882" t="str">
            <v>2621HV27</v>
          </cell>
          <cell r="D10882" t="str">
            <v>FTW121KE</v>
          </cell>
          <cell r="E10882">
            <v>46188</v>
          </cell>
        </row>
        <row r="10883">
          <cell r="A10883" t="str">
            <v>2622KM27</v>
          </cell>
          <cell r="D10883" t="str">
            <v>FTW121KE</v>
          </cell>
          <cell r="E10883">
            <v>46188</v>
          </cell>
        </row>
        <row r="10884">
          <cell r="A10884" t="str">
            <v>2622LZ37</v>
          </cell>
          <cell r="D10884" t="str">
            <v>FTW121KE</v>
          </cell>
          <cell r="E10884">
            <v>46188</v>
          </cell>
        </row>
        <row r="10885">
          <cell r="A10885" t="str">
            <v>2622QL47</v>
          </cell>
          <cell r="D10885" t="str">
            <v>FTW121KR</v>
          </cell>
          <cell r="E10885">
            <v>46188</v>
          </cell>
        </row>
        <row r="10886">
          <cell r="A10886" t="str">
            <v>2621J837</v>
          </cell>
          <cell r="D10886" t="str">
            <v>FTW121KR</v>
          </cell>
          <cell r="E10886">
            <v>46188</v>
          </cell>
        </row>
        <row r="10887">
          <cell r="A10887" t="str">
            <v>2621AM67</v>
          </cell>
          <cell r="D10887" t="str">
            <v>FTW121KR</v>
          </cell>
          <cell r="E10887">
            <v>46188</v>
          </cell>
        </row>
        <row r="10888">
          <cell r="A10888" t="str">
            <v>2621AD67</v>
          </cell>
          <cell r="D10888" t="str">
            <v>FTW121KR</v>
          </cell>
          <cell r="E10888">
            <v>46188</v>
          </cell>
        </row>
        <row r="10889">
          <cell r="A10889" t="str">
            <v>2621K637</v>
          </cell>
          <cell r="D10889" t="str">
            <v>FTW121KR</v>
          </cell>
          <cell r="E10889">
            <v>46188</v>
          </cell>
        </row>
        <row r="10890">
          <cell r="A10890" t="str">
            <v>2621I227</v>
          </cell>
          <cell r="D10890" t="str">
            <v>FTW121KR</v>
          </cell>
          <cell r="E10890">
            <v>46188</v>
          </cell>
        </row>
        <row r="10891">
          <cell r="A10891" t="str">
            <v>2622OQ17</v>
          </cell>
          <cell r="D10891" t="str">
            <v>FTW121KR</v>
          </cell>
          <cell r="E10891">
            <v>46188</v>
          </cell>
        </row>
        <row r="10892">
          <cell r="A10892" t="str">
            <v>2622WO57</v>
          </cell>
          <cell r="D10892" t="str">
            <v>FTW700</v>
          </cell>
          <cell r="E10892">
            <v>46188</v>
          </cell>
        </row>
        <row r="10893">
          <cell r="A10893" t="str">
            <v>2623KE17</v>
          </cell>
          <cell r="D10893" t="str">
            <v>FTW700</v>
          </cell>
          <cell r="E10893">
            <v>46188</v>
          </cell>
        </row>
        <row r="10894">
          <cell r="A10894" t="str">
            <v>2622WV57</v>
          </cell>
          <cell r="D10894" t="str">
            <v>FTW700</v>
          </cell>
          <cell r="E10894">
            <v>46188</v>
          </cell>
        </row>
        <row r="10895">
          <cell r="A10895" t="str">
            <v>2622OK57</v>
          </cell>
          <cell r="D10895" t="str">
            <v>KBP86</v>
          </cell>
          <cell r="E10895">
            <v>46188</v>
          </cell>
        </row>
        <row r="10896">
          <cell r="A10896" t="str">
            <v>2623FH17</v>
          </cell>
          <cell r="D10896" t="str">
            <v>KBP86</v>
          </cell>
          <cell r="E10896">
            <v>46188</v>
          </cell>
        </row>
        <row r="10897">
          <cell r="A10897" t="str">
            <v>2623F917</v>
          </cell>
          <cell r="D10897" t="str">
            <v>KBP86</v>
          </cell>
          <cell r="E10897">
            <v>46188</v>
          </cell>
        </row>
        <row r="10898">
          <cell r="A10898" t="str">
            <v>2623LU27</v>
          </cell>
          <cell r="D10898" t="str">
            <v>KBP86</v>
          </cell>
          <cell r="E10898">
            <v>46188</v>
          </cell>
        </row>
        <row r="10899">
          <cell r="A10899" t="str">
            <v>2623FF17</v>
          </cell>
          <cell r="D10899" t="str">
            <v>KBP86</v>
          </cell>
          <cell r="E10899">
            <v>46188</v>
          </cell>
        </row>
        <row r="10900">
          <cell r="A10900" t="str">
            <v>2622OT57</v>
          </cell>
          <cell r="D10900" t="str">
            <v>KBP86</v>
          </cell>
          <cell r="E10900">
            <v>46188</v>
          </cell>
        </row>
        <row r="10901">
          <cell r="A10901" t="str">
            <v>2622OP57</v>
          </cell>
          <cell r="D10901" t="str">
            <v>KBP86</v>
          </cell>
          <cell r="E10901">
            <v>46188</v>
          </cell>
        </row>
        <row r="10902">
          <cell r="A10902" t="str">
            <v>2623FA17</v>
          </cell>
          <cell r="D10902" t="str">
            <v>KBP86</v>
          </cell>
          <cell r="E10902">
            <v>46188</v>
          </cell>
        </row>
        <row r="10903">
          <cell r="A10903" t="str">
            <v>2622OQ57</v>
          </cell>
          <cell r="D10903" t="str">
            <v>KBP86</v>
          </cell>
          <cell r="E10903">
            <v>46188</v>
          </cell>
        </row>
        <row r="10904">
          <cell r="A10904" t="str">
            <v>2623FG17</v>
          </cell>
          <cell r="D10904" t="str">
            <v>KBP86</v>
          </cell>
          <cell r="E10904">
            <v>46188</v>
          </cell>
        </row>
        <row r="10905">
          <cell r="A10905" t="str">
            <v>2622UR57</v>
          </cell>
          <cell r="D10905" t="str">
            <v>KBP126</v>
          </cell>
          <cell r="E10905">
            <v>46188</v>
          </cell>
        </row>
        <row r="10906">
          <cell r="A10906" t="str">
            <v>2623IP37</v>
          </cell>
          <cell r="D10906" t="str">
            <v>KBP126</v>
          </cell>
          <cell r="E10906">
            <v>46188</v>
          </cell>
        </row>
        <row r="10907">
          <cell r="A10907" t="str">
            <v>2622OY37</v>
          </cell>
          <cell r="D10907" t="str">
            <v>KBP52</v>
          </cell>
          <cell r="E10907">
            <v>46188</v>
          </cell>
        </row>
        <row r="10908">
          <cell r="A10908" t="str">
            <v>2621OZ47</v>
          </cell>
          <cell r="D10908" t="str">
            <v>KBP52</v>
          </cell>
          <cell r="E10908">
            <v>46188</v>
          </cell>
        </row>
        <row r="10909">
          <cell r="A10909" t="str">
            <v>2622SO47</v>
          </cell>
          <cell r="D10909" t="str">
            <v>KBP52</v>
          </cell>
          <cell r="E10909">
            <v>46188</v>
          </cell>
        </row>
        <row r="10910">
          <cell r="A10910" t="str">
            <v>2622BB67</v>
          </cell>
          <cell r="D10910" t="str">
            <v>KBP52</v>
          </cell>
          <cell r="E10910">
            <v>46188</v>
          </cell>
        </row>
        <row r="10911">
          <cell r="A10911" t="str">
            <v>2623HE27</v>
          </cell>
          <cell r="D10911" t="str">
            <v>KBP52</v>
          </cell>
          <cell r="E10911">
            <v>46188</v>
          </cell>
        </row>
        <row r="10912">
          <cell r="A10912" t="str">
            <v>2623HI27</v>
          </cell>
          <cell r="D10912" t="str">
            <v>KBP52</v>
          </cell>
          <cell r="E10912">
            <v>46188</v>
          </cell>
        </row>
        <row r="10913">
          <cell r="A10913" t="str">
            <v>2623I367</v>
          </cell>
          <cell r="D10913" t="str">
            <v>KBP52</v>
          </cell>
          <cell r="E10913">
            <v>46188</v>
          </cell>
        </row>
        <row r="10914">
          <cell r="A10914" t="str">
            <v>2622A137</v>
          </cell>
          <cell r="D10914" t="str">
            <v>KBP76</v>
          </cell>
          <cell r="E10914">
            <v>46188</v>
          </cell>
        </row>
        <row r="10915">
          <cell r="A10915" t="str">
            <v>2621OF27</v>
          </cell>
          <cell r="D10915" t="str">
            <v>KBP86</v>
          </cell>
          <cell r="E10915">
            <v>46188</v>
          </cell>
        </row>
        <row r="10916">
          <cell r="A10916" t="str">
            <v>2621PO47</v>
          </cell>
          <cell r="D10916" t="str">
            <v>KBP86</v>
          </cell>
          <cell r="E10916">
            <v>46188</v>
          </cell>
        </row>
        <row r="10917">
          <cell r="A10917" t="str">
            <v>2622D567</v>
          </cell>
          <cell r="D10917" t="str">
            <v>KBP76</v>
          </cell>
          <cell r="E10917">
            <v>46188</v>
          </cell>
        </row>
        <row r="10918">
          <cell r="A10918" t="str">
            <v>2622D767</v>
          </cell>
          <cell r="D10918" t="str">
            <v>KBP76</v>
          </cell>
          <cell r="E10918">
            <v>46188</v>
          </cell>
        </row>
        <row r="10919">
          <cell r="A10919" t="str">
            <v>2622PA27</v>
          </cell>
          <cell r="D10919" t="str">
            <v>KBP76</v>
          </cell>
          <cell r="E10919">
            <v>46188</v>
          </cell>
        </row>
        <row r="10920">
          <cell r="A10920" t="str">
            <v>2621FD67</v>
          </cell>
          <cell r="D10920" t="str">
            <v>KBP76</v>
          </cell>
          <cell r="E10920">
            <v>46188</v>
          </cell>
        </row>
        <row r="10921">
          <cell r="A10921" t="str">
            <v>2622D967</v>
          </cell>
          <cell r="D10921" t="str">
            <v>KBP76</v>
          </cell>
          <cell r="E10921">
            <v>46188</v>
          </cell>
        </row>
        <row r="10922">
          <cell r="A10922" t="str">
            <v>2621FA67</v>
          </cell>
          <cell r="D10922" t="str">
            <v>KBP76</v>
          </cell>
          <cell r="E10922">
            <v>46188</v>
          </cell>
        </row>
        <row r="10923">
          <cell r="A10923" t="str">
            <v>2622QQ17</v>
          </cell>
          <cell r="D10923" t="str">
            <v>KBP76</v>
          </cell>
          <cell r="E10923">
            <v>46188</v>
          </cell>
        </row>
        <row r="10924">
          <cell r="A10924" t="str">
            <v>2622QR37</v>
          </cell>
          <cell r="D10924" t="str">
            <v>KBP76</v>
          </cell>
          <cell r="E10924">
            <v>46188</v>
          </cell>
        </row>
        <row r="10925">
          <cell r="A10925" t="str">
            <v>2622VQ47</v>
          </cell>
          <cell r="D10925" t="str">
            <v>KBP76</v>
          </cell>
          <cell r="E10925">
            <v>46188</v>
          </cell>
        </row>
        <row r="10926">
          <cell r="A10926" t="str">
            <v>2617L317</v>
          </cell>
          <cell r="D10926" t="str">
            <v>FTP200</v>
          </cell>
          <cell r="E10926">
            <v>46188</v>
          </cell>
        </row>
        <row r="10927">
          <cell r="A10927" t="str">
            <v>2617GG57</v>
          </cell>
          <cell r="D10927" t="str">
            <v>FTP200</v>
          </cell>
          <cell r="E10927">
            <v>46188</v>
          </cell>
        </row>
        <row r="10928">
          <cell r="A10928" t="str">
            <v>2617L217</v>
          </cell>
          <cell r="D10928" t="str">
            <v>FTP200</v>
          </cell>
          <cell r="E10928">
            <v>46188</v>
          </cell>
        </row>
        <row r="10929">
          <cell r="A10929" t="str">
            <v>2617L247</v>
          </cell>
          <cell r="D10929" t="str">
            <v>FTP200</v>
          </cell>
          <cell r="E10929">
            <v>46188</v>
          </cell>
        </row>
        <row r="10930">
          <cell r="A10930" t="str">
            <v>2622U657</v>
          </cell>
          <cell r="D10930" t="str">
            <v>KBP86</v>
          </cell>
          <cell r="E10930">
            <v>46188</v>
          </cell>
        </row>
        <row r="10931">
          <cell r="A10931" t="str">
            <v>2622KK17</v>
          </cell>
          <cell r="D10931" t="str">
            <v>KBP86</v>
          </cell>
          <cell r="E10931">
            <v>46188</v>
          </cell>
        </row>
        <row r="10932">
          <cell r="A10932" t="str">
            <v>2621ZT57</v>
          </cell>
          <cell r="D10932" t="str">
            <v>KBP86</v>
          </cell>
          <cell r="E10932">
            <v>46188</v>
          </cell>
        </row>
        <row r="10933">
          <cell r="A10933" t="str">
            <v>2621KR17</v>
          </cell>
          <cell r="D10933" t="str">
            <v>KBP86</v>
          </cell>
          <cell r="E10933">
            <v>46188</v>
          </cell>
        </row>
        <row r="10934">
          <cell r="A10934" t="str">
            <v>2622H627</v>
          </cell>
          <cell r="D10934" t="str">
            <v>KBP86</v>
          </cell>
          <cell r="E10934">
            <v>46188</v>
          </cell>
        </row>
        <row r="10935">
          <cell r="A10935" t="str">
            <v>2622SY57</v>
          </cell>
          <cell r="D10935" t="str">
            <v>KBP86</v>
          </cell>
          <cell r="E10935">
            <v>46188</v>
          </cell>
        </row>
        <row r="10936">
          <cell r="A10936" t="str">
            <v>2620S157</v>
          </cell>
          <cell r="D10936" t="str">
            <v>KBP86</v>
          </cell>
          <cell r="E10936">
            <v>46188</v>
          </cell>
        </row>
        <row r="10937">
          <cell r="A10937" t="str">
            <v>2622SS37</v>
          </cell>
          <cell r="D10937" t="str">
            <v>TTS80</v>
          </cell>
          <cell r="E10937">
            <v>46188</v>
          </cell>
        </row>
        <row r="10938">
          <cell r="A10938" t="str">
            <v>2622EV67</v>
          </cell>
          <cell r="D10938" t="str">
            <v>TTS80</v>
          </cell>
          <cell r="E10938">
            <v>46188</v>
          </cell>
        </row>
        <row r="10939">
          <cell r="A10939" t="str">
            <v>2622F767</v>
          </cell>
          <cell r="D10939" t="str">
            <v>TTS80</v>
          </cell>
          <cell r="E10939">
            <v>46188</v>
          </cell>
        </row>
        <row r="10940">
          <cell r="A10940" t="str">
            <v>2622ED67</v>
          </cell>
          <cell r="D10940" t="str">
            <v>TTS80</v>
          </cell>
          <cell r="E10940">
            <v>46188</v>
          </cell>
        </row>
        <row r="10941">
          <cell r="A10941" t="str">
            <v>2622ET67</v>
          </cell>
          <cell r="D10941" t="str">
            <v>TTS80</v>
          </cell>
          <cell r="E10941">
            <v>46188</v>
          </cell>
        </row>
        <row r="10942">
          <cell r="A10942" t="str">
            <v>2622SQ37</v>
          </cell>
          <cell r="D10942" t="str">
            <v>TTS80</v>
          </cell>
          <cell r="E10942">
            <v>46188</v>
          </cell>
        </row>
        <row r="10943">
          <cell r="A10943" t="str">
            <v>2622FB67</v>
          </cell>
          <cell r="D10943" t="str">
            <v>TTS80</v>
          </cell>
          <cell r="E10943">
            <v>46188</v>
          </cell>
        </row>
        <row r="10944">
          <cell r="A10944" t="str">
            <v>2621IM67</v>
          </cell>
          <cell r="D10944" t="str">
            <v>TTS80</v>
          </cell>
          <cell r="E10944">
            <v>46188</v>
          </cell>
        </row>
        <row r="10945">
          <cell r="A10945" t="str">
            <v>2622FJ67</v>
          </cell>
          <cell r="D10945" t="str">
            <v>TTS80</v>
          </cell>
          <cell r="E10945">
            <v>46188</v>
          </cell>
        </row>
        <row r="10946">
          <cell r="A10946" t="str">
            <v>2621OP37</v>
          </cell>
          <cell r="D10946" t="str">
            <v>TTS80</v>
          </cell>
          <cell r="E10946">
            <v>46188</v>
          </cell>
        </row>
        <row r="10947">
          <cell r="A10947" t="str">
            <v>2620QQ37</v>
          </cell>
          <cell r="D10947" t="str">
            <v>TTS80</v>
          </cell>
          <cell r="E10947">
            <v>46188</v>
          </cell>
        </row>
        <row r="10948">
          <cell r="A10948" t="str">
            <v>2622QC27</v>
          </cell>
          <cell r="D10948" t="str">
            <v>KBP55</v>
          </cell>
          <cell r="E10948">
            <v>46188</v>
          </cell>
        </row>
        <row r="10949">
          <cell r="A10949" t="str">
            <v>2622S837</v>
          </cell>
          <cell r="D10949" t="str">
            <v>TTS50</v>
          </cell>
          <cell r="E10949">
            <v>46188</v>
          </cell>
        </row>
        <row r="10950">
          <cell r="A10950" t="str">
            <v>2621J927</v>
          </cell>
          <cell r="D10950" t="str">
            <v>KBP86</v>
          </cell>
          <cell r="E10950">
            <v>46188</v>
          </cell>
        </row>
        <row r="10951">
          <cell r="A10951" t="str">
            <v>2621ED57</v>
          </cell>
          <cell r="D10951" t="str">
            <v>KBP86</v>
          </cell>
          <cell r="E10951">
            <v>46188</v>
          </cell>
        </row>
        <row r="10952">
          <cell r="A10952" t="str">
            <v>2621JF27</v>
          </cell>
          <cell r="D10952" t="str">
            <v>KBP86</v>
          </cell>
          <cell r="E10952">
            <v>46188</v>
          </cell>
        </row>
        <row r="10953">
          <cell r="A10953" t="str">
            <v>2620O637</v>
          </cell>
          <cell r="D10953" t="str">
            <v>KBP86</v>
          </cell>
          <cell r="E10953">
            <v>46188</v>
          </cell>
        </row>
        <row r="10954">
          <cell r="A10954" t="str">
            <v>2621PE17</v>
          </cell>
          <cell r="D10954" t="str">
            <v>KBP86</v>
          </cell>
          <cell r="E10954">
            <v>46188</v>
          </cell>
        </row>
        <row r="10955">
          <cell r="A10955" t="str">
            <v>2620CW47</v>
          </cell>
          <cell r="D10955" t="str">
            <v>KBP86</v>
          </cell>
          <cell r="E10955">
            <v>46188</v>
          </cell>
        </row>
        <row r="10956">
          <cell r="A10956" t="str">
            <v>2622L927</v>
          </cell>
          <cell r="D10956" t="str">
            <v>KBP86</v>
          </cell>
          <cell r="E10956">
            <v>46188</v>
          </cell>
        </row>
        <row r="10957">
          <cell r="A10957" t="str">
            <v>2621OH47</v>
          </cell>
          <cell r="D10957" t="str">
            <v>KBP86</v>
          </cell>
          <cell r="E10957">
            <v>46188</v>
          </cell>
        </row>
        <row r="10958">
          <cell r="A10958" t="str">
            <v>2621J827</v>
          </cell>
          <cell r="D10958" t="str">
            <v>KBP86</v>
          </cell>
          <cell r="E10958">
            <v>46188</v>
          </cell>
        </row>
        <row r="10959">
          <cell r="A10959" t="str">
            <v>2620YM17</v>
          </cell>
          <cell r="D10959" t="str">
            <v>KBP86</v>
          </cell>
          <cell r="E10959">
            <v>46188</v>
          </cell>
        </row>
        <row r="10960">
          <cell r="A10960" t="str">
            <v>2622OX17</v>
          </cell>
          <cell r="D10960" t="str">
            <v>KBP86</v>
          </cell>
          <cell r="E10960">
            <v>46188</v>
          </cell>
        </row>
        <row r="10961">
          <cell r="A10961" t="str">
            <v>2621OQ47</v>
          </cell>
          <cell r="D10961" t="str">
            <v>KBP86</v>
          </cell>
          <cell r="E10961">
            <v>46188</v>
          </cell>
        </row>
        <row r="10962">
          <cell r="A10962" t="str">
            <v>2621LV47</v>
          </cell>
          <cell r="D10962" t="str">
            <v>KBP86</v>
          </cell>
          <cell r="E10962">
            <v>46188</v>
          </cell>
        </row>
        <row r="10963">
          <cell r="A10963" t="str">
            <v>2620HL57</v>
          </cell>
          <cell r="D10963" t="str">
            <v>KBP86</v>
          </cell>
          <cell r="E10963">
            <v>46188</v>
          </cell>
        </row>
        <row r="10964">
          <cell r="A10964" t="str">
            <v>2622LD27</v>
          </cell>
          <cell r="D10964" t="str">
            <v>KBP86</v>
          </cell>
          <cell r="E10964">
            <v>46188</v>
          </cell>
        </row>
        <row r="10965">
          <cell r="A10965" t="str">
            <v>2620CQ47</v>
          </cell>
          <cell r="D10965" t="str">
            <v>KBP86</v>
          </cell>
          <cell r="E10965">
            <v>46188</v>
          </cell>
        </row>
        <row r="10966">
          <cell r="A10966" t="str">
            <v>2621JO27</v>
          </cell>
          <cell r="D10966" t="str">
            <v>KBP86</v>
          </cell>
          <cell r="E10966">
            <v>46188</v>
          </cell>
        </row>
        <row r="10967">
          <cell r="A10967" t="str">
            <v>2622LB27</v>
          </cell>
          <cell r="D10967" t="str">
            <v>KBP86</v>
          </cell>
          <cell r="E10967">
            <v>46188</v>
          </cell>
        </row>
        <row r="10968">
          <cell r="A10968" t="str">
            <v>2623I727</v>
          </cell>
          <cell r="D10968" t="str">
            <v>S706</v>
          </cell>
          <cell r="E10968">
            <v>46188</v>
          </cell>
        </row>
        <row r="10969">
          <cell r="A10969" t="str">
            <v>2623P517</v>
          </cell>
          <cell r="D10969" t="str">
            <v>S706</v>
          </cell>
          <cell r="E10969">
            <v>46188</v>
          </cell>
        </row>
        <row r="10970">
          <cell r="A10970" t="str">
            <v>2623I827</v>
          </cell>
          <cell r="D10970" t="str">
            <v>S706</v>
          </cell>
          <cell r="E10970">
            <v>46188</v>
          </cell>
        </row>
        <row r="10971">
          <cell r="A10971" t="str">
            <v>2623PH17</v>
          </cell>
          <cell r="D10971" t="str">
            <v>S706</v>
          </cell>
          <cell r="E10971">
            <v>46188</v>
          </cell>
        </row>
        <row r="10972">
          <cell r="A10972" t="str">
            <v>2623PS37</v>
          </cell>
          <cell r="D10972" t="str">
            <v>S706</v>
          </cell>
          <cell r="E10972">
            <v>46188</v>
          </cell>
        </row>
        <row r="10973">
          <cell r="A10973" t="str">
            <v>2623I327</v>
          </cell>
          <cell r="D10973" t="str">
            <v>S706</v>
          </cell>
          <cell r="E10973">
            <v>46188</v>
          </cell>
        </row>
        <row r="10974">
          <cell r="A10974" t="str">
            <v>2623OY17</v>
          </cell>
          <cell r="D10974" t="str">
            <v>S706</v>
          </cell>
          <cell r="E10974">
            <v>46188</v>
          </cell>
        </row>
        <row r="10975">
          <cell r="A10975" t="str">
            <v>2623I527</v>
          </cell>
          <cell r="D10975" t="str">
            <v>S706</v>
          </cell>
          <cell r="E10975">
            <v>46188</v>
          </cell>
        </row>
        <row r="10976">
          <cell r="A10976" t="str">
            <v>2623JQ57</v>
          </cell>
          <cell r="D10976" t="str">
            <v>S706</v>
          </cell>
          <cell r="E10976">
            <v>46188</v>
          </cell>
        </row>
        <row r="10977">
          <cell r="A10977" t="str">
            <v>2621PB47</v>
          </cell>
          <cell r="D10977" t="str">
            <v>TTS50</v>
          </cell>
          <cell r="E10977">
            <v>46188</v>
          </cell>
        </row>
        <row r="10978">
          <cell r="A10978" t="str">
            <v>2622CU67</v>
          </cell>
          <cell r="D10978" t="str">
            <v>TTS50</v>
          </cell>
          <cell r="E10978">
            <v>46188</v>
          </cell>
        </row>
        <row r="10979">
          <cell r="A10979" t="str">
            <v>2622CN67</v>
          </cell>
          <cell r="D10979" t="str">
            <v>HV80</v>
          </cell>
          <cell r="E10979">
            <v>46188</v>
          </cell>
        </row>
        <row r="10980">
          <cell r="A10980" t="str">
            <v>2622OB27</v>
          </cell>
          <cell r="D10980" t="str">
            <v>HV80</v>
          </cell>
          <cell r="E10980">
            <v>46188</v>
          </cell>
        </row>
        <row r="10981">
          <cell r="A10981" t="str">
            <v>2620IX57</v>
          </cell>
          <cell r="D10981" t="str">
            <v>HV80</v>
          </cell>
          <cell r="E10981">
            <v>46188</v>
          </cell>
        </row>
        <row r="10982">
          <cell r="A10982" t="str">
            <v>2620BJ67</v>
          </cell>
          <cell r="D10982" t="str">
            <v>HV80</v>
          </cell>
          <cell r="E10982">
            <v>46188</v>
          </cell>
        </row>
        <row r="10983">
          <cell r="A10983" t="str">
            <v>2619CL47</v>
          </cell>
          <cell r="D10983" t="str">
            <v>HV80</v>
          </cell>
          <cell r="E10983">
            <v>46188</v>
          </cell>
        </row>
        <row r="10984">
          <cell r="A10984" t="str">
            <v>2620P837</v>
          </cell>
          <cell r="D10984" t="str">
            <v>HV80</v>
          </cell>
          <cell r="E10984">
            <v>46188</v>
          </cell>
        </row>
        <row r="10985">
          <cell r="A10985" t="str">
            <v>2621EF67</v>
          </cell>
          <cell r="D10985" t="str">
            <v>HV80</v>
          </cell>
          <cell r="E10985">
            <v>46188</v>
          </cell>
        </row>
        <row r="10986">
          <cell r="A10986" t="str">
            <v>2620IP57</v>
          </cell>
          <cell r="D10986" t="str">
            <v>HV80</v>
          </cell>
          <cell r="E10986">
            <v>46188</v>
          </cell>
        </row>
        <row r="10987">
          <cell r="A10987" t="str">
            <v>2621QH17</v>
          </cell>
          <cell r="D10987" t="str">
            <v>HV80</v>
          </cell>
          <cell r="E10987">
            <v>46188</v>
          </cell>
        </row>
        <row r="10988">
          <cell r="A10988" t="str">
            <v>2620LR27</v>
          </cell>
          <cell r="D10988" t="str">
            <v>HV80</v>
          </cell>
          <cell r="E10988">
            <v>46188</v>
          </cell>
        </row>
        <row r="10989">
          <cell r="A10989" t="str">
            <v>2622LK47</v>
          </cell>
          <cell r="D10989" t="str">
            <v>S706</v>
          </cell>
          <cell r="E10989">
            <v>46188</v>
          </cell>
        </row>
        <row r="10990">
          <cell r="A10990" t="str">
            <v>2622LQ47</v>
          </cell>
          <cell r="D10990" t="str">
            <v>S706</v>
          </cell>
          <cell r="E10990">
            <v>46188</v>
          </cell>
        </row>
        <row r="10991">
          <cell r="A10991" t="str">
            <v>2622I627</v>
          </cell>
          <cell r="D10991" t="str">
            <v>S805</v>
          </cell>
          <cell r="E10991">
            <v>46188</v>
          </cell>
        </row>
        <row r="10992">
          <cell r="A10992" t="str">
            <v>2623IA17</v>
          </cell>
          <cell r="D10992" t="str">
            <v>STA156KA</v>
          </cell>
          <cell r="E10992">
            <v>46188</v>
          </cell>
        </row>
        <row r="10993">
          <cell r="A10993" t="str">
            <v>2609HO27</v>
          </cell>
          <cell r="D10993" t="str">
            <v>FTP150</v>
          </cell>
          <cell r="E10993">
            <v>46188</v>
          </cell>
        </row>
        <row r="10994">
          <cell r="A10994" t="str">
            <v>2620JT37</v>
          </cell>
          <cell r="D10994" t="str">
            <v>TTS50</v>
          </cell>
          <cell r="E10994">
            <v>46188</v>
          </cell>
        </row>
        <row r="10995">
          <cell r="A10995" t="str">
            <v>2619DT37</v>
          </cell>
          <cell r="D10995" t="str">
            <v>TTS50</v>
          </cell>
          <cell r="E10995">
            <v>46188</v>
          </cell>
        </row>
        <row r="10996">
          <cell r="A10996" t="str">
            <v>2613II47</v>
          </cell>
          <cell r="D10996" t="str">
            <v>FTW503</v>
          </cell>
          <cell r="E10996">
            <v>46188</v>
          </cell>
        </row>
        <row r="10997">
          <cell r="A10997" t="str">
            <v>2613IK47</v>
          </cell>
          <cell r="D10997" t="str">
            <v>FTW503</v>
          </cell>
          <cell r="E10997">
            <v>46188</v>
          </cell>
        </row>
        <row r="10998">
          <cell r="A10998" t="str">
            <v>2613IL47</v>
          </cell>
          <cell r="D10998" t="str">
            <v>FTW503</v>
          </cell>
          <cell r="E10998">
            <v>46188</v>
          </cell>
        </row>
        <row r="10999">
          <cell r="A10999" t="str">
            <v>2613IN47</v>
          </cell>
          <cell r="D10999" t="str">
            <v>FTW503</v>
          </cell>
          <cell r="E10999">
            <v>46188</v>
          </cell>
        </row>
        <row r="11000">
          <cell r="A11000" t="str">
            <v>2613IO47</v>
          </cell>
          <cell r="D11000" t="str">
            <v>FTW503</v>
          </cell>
          <cell r="E11000">
            <v>46188</v>
          </cell>
        </row>
        <row r="11001">
          <cell r="A11001" t="str">
            <v>2613IP47</v>
          </cell>
          <cell r="D11001" t="str">
            <v>FTW503</v>
          </cell>
          <cell r="E11001">
            <v>46188</v>
          </cell>
        </row>
        <row r="11002">
          <cell r="A11002" t="str">
            <v>2613IQ47</v>
          </cell>
          <cell r="D11002" t="str">
            <v>FTW503</v>
          </cell>
          <cell r="E11002">
            <v>46188</v>
          </cell>
        </row>
        <row r="11003">
          <cell r="A11003" t="str">
            <v>2613IR47</v>
          </cell>
          <cell r="D11003" t="str">
            <v>FTW503</v>
          </cell>
          <cell r="E11003">
            <v>46188</v>
          </cell>
        </row>
        <row r="11004">
          <cell r="A11004" t="str">
            <v>2613IS47</v>
          </cell>
          <cell r="D11004" t="str">
            <v>FTW503</v>
          </cell>
          <cell r="E11004">
            <v>46188</v>
          </cell>
        </row>
        <row r="11005">
          <cell r="A11005" t="str">
            <v>2613IU47</v>
          </cell>
          <cell r="D11005" t="str">
            <v>FTW503</v>
          </cell>
          <cell r="E11005">
            <v>46188</v>
          </cell>
        </row>
        <row r="11006">
          <cell r="A11006" t="str">
            <v>2613IV47</v>
          </cell>
          <cell r="D11006" t="str">
            <v>FTW503</v>
          </cell>
          <cell r="E11006">
            <v>46188</v>
          </cell>
        </row>
        <row r="11007">
          <cell r="A11007" t="str">
            <v>2613IW47</v>
          </cell>
          <cell r="D11007" t="str">
            <v>FTW503</v>
          </cell>
          <cell r="E11007">
            <v>46188</v>
          </cell>
        </row>
        <row r="11008">
          <cell r="A11008" t="str">
            <v>2621SM17</v>
          </cell>
          <cell r="D11008" t="str">
            <v>KBP55</v>
          </cell>
          <cell r="E11008">
            <v>46188</v>
          </cell>
        </row>
        <row r="11009">
          <cell r="A11009" t="str">
            <v>2622SL17</v>
          </cell>
          <cell r="D11009" t="str">
            <v>KBP55</v>
          </cell>
          <cell r="E11009">
            <v>46188</v>
          </cell>
        </row>
        <row r="11010">
          <cell r="A11010" t="str">
            <v>2622QG27</v>
          </cell>
          <cell r="D11010" t="str">
            <v>FTP200</v>
          </cell>
          <cell r="E11010">
            <v>46188</v>
          </cell>
        </row>
        <row r="11011">
          <cell r="A11011" t="str">
            <v>2622SP17</v>
          </cell>
          <cell r="D11011" t="str">
            <v>FTP200</v>
          </cell>
          <cell r="E11011">
            <v>46188</v>
          </cell>
        </row>
        <row r="11012">
          <cell r="A11012" t="str">
            <v>2622SK37</v>
          </cell>
          <cell r="D11012" t="str">
            <v>FTP200</v>
          </cell>
          <cell r="E11012">
            <v>46188</v>
          </cell>
        </row>
        <row r="11013">
          <cell r="A11013" t="str">
            <v>2622QI27</v>
          </cell>
          <cell r="D11013" t="str">
            <v>FTP200</v>
          </cell>
          <cell r="E11013">
            <v>46188</v>
          </cell>
        </row>
        <row r="11014">
          <cell r="A11014" t="str">
            <v>2615KT47</v>
          </cell>
          <cell r="D11014" t="str">
            <v>S805</v>
          </cell>
          <cell r="E11014">
            <v>46188</v>
          </cell>
        </row>
        <row r="11015">
          <cell r="A11015" t="str">
            <v>2622O547</v>
          </cell>
          <cell r="D11015" t="str">
            <v>S805</v>
          </cell>
          <cell r="E11015">
            <v>46188</v>
          </cell>
        </row>
        <row r="11016">
          <cell r="A11016" t="str">
            <v>2622KW17</v>
          </cell>
          <cell r="D11016" t="str">
            <v>S805</v>
          </cell>
          <cell r="E11016">
            <v>46188</v>
          </cell>
        </row>
        <row r="11017">
          <cell r="A11017" t="str">
            <v>2622L317</v>
          </cell>
          <cell r="D11017" t="str">
            <v>S805</v>
          </cell>
          <cell r="E11017">
            <v>46188</v>
          </cell>
        </row>
        <row r="11018">
          <cell r="A11018" t="str">
            <v>2622O647</v>
          </cell>
          <cell r="D11018" t="str">
            <v>S805</v>
          </cell>
          <cell r="E11018">
            <v>46188</v>
          </cell>
        </row>
        <row r="11019">
          <cell r="A11019" t="str">
            <v>2622O347</v>
          </cell>
          <cell r="D11019" t="str">
            <v>S805</v>
          </cell>
          <cell r="E11019">
            <v>46188</v>
          </cell>
        </row>
        <row r="11020">
          <cell r="A11020" t="str">
            <v>2622L117</v>
          </cell>
          <cell r="D11020" t="str">
            <v>S805</v>
          </cell>
          <cell r="E11020">
            <v>46188</v>
          </cell>
        </row>
        <row r="11021">
          <cell r="A11021" t="str">
            <v>2620IV27</v>
          </cell>
          <cell r="D11021" t="str">
            <v>S805</v>
          </cell>
          <cell r="E11021">
            <v>46188</v>
          </cell>
        </row>
        <row r="11022">
          <cell r="A11022" t="str">
            <v>2621IX37</v>
          </cell>
          <cell r="D11022" t="str">
            <v>S805</v>
          </cell>
          <cell r="E11022">
            <v>46188</v>
          </cell>
        </row>
        <row r="11023">
          <cell r="A11023" t="str">
            <v>2620PB57</v>
          </cell>
          <cell r="D11023" t="str">
            <v>STA156KA</v>
          </cell>
          <cell r="E11023">
            <v>46188</v>
          </cell>
        </row>
        <row r="11024">
          <cell r="A11024" t="str">
            <v>2622BU27</v>
          </cell>
          <cell r="D11024" t="str">
            <v>KBP126</v>
          </cell>
          <cell r="E11024">
            <v>46188</v>
          </cell>
        </row>
        <row r="11025">
          <cell r="A11025" t="str">
            <v>2621LA17</v>
          </cell>
          <cell r="D11025" t="str">
            <v>KBP76</v>
          </cell>
          <cell r="E11025">
            <v>46188</v>
          </cell>
        </row>
        <row r="11026">
          <cell r="A11026" t="str">
            <v>2622Q627</v>
          </cell>
          <cell r="D11026" t="str">
            <v>STA156KA</v>
          </cell>
          <cell r="E11026">
            <v>46188</v>
          </cell>
        </row>
        <row r="11027">
          <cell r="A11027" t="str">
            <v>2622E967</v>
          </cell>
          <cell r="D11027" t="str">
            <v>KBP74</v>
          </cell>
          <cell r="E11027">
            <v>46188</v>
          </cell>
        </row>
        <row r="11028">
          <cell r="A11028" t="str">
            <v>2622JT27</v>
          </cell>
          <cell r="D11028" t="str">
            <v>KBP126</v>
          </cell>
          <cell r="E11028">
            <v>46188</v>
          </cell>
        </row>
        <row r="11029">
          <cell r="A11029" t="str">
            <v>2622KN37</v>
          </cell>
          <cell r="D11029" t="str">
            <v>KBP126</v>
          </cell>
          <cell r="E11029">
            <v>46188</v>
          </cell>
        </row>
        <row r="11030">
          <cell r="A11030" t="str">
            <v>2622KS37</v>
          </cell>
          <cell r="D11030" t="str">
            <v>KBP126</v>
          </cell>
          <cell r="E11030">
            <v>46188</v>
          </cell>
        </row>
        <row r="11031">
          <cell r="A11031" t="str">
            <v>2622KP37</v>
          </cell>
          <cell r="D11031" t="str">
            <v>KBP126</v>
          </cell>
          <cell r="E11031">
            <v>46188</v>
          </cell>
        </row>
        <row r="11032">
          <cell r="A11032" t="str">
            <v>2622JR27</v>
          </cell>
          <cell r="D11032" t="str">
            <v>KBP126</v>
          </cell>
          <cell r="E11032">
            <v>46188</v>
          </cell>
        </row>
        <row r="11033">
          <cell r="A11033" t="str">
            <v>2617Z527</v>
          </cell>
          <cell r="D11033" t="str">
            <v>KBP126</v>
          </cell>
          <cell r="E11033">
            <v>46188</v>
          </cell>
        </row>
        <row r="11034">
          <cell r="A11034" t="str">
            <v>2621LQ47</v>
          </cell>
          <cell r="D11034" t="str">
            <v>KBP52</v>
          </cell>
          <cell r="E11034">
            <v>46188</v>
          </cell>
        </row>
        <row r="11035">
          <cell r="A11035" t="str">
            <v>2622KR27</v>
          </cell>
          <cell r="D11035" t="str">
            <v>FTW121KE</v>
          </cell>
          <cell r="E11035">
            <v>46188</v>
          </cell>
        </row>
        <row r="11036">
          <cell r="A11036" t="str">
            <v>2621HG67</v>
          </cell>
          <cell r="D11036" t="str">
            <v>STA156KA</v>
          </cell>
          <cell r="E11036">
            <v>46188</v>
          </cell>
        </row>
        <row r="11037">
          <cell r="A11037" t="str">
            <v>2621HB67</v>
          </cell>
          <cell r="D11037" t="str">
            <v>STA156KA</v>
          </cell>
          <cell r="E11037">
            <v>46188</v>
          </cell>
        </row>
        <row r="11038">
          <cell r="A11038" t="str">
            <v>2623KM37</v>
          </cell>
          <cell r="D11038" t="str">
            <v>FTW102K</v>
          </cell>
          <cell r="E11038">
            <v>46188</v>
          </cell>
        </row>
        <row r="11039">
          <cell r="A11039" t="str">
            <v>2623IO47</v>
          </cell>
          <cell r="D11039" t="str">
            <v>FTW102K</v>
          </cell>
          <cell r="E11039">
            <v>46188</v>
          </cell>
        </row>
        <row r="11040">
          <cell r="A11040" t="str">
            <v>2623IP47</v>
          </cell>
          <cell r="D11040" t="str">
            <v>FTW102K</v>
          </cell>
          <cell r="E11040">
            <v>46188</v>
          </cell>
        </row>
        <row r="11041">
          <cell r="A11041" t="str">
            <v>2623IQ47</v>
          </cell>
          <cell r="D11041" t="str">
            <v>FTW102K</v>
          </cell>
          <cell r="E11041">
            <v>46188</v>
          </cell>
        </row>
        <row r="11042">
          <cell r="A11042" t="str">
            <v>2622LA37</v>
          </cell>
          <cell r="D11042" t="str">
            <v>FTW121KR</v>
          </cell>
          <cell r="E11042">
            <v>46188</v>
          </cell>
        </row>
        <row r="11043">
          <cell r="A11043" t="str">
            <v>2622QN47</v>
          </cell>
          <cell r="D11043" t="str">
            <v>FTW121KR</v>
          </cell>
          <cell r="E11043">
            <v>46188</v>
          </cell>
        </row>
        <row r="11044">
          <cell r="A11044" t="str">
            <v>2622QT47</v>
          </cell>
          <cell r="D11044" t="str">
            <v>FTW121KR</v>
          </cell>
          <cell r="E11044">
            <v>46188</v>
          </cell>
        </row>
        <row r="11045">
          <cell r="A11045" t="str">
            <v>2621AB67</v>
          </cell>
          <cell r="D11045" t="str">
            <v>FTW121KR</v>
          </cell>
          <cell r="E11045">
            <v>46188</v>
          </cell>
        </row>
        <row r="11046">
          <cell r="A11046" t="str">
            <v>2623P617</v>
          </cell>
          <cell r="D11046" t="str">
            <v>S706</v>
          </cell>
          <cell r="E11046">
            <v>46188</v>
          </cell>
        </row>
        <row r="11047">
          <cell r="A11047" t="str">
            <v>2623PG17</v>
          </cell>
          <cell r="D11047" t="str">
            <v>S706</v>
          </cell>
          <cell r="E11047">
            <v>46188</v>
          </cell>
        </row>
        <row r="11048">
          <cell r="A11048" t="str">
            <v>2622WV57</v>
          </cell>
          <cell r="D11048" t="str">
            <v>FTW700</v>
          </cell>
          <cell r="E11048">
            <v>46188</v>
          </cell>
        </row>
        <row r="11049">
          <cell r="A11049" t="str">
            <v>2617Z417</v>
          </cell>
          <cell r="D11049" t="str">
            <v>KBP86</v>
          </cell>
          <cell r="E11049">
            <v>46187</v>
          </cell>
        </row>
        <row r="11050">
          <cell r="A11050" t="str">
            <v>2622WQ57</v>
          </cell>
          <cell r="D11050" t="str">
            <v>FTW700</v>
          </cell>
          <cell r="E11050">
            <v>46187</v>
          </cell>
        </row>
        <row r="11051">
          <cell r="A11051" t="str">
            <v>2623KB17</v>
          </cell>
          <cell r="D11051" t="str">
            <v>FTW700</v>
          </cell>
          <cell r="E11051">
            <v>46187</v>
          </cell>
        </row>
        <row r="11052">
          <cell r="A11052" t="str">
            <v>2623PI17</v>
          </cell>
          <cell r="D11052" t="str">
            <v>S706</v>
          </cell>
          <cell r="E11052">
            <v>46187</v>
          </cell>
        </row>
        <row r="11053">
          <cell r="A11053" t="str">
            <v>2623P117</v>
          </cell>
          <cell r="D11053" t="str">
            <v>S706</v>
          </cell>
          <cell r="E11053">
            <v>46187</v>
          </cell>
        </row>
        <row r="11054">
          <cell r="A11054" t="str">
            <v>2623PN37</v>
          </cell>
          <cell r="D11054" t="str">
            <v>S706</v>
          </cell>
          <cell r="E11054">
            <v>46187</v>
          </cell>
        </row>
        <row r="11055">
          <cell r="A11055" t="str">
            <v>2623HY27</v>
          </cell>
          <cell r="D11055" t="str">
            <v>S706</v>
          </cell>
          <cell r="E11055">
            <v>46187</v>
          </cell>
        </row>
        <row r="11056">
          <cell r="A11056" t="str">
            <v>2623PP37</v>
          </cell>
          <cell r="D11056" t="str">
            <v>S706</v>
          </cell>
          <cell r="E11056">
            <v>46187</v>
          </cell>
        </row>
        <row r="11057">
          <cell r="A11057" t="str">
            <v>2623LC47</v>
          </cell>
          <cell r="D11057" t="str">
            <v>S706</v>
          </cell>
          <cell r="E11057">
            <v>46187</v>
          </cell>
        </row>
        <row r="11058">
          <cell r="A11058" t="str">
            <v>2623SK27</v>
          </cell>
          <cell r="D11058" t="str">
            <v>S706</v>
          </cell>
          <cell r="E11058">
            <v>46187</v>
          </cell>
        </row>
        <row r="11059">
          <cell r="A11059" t="str">
            <v>2623I127</v>
          </cell>
          <cell r="D11059" t="str">
            <v>S706</v>
          </cell>
          <cell r="E11059">
            <v>46187</v>
          </cell>
        </row>
        <row r="11060">
          <cell r="A11060" t="str">
            <v>2623SN27</v>
          </cell>
          <cell r="D11060" t="str">
            <v>S706</v>
          </cell>
          <cell r="E11060">
            <v>46187</v>
          </cell>
        </row>
        <row r="11061">
          <cell r="A11061" t="str">
            <v>2623HV27</v>
          </cell>
          <cell r="D11061" t="str">
            <v>S706</v>
          </cell>
          <cell r="E11061">
            <v>46187</v>
          </cell>
        </row>
        <row r="11062">
          <cell r="A11062" t="str">
            <v>2622O457</v>
          </cell>
          <cell r="D11062" t="str">
            <v>S15MB</v>
          </cell>
          <cell r="E11062">
            <v>46187</v>
          </cell>
        </row>
        <row r="11063">
          <cell r="A11063" t="str">
            <v>2622VY47</v>
          </cell>
          <cell r="D11063" t="str">
            <v>KBP74</v>
          </cell>
          <cell r="E11063">
            <v>46187</v>
          </cell>
        </row>
        <row r="11064">
          <cell r="A11064" t="str">
            <v>2622SD17</v>
          </cell>
          <cell r="D11064" t="str">
            <v>KBP74</v>
          </cell>
          <cell r="E11064">
            <v>46187</v>
          </cell>
        </row>
        <row r="11065">
          <cell r="A11065" t="str">
            <v>2620ET47</v>
          </cell>
          <cell r="D11065" t="str">
            <v>KBP55</v>
          </cell>
          <cell r="E11065">
            <v>46187</v>
          </cell>
        </row>
        <row r="11066">
          <cell r="A11066" t="str">
            <v>2621HA67</v>
          </cell>
          <cell r="D11066" t="str">
            <v>STA156KA</v>
          </cell>
          <cell r="E11066">
            <v>46187</v>
          </cell>
        </row>
        <row r="11067">
          <cell r="A11067" t="str">
            <v>2606Q637</v>
          </cell>
          <cell r="D11067" t="str">
            <v>STA156KA</v>
          </cell>
          <cell r="E11067">
            <v>46187</v>
          </cell>
        </row>
        <row r="11068">
          <cell r="A11068" t="str">
            <v>2623KH37</v>
          </cell>
          <cell r="D11068" t="str">
            <v>FTW102K</v>
          </cell>
          <cell r="E11068">
            <v>46187</v>
          </cell>
        </row>
        <row r="11069">
          <cell r="A11069" t="str">
            <v>2623KI37</v>
          </cell>
          <cell r="D11069" t="str">
            <v>FTW102K</v>
          </cell>
          <cell r="E11069">
            <v>46187</v>
          </cell>
        </row>
        <row r="11070">
          <cell r="A11070" t="str">
            <v>2623F127</v>
          </cell>
          <cell r="D11070" t="str">
            <v>FTW102K</v>
          </cell>
          <cell r="E11070">
            <v>46187</v>
          </cell>
        </row>
        <row r="11071">
          <cell r="A11071" t="str">
            <v>2623KJ37</v>
          </cell>
          <cell r="D11071" t="str">
            <v>FTW102K</v>
          </cell>
          <cell r="E11071">
            <v>46187</v>
          </cell>
        </row>
        <row r="11072">
          <cell r="A11072" t="str">
            <v>2623KK37</v>
          </cell>
          <cell r="D11072" t="str">
            <v>FTW102K</v>
          </cell>
          <cell r="E11072">
            <v>46187</v>
          </cell>
        </row>
        <row r="11073">
          <cell r="A11073" t="str">
            <v>2623KL37</v>
          </cell>
          <cell r="D11073" t="str">
            <v>FTW102K</v>
          </cell>
          <cell r="E11073">
            <v>46187</v>
          </cell>
        </row>
        <row r="11074">
          <cell r="A11074" t="str">
            <v>2622OZ57</v>
          </cell>
          <cell r="D11074" t="str">
            <v>KBP86</v>
          </cell>
          <cell r="E11074">
            <v>46187</v>
          </cell>
        </row>
        <row r="11075">
          <cell r="A11075" t="str">
            <v>2622OM57</v>
          </cell>
          <cell r="D11075" t="str">
            <v>KBP86</v>
          </cell>
          <cell r="E11075">
            <v>46187</v>
          </cell>
        </row>
        <row r="11076">
          <cell r="A11076" t="str">
            <v>2623J127</v>
          </cell>
          <cell r="D11076" t="str">
            <v>KBP76</v>
          </cell>
          <cell r="E11076">
            <v>46187</v>
          </cell>
        </row>
        <row r="11077">
          <cell r="A11077" t="str">
            <v>2623J227</v>
          </cell>
          <cell r="D11077" t="str">
            <v>KBP76</v>
          </cell>
          <cell r="E11077">
            <v>46187</v>
          </cell>
        </row>
        <row r="11078">
          <cell r="A11078" t="str">
            <v>2623Q817</v>
          </cell>
          <cell r="D11078" t="str">
            <v>KBP76</v>
          </cell>
          <cell r="E11078">
            <v>46187</v>
          </cell>
        </row>
        <row r="11079">
          <cell r="A11079" t="str">
            <v>2623Q717</v>
          </cell>
          <cell r="D11079" t="str">
            <v>KBP76</v>
          </cell>
          <cell r="E11079">
            <v>46187</v>
          </cell>
        </row>
        <row r="11080">
          <cell r="A11080" t="str">
            <v>2622KO27</v>
          </cell>
          <cell r="D11080" t="str">
            <v>FTW121KE</v>
          </cell>
          <cell r="E11080">
            <v>46187</v>
          </cell>
        </row>
        <row r="11081">
          <cell r="A11081" t="str">
            <v>2622XQ57</v>
          </cell>
          <cell r="D11081" t="str">
            <v>FTW121KE</v>
          </cell>
          <cell r="E11081">
            <v>46187</v>
          </cell>
        </row>
        <row r="11082">
          <cell r="A11082" t="str">
            <v>2622KJ27</v>
          </cell>
          <cell r="D11082" t="str">
            <v>FTW121KE</v>
          </cell>
          <cell r="E11082">
            <v>46187</v>
          </cell>
        </row>
        <row r="11083">
          <cell r="A11083" t="str">
            <v>2621XC57</v>
          </cell>
          <cell r="D11083" t="str">
            <v>FTW121KE</v>
          </cell>
          <cell r="E11083">
            <v>46187</v>
          </cell>
        </row>
        <row r="11084">
          <cell r="A11084" t="str">
            <v>2622QO47</v>
          </cell>
          <cell r="D11084" t="str">
            <v>FTW121KE</v>
          </cell>
          <cell r="E11084">
            <v>46187</v>
          </cell>
        </row>
        <row r="11085">
          <cell r="A11085" t="str">
            <v>2621JT37</v>
          </cell>
          <cell r="D11085" t="str">
            <v>FTW121KE</v>
          </cell>
          <cell r="E11085">
            <v>46187</v>
          </cell>
        </row>
        <row r="11086">
          <cell r="A11086" t="str">
            <v>2622KL27</v>
          </cell>
          <cell r="D11086" t="str">
            <v>FTW121KE</v>
          </cell>
          <cell r="E11086">
            <v>46187</v>
          </cell>
        </row>
        <row r="11087">
          <cell r="A11087" t="str">
            <v>2622L937</v>
          </cell>
          <cell r="D11087" t="str">
            <v>FTW121KE</v>
          </cell>
          <cell r="E11087">
            <v>46187</v>
          </cell>
        </row>
        <row r="11088">
          <cell r="A11088" t="str">
            <v>2622K327</v>
          </cell>
          <cell r="D11088" t="str">
            <v>FTW121KE</v>
          </cell>
          <cell r="E11088">
            <v>46187</v>
          </cell>
        </row>
        <row r="11089">
          <cell r="A11089" t="str">
            <v>2621HB27</v>
          </cell>
          <cell r="D11089" t="str">
            <v>FTW121KE</v>
          </cell>
          <cell r="E11089">
            <v>46187</v>
          </cell>
        </row>
        <row r="11090">
          <cell r="A11090" t="str">
            <v>2621JV37</v>
          </cell>
          <cell r="D11090" t="str">
            <v>FTW121KE</v>
          </cell>
          <cell r="E11090">
            <v>46187</v>
          </cell>
        </row>
        <row r="11091">
          <cell r="A11091" t="str">
            <v>2621JO37</v>
          </cell>
          <cell r="D11091" t="str">
            <v>FTW121KE</v>
          </cell>
          <cell r="E11091">
            <v>46187</v>
          </cell>
        </row>
        <row r="11092">
          <cell r="A11092" t="str">
            <v>2622QK47</v>
          </cell>
          <cell r="D11092" t="str">
            <v>FTW121KE</v>
          </cell>
          <cell r="E11092">
            <v>46187</v>
          </cell>
        </row>
        <row r="11093">
          <cell r="A11093" t="str">
            <v>2621JP37</v>
          </cell>
          <cell r="D11093" t="str">
            <v>FTW121KE</v>
          </cell>
          <cell r="E11093">
            <v>46187</v>
          </cell>
        </row>
        <row r="11094">
          <cell r="A11094" t="str">
            <v>2621HP27</v>
          </cell>
          <cell r="D11094" t="str">
            <v>FTW121KR</v>
          </cell>
          <cell r="E11094">
            <v>46187</v>
          </cell>
        </row>
        <row r="11095">
          <cell r="A11095" t="str">
            <v>2621HO27</v>
          </cell>
          <cell r="D11095" t="str">
            <v>FTW121KR</v>
          </cell>
          <cell r="E11095">
            <v>46187</v>
          </cell>
        </row>
        <row r="11096">
          <cell r="A11096" t="str">
            <v>2621IE27</v>
          </cell>
          <cell r="D11096" t="str">
            <v>FTW121KR</v>
          </cell>
          <cell r="E11096">
            <v>46187</v>
          </cell>
        </row>
        <row r="11097">
          <cell r="A11097" t="str">
            <v>2623KD17</v>
          </cell>
          <cell r="D11097" t="str">
            <v>FTW700</v>
          </cell>
          <cell r="E11097">
            <v>46187</v>
          </cell>
        </row>
        <row r="11098">
          <cell r="A11098" t="str">
            <v>2623KB17</v>
          </cell>
          <cell r="D11098" t="str">
            <v>FTW700</v>
          </cell>
          <cell r="E11098">
            <v>46187</v>
          </cell>
        </row>
        <row r="11099">
          <cell r="A11099" t="str">
            <v>2622WQ57</v>
          </cell>
          <cell r="D11099" t="str">
            <v>FTW700</v>
          </cell>
          <cell r="E11099">
            <v>46187</v>
          </cell>
        </row>
        <row r="11100">
          <cell r="A11100" t="str">
            <v>2623FD37</v>
          </cell>
          <cell r="D11100" t="str">
            <v>KBP76</v>
          </cell>
          <cell r="E11100">
            <v>46187</v>
          </cell>
        </row>
        <row r="11101">
          <cell r="A11101" t="str">
            <v>2622EY37</v>
          </cell>
          <cell r="D11101" t="str">
            <v>KBP86</v>
          </cell>
          <cell r="E11101">
            <v>46187</v>
          </cell>
        </row>
        <row r="11102">
          <cell r="A11102" t="str">
            <v>2622OL57</v>
          </cell>
          <cell r="D11102" t="str">
            <v>KBP86</v>
          </cell>
          <cell r="E11102">
            <v>46187</v>
          </cell>
        </row>
        <row r="11103">
          <cell r="A11103" t="str">
            <v>2622OJ57</v>
          </cell>
          <cell r="D11103" t="str">
            <v>KBP86</v>
          </cell>
          <cell r="E11103">
            <v>46187</v>
          </cell>
        </row>
        <row r="11104">
          <cell r="A11104" t="str">
            <v>2622UP57</v>
          </cell>
          <cell r="D11104" t="str">
            <v>KBP126</v>
          </cell>
          <cell r="E11104">
            <v>46187</v>
          </cell>
        </row>
        <row r="11105">
          <cell r="A11105" t="str">
            <v>2622PC17</v>
          </cell>
          <cell r="D11105" t="str">
            <v>KBP52</v>
          </cell>
          <cell r="E11105">
            <v>46187</v>
          </cell>
        </row>
        <row r="11106">
          <cell r="A11106" t="str">
            <v>2622BD67</v>
          </cell>
          <cell r="D11106" t="str">
            <v>KBP52</v>
          </cell>
          <cell r="E11106">
            <v>46187</v>
          </cell>
        </row>
        <row r="11107">
          <cell r="A11107" t="str">
            <v>2622PI17</v>
          </cell>
          <cell r="D11107" t="str">
            <v>KBP52</v>
          </cell>
          <cell r="E11107">
            <v>46187</v>
          </cell>
        </row>
        <row r="11108">
          <cell r="A11108" t="str">
            <v>2622SM47</v>
          </cell>
          <cell r="D11108" t="str">
            <v>KBP52</v>
          </cell>
          <cell r="E11108">
            <v>46187</v>
          </cell>
        </row>
        <row r="11109">
          <cell r="A11109" t="str">
            <v>2622BY67</v>
          </cell>
          <cell r="D11109" t="str">
            <v>KBP52</v>
          </cell>
          <cell r="E11109">
            <v>46187</v>
          </cell>
        </row>
        <row r="11110">
          <cell r="A11110" t="str">
            <v>2621DR67</v>
          </cell>
          <cell r="D11110" t="str">
            <v>KBP52</v>
          </cell>
          <cell r="E11110">
            <v>46187</v>
          </cell>
        </row>
        <row r="11111">
          <cell r="A11111" t="str">
            <v>2623HH27</v>
          </cell>
          <cell r="D11111" t="str">
            <v>KBP52</v>
          </cell>
          <cell r="E11111">
            <v>46187</v>
          </cell>
        </row>
        <row r="11112">
          <cell r="A11112" t="str">
            <v>2622HP27</v>
          </cell>
          <cell r="D11112" t="str">
            <v>KBP86</v>
          </cell>
          <cell r="E11112">
            <v>46187</v>
          </cell>
        </row>
        <row r="11113">
          <cell r="A11113" t="str">
            <v>2623SD27</v>
          </cell>
          <cell r="D11113" t="str">
            <v>KBP76</v>
          </cell>
          <cell r="E11113">
            <v>46187</v>
          </cell>
        </row>
        <row r="11114">
          <cell r="A11114" t="str">
            <v>2621OG27</v>
          </cell>
          <cell r="D11114" t="str">
            <v>KBP86</v>
          </cell>
          <cell r="E11114">
            <v>46187</v>
          </cell>
        </row>
        <row r="11115">
          <cell r="A11115" t="str">
            <v>2621FF67</v>
          </cell>
          <cell r="D11115" t="str">
            <v>KBP86</v>
          </cell>
          <cell r="E11115">
            <v>46187</v>
          </cell>
        </row>
        <row r="11116">
          <cell r="A11116" t="str">
            <v>2622D667</v>
          </cell>
          <cell r="D11116" t="str">
            <v>KBP76</v>
          </cell>
          <cell r="E11116">
            <v>46187</v>
          </cell>
        </row>
        <row r="11117">
          <cell r="A11117" t="str">
            <v>2621FB67</v>
          </cell>
          <cell r="D11117" t="str">
            <v>KBP76</v>
          </cell>
          <cell r="E11117">
            <v>46187</v>
          </cell>
        </row>
        <row r="11118">
          <cell r="A11118" t="str">
            <v>2622DH67</v>
          </cell>
          <cell r="D11118" t="str">
            <v>KBP76</v>
          </cell>
          <cell r="E11118">
            <v>46187</v>
          </cell>
        </row>
        <row r="11119">
          <cell r="A11119" t="str">
            <v>2622DJ67</v>
          </cell>
          <cell r="D11119" t="str">
            <v>KBP76</v>
          </cell>
          <cell r="E11119">
            <v>46187</v>
          </cell>
        </row>
        <row r="11120">
          <cell r="A11120" t="str">
            <v>2617DX80</v>
          </cell>
          <cell r="D11120" t="str">
            <v>TTS125</v>
          </cell>
          <cell r="E11120">
            <v>46187</v>
          </cell>
        </row>
        <row r="11121">
          <cell r="A11121" t="str">
            <v>2616DQ30</v>
          </cell>
          <cell r="D11121" t="str">
            <v>TTS125</v>
          </cell>
          <cell r="E11121">
            <v>46187</v>
          </cell>
        </row>
        <row r="11122">
          <cell r="A11122" t="str">
            <v>2620IL57</v>
          </cell>
          <cell r="D11122" t="str">
            <v>FTP200</v>
          </cell>
          <cell r="E11122">
            <v>46187</v>
          </cell>
        </row>
        <row r="11123">
          <cell r="A11123" t="str">
            <v>2617L547</v>
          </cell>
          <cell r="D11123" t="str">
            <v>FTP200</v>
          </cell>
          <cell r="E11123">
            <v>46187</v>
          </cell>
        </row>
        <row r="11124">
          <cell r="A11124" t="str">
            <v>2622KV47</v>
          </cell>
          <cell r="D11124" t="str">
            <v>KBP86</v>
          </cell>
          <cell r="E11124">
            <v>46187</v>
          </cell>
        </row>
        <row r="11125">
          <cell r="A11125" t="str">
            <v>2622UK57</v>
          </cell>
          <cell r="D11125" t="str">
            <v>KBP86</v>
          </cell>
          <cell r="E11125">
            <v>46187</v>
          </cell>
        </row>
        <row r="11126">
          <cell r="A11126" t="str">
            <v>2622CY57</v>
          </cell>
          <cell r="D11126" t="str">
            <v>KBP86</v>
          </cell>
          <cell r="E11126">
            <v>46187</v>
          </cell>
        </row>
        <row r="11127">
          <cell r="A11127" t="str">
            <v>2621G727</v>
          </cell>
          <cell r="D11127" t="str">
            <v>KBP86</v>
          </cell>
          <cell r="E11127">
            <v>46187</v>
          </cell>
        </row>
        <row r="11128">
          <cell r="A11128" t="str">
            <v>2622KX47</v>
          </cell>
          <cell r="D11128" t="str">
            <v>KBP86</v>
          </cell>
          <cell r="E11128">
            <v>46187</v>
          </cell>
        </row>
        <row r="11129">
          <cell r="A11129" t="str">
            <v>2622CW57</v>
          </cell>
          <cell r="D11129" t="str">
            <v>KBP86</v>
          </cell>
          <cell r="E11129">
            <v>46187</v>
          </cell>
        </row>
        <row r="11130">
          <cell r="A11130" t="str">
            <v>2622SZ57</v>
          </cell>
          <cell r="D11130" t="str">
            <v>KBP86</v>
          </cell>
          <cell r="E11130">
            <v>46187</v>
          </cell>
        </row>
        <row r="11131">
          <cell r="A11131" t="str">
            <v>2622WK47</v>
          </cell>
          <cell r="D11131" t="str">
            <v>TTS80</v>
          </cell>
          <cell r="E11131">
            <v>46187</v>
          </cell>
        </row>
        <row r="11132">
          <cell r="A11132" t="str">
            <v>2621IK67</v>
          </cell>
          <cell r="D11132" t="str">
            <v>TTS80</v>
          </cell>
          <cell r="E11132">
            <v>46187</v>
          </cell>
        </row>
        <row r="11133">
          <cell r="A11133" t="str">
            <v>2622EC67</v>
          </cell>
          <cell r="D11133" t="str">
            <v>TTS80</v>
          </cell>
          <cell r="E11133">
            <v>46187</v>
          </cell>
        </row>
        <row r="11134">
          <cell r="A11134" t="str">
            <v>2622FL67</v>
          </cell>
          <cell r="D11134" t="str">
            <v>TTS80</v>
          </cell>
          <cell r="E11134">
            <v>46187</v>
          </cell>
        </row>
        <row r="11135">
          <cell r="A11135" t="str">
            <v>2621IH67</v>
          </cell>
          <cell r="D11135" t="str">
            <v>TTS80</v>
          </cell>
          <cell r="E11135">
            <v>46187</v>
          </cell>
        </row>
        <row r="11136">
          <cell r="A11136" t="str">
            <v>2621IE67</v>
          </cell>
          <cell r="D11136" t="str">
            <v>TTS80</v>
          </cell>
          <cell r="E11136">
            <v>46187</v>
          </cell>
        </row>
        <row r="11137">
          <cell r="A11137" t="str">
            <v>2621II67</v>
          </cell>
          <cell r="D11137" t="str">
            <v>TTS80</v>
          </cell>
          <cell r="E11137">
            <v>46187</v>
          </cell>
        </row>
        <row r="11138">
          <cell r="A11138" t="str">
            <v>2621IC67</v>
          </cell>
          <cell r="D11138" t="str">
            <v>TTS80</v>
          </cell>
          <cell r="E11138">
            <v>46187</v>
          </cell>
        </row>
        <row r="11139">
          <cell r="A11139" t="str">
            <v>2621IF67</v>
          </cell>
          <cell r="D11139" t="str">
            <v>TTS80</v>
          </cell>
          <cell r="E11139">
            <v>46187</v>
          </cell>
        </row>
        <row r="11140">
          <cell r="A11140" t="str">
            <v>2621IY67</v>
          </cell>
          <cell r="D11140" t="str">
            <v>TTS80</v>
          </cell>
          <cell r="E11140">
            <v>46187</v>
          </cell>
        </row>
        <row r="11141">
          <cell r="A11141" t="str">
            <v>2621IG67</v>
          </cell>
          <cell r="D11141" t="str">
            <v>TTS80</v>
          </cell>
          <cell r="E11141">
            <v>46187</v>
          </cell>
        </row>
        <row r="11142">
          <cell r="A11142" t="str">
            <v>2622SE17</v>
          </cell>
          <cell r="D11142" t="str">
            <v>TTS80</v>
          </cell>
          <cell r="E11142">
            <v>46187</v>
          </cell>
        </row>
        <row r="11143">
          <cell r="A11143" t="str">
            <v>2622Q827</v>
          </cell>
          <cell r="D11143" t="str">
            <v>KBP55</v>
          </cell>
          <cell r="E11143">
            <v>46187</v>
          </cell>
        </row>
        <row r="11144">
          <cell r="A11144" t="str">
            <v>2622QB27</v>
          </cell>
          <cell r="D11144" t="str">
            <v>KBP55</v>
          </cell>
          <cell r="E11144">
            <v>46187</v>
          </cell>
        </row>
        <row r="11145">
          <cell r="A11145" t="str">
            <v>2621IZ27</v>
          </cell>
          <cell r="D11145" t="str">
            <v>KBP86</v>
          </cell>
          <cell r="E11145">
            <v>46187</v>
          </cell>
        </row>
        <row r="11146">
          <cell r="A11146" t="str">
            <v>2621JQ27</v>
          </cell>
          <cell r="D11146" t="str">
            <v>KBP86</v>
          </cell>
          <cell r="E11146">
            <v>46187</v>
          </cell>
        </row>
        <row r="11147">
          <cell r="A11147" t="str">
            <v>2620HA57</v>
          </cell>
          <cell r="D11147" t="str">
            <v>KBP86</v>
          </cell>
          <cell r="E11147">
            <v>46187</v>
          </cell>
        </row>
        <row r="11148">
          <cell r="A11148" t="str">
            <v>2621J227</v>
          </cell>
          <cell r="D11148" t="str">
            <v>KBP86</v>
          </cell>
          <cell r="E11148">
            <v>46187</v>
          </cell>
        </row>
        <row r="11149">
          <cell r="A11149" t="str">
            <v>2620YC17</v>
          </cell>
          <cell r="D11149" t="str">
            <v>KBP86</v>
          </cell>
          <cell r="E11149">
            <v>46187</v>
          </cell>
        </row>
        <row r="11150">
          <cell r="A11150" t="str">
            <v>2621J327</v>
          </cell>
          <cell r="D11150" t="str">
            <v>KBP86</v>
          </cell>
          <cell r="E11150">
            <v>46187</v>
          </cell>
        </row>
        <row r="11151">
          <cell r="A11151" t="str">
            <v>2621O147</v>
          </cell>
          <cell r="D11151" t="str">
            <v>KBP86</v>
          </cell>
          <cell r="E11151">
            <v>46187</v>
          </cell>
        </row>
        <row r="11152">
          <cell r="A11152" t="str">
            <v>2620HT57</v>
          </cell>
          <cell r="D11152" t="str">
            <v>KBP86</v>
          </cell>
          <cell r="E11152">
            <v>46187</v>
          </cell>
        </row>
        <row r="11153">
          <cell r="A11153" t="str">
            <v>2619Y657</v>
          </cell>
          <cell r="D11153" t="str">
            <v>KBP86</v>
          </cell>
          <cell r="E11153">
            <v>46187</v>
          </cell>
        </row>
        <row r="11154">
          <cell r="A11154" t="str">
            <v>2621IW27</v>
          </cell>
          <cell r="D11154" t="str">
            <v>KBP86</v>
          </cell>
          <cell r="E11154">
            <v>46187</v>
          </cell>
        </row>
        <row r="11155">
          <cell r="A11155" t="str">
            <v>2620H857</v>
          </cell>
          <cell r="D11155" t="str">
            <v>KBP86</v>
          </cell>
          <cell r="E11155">
            <v>46187</v>
          </cell>
        </row>
        <row r="11156">
          <cell r="A11156" t="str">
            <v>2621KU37</v>
          </cell>
          <cell r="D11156" t="str">
            <v>KBP86</v>
          </cell>
          <cell r="E11156">
            <v>46187</v>
          </cell>
        </row>
        <row r="11157">
          <cell r="A11157" t="str">
            <v>2621P717</v>
          </cell>
          <cell r="D11157" t="str">
            <v>KBP86</v>
          </cell>
          <cell r="E11157">
            <v>46187</v>
          </cell>
        </row>
        <row r="11158">
          <cell r="A11158" t="str">
            <v>2621PD17</v>
          </cell>
          <cell r="D11158" t="str">
            <v>KBP86</v>
          </cell>
          <cell r="E11158">
            <v>46187</v>
          </cell>
        </row>
        <row r="11159">
          <cell r="A11159" t="str">
            <v>2622WM47</v>
          </cell>
          <cell r="D11159" t="str">
            <v>TTS80</v>
          </cell>
          <cell r="E11159">
            <v>46187</v>
          </cell>
        </row>
        <row r="11160">
          <cell r="A11160" t="str">
            <v>2621O647</v>
          </cell>
          <cell r="D11160" t="str">
            <v>KBP86</v>
          </cell>
          <cell r="E11160">
            <v>46187</v>
          </cell>
        </row>
        <row r="11161">
          <cell r="A11161" t="str">
            <v>2622L227</v>
          </cell>
          <cell r="D11161" t="str">
            <v>KBP86</v>
          </cell>
          <cell r="E11161">
            <v>46187</v>
          </cell>
        </row>
        <row r="11162">
          <cell r="A11162" t="str">
            <v>2620CN47</v>
          </cell>
          <cell r="D11162" t="str">
            <v>KBP86</v>
          </cell>
          <cell r="E11162">
            <v>46187</v>
          </cell>
        </row>
        <row r="11163">
          <cell r="A11163" t="str">
            <v>2621JB37</v>
          </cell>
          <cell r="D11163" t="str">
            <v>FTW121KR</v>
          </cell>
          <cell r="E11163">
            <v>46187</v>
          </cell>
        </row>
        <row r="11164">
          <cell r="A11164" t="str">
            <v>2621HR27</v>
          </cell>
          <cell r="D11164" t="str">
            <v>FTW121KR</v>
          </cell>
          <cell r="E11164">
            <v>46187</v>
          </cell>
        </row>
        <row r="11165">
          <cell r="A11165" t="str">
            <v>2621JR37</v>
          </cell>
          <cell r="D11165" t="str">
            <v>FTW121KR</v>
          </cell>
          <cell r="E11165">
            <v>46187</v>
          </cell>
        </row>
        <row r="11166">
          <cell r="A11166" t="str">
            <v>2621XX57</v>
          </cell>
          <cell r="D11166" t="str">
            <v>FTW121KR</v>
          </cell>
          <cell r="E11166">
            <v>46187</v>
          </cell>
        </row>
        <row r="11167">
          <cell r="A11167" t="str">
            <v>2622LO47</v>
          </cell>
          <cell r="D11167" t="str">
            <v>S706</v>
          </cell>
          <cell r="E11167">
            <v>46187</v>
          </cell>
        </row>
        <row r="11168">
          <cell r="A11168" t="str">
            <v>2622US57</v>
          </cell>
          <cell r="D11168" t="str">
            <v>KBP76</v>
          </cell>
          <cell r="E11168">
            <v>46187</v>
          </cell>
        </row>
        <row r="11169">
          <cell r="A11169" t="str">
            <v>2607XF57</v>
          </cell>
          <cell r="D11169" t="str">
            <v>FTP150</v>
          </cell>
          <cell r="E11169">
            <v>46187</v>
          </cell>
        </row>
        <row r="11170">
          <cell r="A11170" t="str">
            <v>2607IV37</v>
          </cell>
          <cell r="D11170" t="str">
            <v>FTP150</v>
          </cell>
          <cell r="E11170">
            <v>46187</v>
          </cell>
        </row>
        <row r="11171">
          <cell r="A11171" t="str">
            <v>2619IW17</v>
          </cell>
          <cell r="D11171" t="str">
            <v>TTS50</v>
          </cell>
          <cell r="E11171">
            <v>46187</v>
          </cell>
        </row>
        <row r="11172">
          <cell r="A11172" t="str">
            <v>2618XO47</v>
          </cell>
          <cell r="D11172" t="str">
            <v>TTS50</v>
          </cell>
          <cell r="E11172">
            <v>46187</v>
          </cell>
        </row>
        <row r="11173">
          <cell r="A11173" t="str">
            <v>2622P147</v>
          </cell>
          <cell r="D11173" t="str">
            <v>FTW503</v>
          </cell>
          <cell r="E11173">
            <v>46187</v>
          </cell>
        </row>
        <row r="11174">
          <cell r="A11174" t="str">
            <v>2613HU47</v>
          </cell>
          <cell r="D11174" t="str">
            <v>FTW503</v>
          </cell>
          <cell r="E11174">
            <v>46187</v>
          </cell>
        </row>
        <row r="11175">
          <cell r="A11175" t="str">
            <v>2613HW47</v>
          </cell>
          <cell r="D11175" t="str">
            <v>FTW503</v>
          </cell>
          <cell r="E11175">
            <v>46187</v>
          </cell>
        </row>
        <row r="11176">
          <cell r="A11176" t="str">
            <v>2613HX47</v>
          </cell>
          <cell r="D11176" t="str">
            <v>FTW503</v>
          </cell>
          <cell r="E11176">
            <v>46187</v>
          </cell>
        </row>
        <row r="11177">
          <cell r="A11177" t="str">
            <v>2613HY47</v>
          </cell>
          <cell r="D11177" t="str">
            <v>FTW503</v>
          </cell>
          <cell r="E11177">
            <v>46187</v>
          </cell>
        </row>
        <row r="11178">
          <cell r="A11178" t="str">
            <v>2613HZ47</v>
          </cell>
          <cell r="D11178" t="str">
            <v>FTW503</v>
          </cell>
          <cell r="E11178">
            <v>46187</v>
          </cell>
        </row>
        <row r="11179">
          <cell r="A11179" t="str">
            <v>2613I247</v>
          </cell>
          <cell r="D11179" t="str">
            <v>FTW503</v>
          </cell>
          <cell r="E11179">
            <v>46187</v>
          </cell>
        </row>
        <row r="11180">
          <cell r="A11180" t="str">
            <v>2613I347</v>
          </cell>
          <cell r="D11180" t="str">
            <v>FTW503</v>
          </cell>
          <cell r="E11180">
            <v>46187</v>
          </cell>
        </row>
        <row r="11181">
          <cell r="A11181" t="str">
            <v>2613I547</v>
          </cell>
          <cell r="D11181" t="str">
            <v>FTW503</v>
          </cell>
          <cell r="E11181">
            <v>46187</v>
          </cell>
        </row>
        <row r="11182">
          <cell r="A11182" t="str">
            <v>2613I747</v>
          </cell>
          <cell r="D11182" t="str">
            <v>FTW503</v>
          </cell>
          <cell r="E11182">
            <v>46187</v>
          </cell>
        </row>
        <row r="11183">
          <cell r="A11183" t="str">
            <v>2613I847</v>
          </cell>
          <cell r="D11183" t="str">
            <v>FTW503</v>
          </cell>
          <cell r="E11183">
            <v>46187</v>
          </cell>
        </row>
        <row r="11184">
          <cell r="A11184" t="str">
            <v>2613IC47</v>
          </cell>
          <cell r="D11184" t="str">
            <v>FTW503</v>
          </cell>
          <cell r="E11184">
            <v>46187</v>
          </cell>
        </row>
        <row r="11185">
          <cell r="A11185" t="str">
            <v>2613IE47</v>
          </cell>
          <cell r="D11185" t="str">
            <v>FTW503</v>
          </cell>
          <cell r="E11185">
            <v>46187</v>
          </cell>
        </row>
        <row r="11186">
          <cell r="A11186" t="str">
            <v>2621Q547</v>
          </cell>
          <cell r="D11186" t="str">
            <v>KBP55</v>
          </cell>
          <cell r="E11186">
            <v>46187</v>
          </cell>
        </row>
        <row r="11187">
          <cell r="A11187" t="str">
            <v>2622SH17</v>
          </cell>
          <cell r="D11187" t="str">
            <v>KBP55</v>
          </cell>
          <cell r="E11187">
            <v>46187</v>
          </cell>
        </row>
        <row r="11188">
          <cell r="A11188" t="str">
            <v>2622W547</v>
          </cell>
          <cell r="D11188" t="str">
            <v>FTP200</v>
          </cell>
          <cell r="E11188">
            <v>46187</v>
          </cell>
        </row>
        <row r="11189">
          <cell r="A11189" t="str">
            <v>2622WD47</v>
          </cell>
          <cell r="D11189" t="str">
            <v>FTP200</v>
          </cell>
          <cell r="E11189">
            <v>46187</v>
          </cell>
        </row>
        <row r="11190">
          <cell r="A11190" t="str">
            <v>2622QH27</v>
          </cell>
          <cell r="D11190" t="str">
            <v>FTP200</v>
          </cell>
          <cell r="E11190">
            <v>46187</v>
          </cell>
        </row>
        <row r="11191">
          <cell r="A11191" t="str">
            <v>2621I867</v>
          </cell>
          <cell r="D11191" t="str">
            <v>FTP200</v>
          </cell>
          <cell r="E11191">
            <v>46187</v>
          </cell>
        </row>
        <row r="11192">
          <cell r="A11192" t="str">
            <v>2621K547</v>
          </cell>
          <cell r="D11192" t="str">
            <v>S805</v>
          </cell>
          <cell r="E11192">
            <v>46187</v>
          </cell>
        </row>
        <row r="11193">
          <cell r="A11193" t="str">
            <v>2622J737</v>
          </cell>
          <cell r="D11193" t="str">
            <v>S805</v>
          </cell>
          <cell r="E11193">
            <v>46187</v>
          </cell>
        </row>
        <row r="11194">
          <cell r="A11194" t="str">
            <v>2621W857</v>
          </cell>
          <cell r="D11194" t="str">
            <v>S805</v>
          </cell>
          <cell r="E11194">
            <v>46187</v>
          </cell>
        </row>
        <row r="11195">
          <cell r="A11195" t="str">
            <v>2622J637</v>
          </cell>
          <cell r="D11195" t="str">
            <v>S805</v>
          </cell>
          <cell r="E11195">
            <v>46187</v>
          </cell>
        </row>
        <row r="11196">
          <cell r="A11196" t="str">
            <v>2620US57</v>
          </cell>
          <cell r="D11196" t="str">
            <v>S805</v>
          </cell>
          <cell r="E11196">
            <v>46187</v>
          </cell>
        </row>
        <row r="11197">
          <cell r="A11197" t="str">
            <v>2622O447</v>
          </cell>
          <cell r="D11197" t="str">
            <v>S805</v>
          </cell>
          <cell r="E11197">
            <v>46187</v>
          </cell>
        </row>
        <row r="11198">
          <cell r="A11198" t="str">
            <v>2622J837</v>
          </cell>
          <cell r="D11198" t="str">
            <v>S805</v>
          </cell>
          <cell r="E11198">
            <v>46187</v>
          </cell>
        </row>
        <row r="11199">
          <cell r="A11199" t="str">
            <v>2622I827</v>
          </cell>
          <cell r="D11199" t="str">
            <v>S805</v>
          </cell>
          <cell r="E11199">
            <v>46187</v>
          </cell>
        </row>
        <row r="11200">
          <cell r="A11200" t="str">
            <v>2621WA57</v>
          </cell>
          <cell r="D11200" t="str">
            <v>S805</v>
          </cell>
          <cell r="E11200">
            <v>46187</v>
          </cell>
        </row>
        <row r="11201">
          <cell r="A11201" t="str">
            <v>2621K147</v>
          </cell>
          <cell r="D11201" t="str">
            <v>S805</v>
          </cell>
          <cell r="E11201">
            <v>46187</v>
          </cell>
        </row>
        <row r="11202">
          <cell r="A11202" t="str">
            <v>2622J337</v>
          </cell>
          <cell r="D11202" t="str">
            <v>S805</v>
          </cell>
          <cell r="E11202">
            <v>46187</v>
          </cell>
        </row>
        <row r="11203">
          <cell r="A11203" t="str">
            <v>2622LZ47</v>
          </cell>
          <cell r="D11203" t="str">
            <v>S706</v>
          </cell>
          <cell r="E11203">
            <v>46187</v>
          </cell>
        </row>
        <row r="11204">
          <cell r="A11204" t="str">
            <v>2622O147</v>
          </cell>
          <cell r="D11204" t="str">
            <v>S706</v>
          </cell>
          <cell r="E11204">
            <v>46187</v>
          </cell>
        </row>
        <row r="11205">
          <cell r="A11205" t="str">
            <v>2620ON27</v>
          </cell>
          <cell r="D11205" t="str">
            <v>KBP55</v>
          </cell>
          <cell r="E11205">
            <v>46187</v>
          </cell>
        </row>
        <row r="11206">
          <cell r="A11206" t="str">
            <v>2613F227</v>
          </cell>
          <cell r="D11206" t="str">
            <v>FTW102K</v>
          </cell>
          <cell r="E11206">
            <v>46187</v>
          </cell>
        </row>
        <row r="11207">
          <cell r="A11207" t="str">
            <v>2622KU37</v>
          </cell>
          <cell r="D11207" t="str">
            <v>FTW102K</v>
          </cell>
          <cell r="E11207">
            <v>46187</v>
          </cell>
        </row>
        <row r="11208">
          <cell r="A11208" t="str">
            <v>2613EC27</v>
          </cell>
          <cell r="D11208" t="str">
            <v>FTW102K</v>
          </cell>
          <cell r="E11208">
            <v>46187</v>
          </cell>
        </row>
        <row r="11209">
          <cell r="A11209" t="str">
            <v>2623KI17</v>
          </cell>
          <cell r="D11209" t="str">
            <v>KBP126</v>
          </cell>
          <cell r="E11209">
            <v>46187</v>
          </cell>
        </row>
        <row r="11210">
          <cell r="A11210" t="str">
            <v>2622S417</v>
          </cell>
          <cell r="D11210" t="str">
            <v>KBP126</v>
          </cell>
          <cell r="E11210">
            <v>46187</v>
          </cell>
        </row>
        <row r="11211">
          <cell r="A11211" t="str">
            <v>2622S517</v>
          </cell>
          <cell r="D11211" t="str">
            <v>KBP126</v>
          </cell>
          <cell r="E11211">
            <v>46187</v>
          </cell>
        </row>
        <row r="11212">
          <cell r="A11212" t="str">
            <v>2621LP47</v>
          </cell>
          <cell r="D11212" t="str">
            <v>KBP52</v>
          </cell>
          <cell r="E11212">
            <v>46187</v>
          </cell>
        </row>
        <row r="11213">
          <cell r="A11213" t="str">
            <v>2622UX47</v>
          </cell>
          <cell r="D11213" t="str">
            <v>TTS50</v>
          </cell>
          <cell r="E11213">
            <v>46187</v>
          </cell>
        </row>
        <row r="11214">
          <cell r="A11214" t="str">
            <v>2622CX67</v>
          </cell>
          <cell r="D11214" t="str">
            <v>TTS50</v>
          </cell>
          <cell r="E11214">
            <v>46187</v>
          </cell>
        </row>
        <row r="11215">
          <cell r="A11215" t="str">
            <v>2620KS17</v>
          </cell>
          <cell r="D11215" t="str">
            <v>HV80</v>
          </cell>
          <cell r="E11215">
            <v>46187</v>
          </cell>
        </row>
        <row r="11216">
          <cell r="A11216" t="str">
            <v>2622O927</v>
          </cell>
          <cell r="D11216" t="str">
            <v>HV80</v>
          </cell>
          <cell r="E11216">
            <v>46187</v>
          </cell>
        </row>
        <row r="11217">
          <cell r="A11217" t="str">
            <v>2618LY17</v>
          </cell>
          <cell r="D11217" t="str">
            <v>HV80</v>
          </cell>
          <cell r="E11217">
            <v>46187</v>
          </cell>
        </row>
        <row r="11218">
          <cell r="A11218" t="str">
            <v>2619EW57</v>
          </cell>
          <cell r="D11218" t="str">
            <v>HV80</v>
          </cell>
          <cell r="E11218">
            <v>46187</v>
          </cell>
        </row>
        <row r="11219">
          <cell r="A11219" t="str">
            <v>2622O727</v>
          </cell>
          <cell r="D11219" t="str">
            <v>HV80</v>
          </cell>
          <cell r="E11219">
            <v>46187</v>
          </cell>
        </row>
        <row r="11220">
          <cell r="A11220" t="str">
            <v>2620KO17</v>
          </cell>
          <cell r="D11220" t="str">
            <v>HV80</v>
          </cell>
          <cell r="E11220">
            <v>46187</v>
          </cell>
        </row>
        <row r="11221">
          <cell r="A11221" t="str">
            <v>2618LY17</v>
          </cell>
          <cell r="D11221" t="str">
            <v>HV80</v>
          </cell>
          <cell r="E11221">
            <v>46187</v>
          </cell>
        </row>
        <row r="11222">
          <cell r="A11222" t="str">
            <v>2622PS17</v>
          </cell>
          <cell r="D11222" t="str">
            <v>HV80</v>
          </cell>
          <cell r="E11222">
            <v>46187</v>
          </cell>
        </row>
        <row r="11223">
          <cell r="A11223" t="str">
            <v>2619EW57</v>
          </cell>
          <cell r="D11223" t="str">
            <v>HV80</v>
          </cell>
          <cell r="E11223">
            <v>46187</v>
          </cell>
        </row>
        <row r="11224">
          <cell r="A11224" t="str">
            <v>2620DR47</v>
          </cell>
          <cell r="D11224" t="str">
            <v>HV80</v>
          </cell>
          <cell r="E11224">
            <v>46187</v>
          </cell>
        </row>
        <row r="11225">
          <cell r="A11225" t="str">
            <v>2620KS17</v>
          </cell>
          <cell r="D11225" t="str">
            <v>HV80</v>
          </cell>
          <cell r="E11225">
            <v>46187</v>
          </cell>
        </row>
        <row r="11226">
          <cell r="A11226" t="str">
            <v>2620KL17</v>
          </cell>
          <cell r="D11226" t="str">
            <v>HV80</v>
          </cell>
          <cell r="E11226">
            <v>46187</v>
          </cell>
        </row>
        <row r="11227">
          <cell r="A11227" t="str">
            <v>2622O727</v>
          </cell>
          <cell r="D11227" t="str">
            <v>HV80</v>
          </cell>
          <cell r="E11227">
            <v>46187</v>
          </cell>
        </row>
        <row r="11228">
          <cell r="A11228" t="str">
            <v>2620LN27</v>
          </cell>
          <cell r="D11228" t="str">
            <v>HV80</v>
          </cell>
          <cell r="E11228">
            <v>46187</v>
          </cell>
        </row>
        <row r="11229">
          <cell r="A11229" t="str">
            <v>2622O927</v>
          </cell>
          <cell r="D11229" t="str">
            <v>HV80</v>
          </cell>
          <cell r="E11229">
            <v>46187</v>
          </cell>
        </row>
        <row r="11230">
          <cell r="A11230" t="str">
            <v>2619QD57</v>
          </cell>
          <cell r="D11230" t="str">
            <v>KBP76</v>
          </cell>
          <cell r="E11230">
            <v>46187</v>
          </cell>
        </row>
        <row r="11231">
          <cell r="A11231" t="str">
            <v>2623I227</v>
          </cell>
          <cell r="D11231" t="str">
            <v>S706</v>
          </cell>
          <cell r="E11231">
            <v>46187</v>
          </cell>
        </row>
        <row r="11232">
          <cell r="A11232" t="str">
            <v>2614YE27</v>
          </cell>
          <cell r="D11232" t="str">
            <v>KBP55</v>
          </cell>
          <cell r="E11232">
            <v>46186</v>
          </cell>
        </row>
        <row r="11233">
          <cell r="A11233" t="str">
            <v>2622WK57</v>
          </cell>
          <cell r="D11233" t="str">
            <v>FTW700</v>
          </cell>
          <cell r="E11233">
            <v>46186</v>
          </cell>
        </row>
        <row r="11234">
          <cell r="A11234" t="str">
            <v>2623QO17</v>
          </cell>
          <cell r="D11234" t="str">
            <v>TTS80</v>
          </cell>
          <cell r="E11234">
            <v>46186</v>
          </cell>
        </row>
        <row r="11235">
          <cell r="A11235" t="str">
            <v>2622LR37</v>
          </cell>
          <cell r="D11235" t="str">
            <v>FTW121KR</v>
          </cell>
          <cell r="E11235">
            <v>46186</v>
          </cell>
        </row>
        <row r="11236">
          <cell r="A11236" t="str">
            <v>2614YF27</v>
          </cell>
          <cell r="D11236" t="str">
            <v>KBP55</v>
          </cell>
          <cell r="E11236">
            <v>46186</v>
          </cell>
        </row>
        <row r="11237">
          <cell r="A11237" t="str">
            <v>2622WK57</v>
          </cell>
          <cell r="D11237" t="str">
            <v>FTW700</v>
          </cell>
          <cell r="E11237">
            <v>46186</v>
          </cell>
        </row>
        <row r="11238">
          <cell r="A11238" t="str">
            <v>2616Y157</v>
          </cell>
          <cell r="D11238" t="str">
            <v>KBP86</v>
          </cell>
          <cell r="E11238">
            <v>46186</v>
          </cell>
        </row>
        <row r="11239">
          <cell r="A11239" t="str">
            <v>2622CG67</v>
          </cell>
          <cell r="D11239" t="str">
            <v>HV80</v>
          </cell>
          <cell r="E11239">
            <v>46186</v>
          </cell>
        </row>
        <row r="11240">
          <cell r="A11240" t="str">
            <v>2614YG27</v>
          </cell>
          <cell r="D11240" t="str">
            <v>KBP55</v>
          </cell>
          <cell r="E11240">
            <v>46186</v>
          </cell>
        </row>
        <row r="11241">
          <cell r="A11241" t="str">
            <v>2622LR37</v>
          </cell>
          <cell r="D11241" t="str">
            <v>FTW121KR</v>
          </cell>
          <cell r="E11241">
            <v>46186</v>
          </cell>
        </row>
        <row r="11242">
          <cell r="A11242" t="str">
            <v>2619F457</v>
          </cell>
          <cell r="D11242" t="str">
            <v>HV80</v>
          </cell>
          <cell r="E11242">
            <v>46186</v>
          </cell>
        </row>
        <row r="11243">
          <cell r="A11243" t="str">
            <v>2619CU47</v>
          </cell>
          <cell r="D11243" t="str">
            <v>HV80</v>
          </cell>
          <cell r="E11243">
            <v>46186</v>
          </cell>
        </row>
        <row r="11244">
          <cell r="A11244" t="str">
            <v>2619F357</v>
          </cell>
          <cell r="D11244" t="str">
            <v>HV80</v>
          </cell>
          <cell r="E11244">
            <v>46186</v>
          </cell>
        </row>
        <row r="11245">
          <cell r="A11245" t="str">
            <v>2622PZ17</v>
          </cell>
          <cell r="D11245" t="str">
            <v>HV80</v>
          </cell>
          <cell r="E11245">
            <v>46186</v>
          </cell>
        </row>
        <row r="11246">
          <cell r="A11246" t="str">
            <v>2622OA17</v>
          </cell>
          <cell r="D11246" t="str">
            <v>FTW121KE</v>
          </cell>
          <cell r="E11246">
            <v>46186</v>
          </cell>
        </row>
        <row r="11247">
          <cell r="A11247" t="str">
            <v>2621XH57</v>
          </cell>
          <cell r="D11247" t="str">
            <v>FTW121KE</v>
          </cell>
          <cell r="E11247">
            <v>46186</v>
          </cell>
        </row>
        <row r="11248">
          <cell r="A11248" t="str">
            <v>2621ON17</v>
          </cell>
          <cell r="D11248" t="str">
            <v>FTW121KE</v>
          </cell>
          <cell r="E11248">
            <v>46186</v>
          </cell>
        </row>
        <row r="11249">
          <cell r="A11249" t="str">
            <v>2622QG47</v>
          </cell>
          <cell r="D11249" t="str">
            <v>FTW121KE</v>
          </cell>
          <cell r="E11249">
            <v>46186</v>
          </cell>
        </row>
        <row r="11250">
          <cell r="A11250" t="str">
            <v>2619F557</v>
          </cell>
          <cell r="D11250" t="str">
            <v>HV80</v>
          </cell>
          <cell r="E11250">
            <v>46186</v>
          </cell>
        </row>
        <row r="11251">
          <cell r="A11251" t="str">
            <v>2622PZ17</v>
          </cell>
          <cell r="D11251" t="str">
            <v>HV80</v>
          </cell>
          <cell r="E11251">
            <v>46186</v>
          </cell>
        </row>
        <row r="11252">
          <cell r="A11252" t="str">
            <v>2621EA67</v>
          </cell>
          <cell r="D11252" t="str">
            <v>HV80</v>
          </cell>
          <cell r="E11252">
            <v>46186</v>
          </cell>
        </row>
        <row r="11253">
          <cell r="A11253" t="str">
            <v>2619F457</v>
          </cell>
          <cell r="D11253" t="str">
            <v>HV80</v>
          </cell>
          <cell r="E11253">
            <v>46186</v>
          </cell>
        </row>
        <row r="11254">
          <cell r="A11254" t="str">
            <v>2621EK67</v>
          </cell>
          <cell r="D11254" t="str">
            <v>HV80</v>
          </cell>
          <cell r="E11254">
            <v>46186</v>
          </cell>
        </row>
        <row r="11255">
          <cell r="A11255" t="str">
            <v>2619CU47</v>
          </cell>
          <cell r="D11255" t="str">
            <v>HV80</v>
          </cell>
          <cell r="E11255">
            <v>46186</v>
          </cell>
        </row>
        <row r="11256">
          <cell r="A11256" t="str">
            <v>2619F357</v>
          </cell>
          <cell r="D11256" t="str">
            <v>HV80</v>
          </cell>
          <cell r="E11256">
            <v>46186</v>
          </cell>
        </row>
        <row r="11257">
          <cell r="A11257" t="str">
            <v>2622OD27</v>
          </cell>
          <cell r="D11257" t="str">
            <v>HV80</v>
          </cell>
          <cell r="E11257">
            <v>46186</v>
          </cell>
        </row>
        <row r="11258">
          <cell r="A11258" t="str">
            <v>2622CG67</v>
          </cell>
          <cell r="D11258" t="str">
            <v>HV80</v>
          </cell>
          <cell r="E11258">
            <v>46186</v>
          </cell>
        </row>
        <row r="11259">
          <cell r="A11259" t="str">
            <v>2622PY17</v>
          </cell>
          <cell r="D11259" t="str">
            <v>HV80</v>
          </cell>
          <cell r="E11259">
            <v>46186</v>
          </cell>
        </row>
        <row r="11260">
          <cell r="A11260" t="str">
            <v>2622O917</v>
          </cell>
          <cell r="D11260" t="str">
            <v>FTW121KE</v>
          </cell>
          <cell r="E11260">
            <v>46186</v>
          </cell>
        </row>
        <row r="11261">
          <cell r="A11261" t="str">
            <v>2621JD37</v>
          </cell>
          <cell r="D11261" t="str">
            <v>FTW121KE</v>
          </cell>
          <cell r="E11261">
            <v>46186</v>
          </cell>
        </row>
        <row r="11262">
          <cell r="A11262" t="str">
            <v>2622QB47</v>
          </cell>
          <cell r="D11262" t="str">
            <v>FTW121KE</v>
          </cell>
          <cell r="E11262">
            <v>46186</v>
          </cell>
        </row>
        <row r="11263">
          <cell r="A11263" t="str">
            <v>2621WU57</v>
          </cell>
          <cell r="D11263" t="str">
            <v>FTW121KE</v>
          </cell>
          <cell r="E11263">
            <v>46186</v>
          </cell>
        </row>
        <row r="11264">
          <cell r="A11264" t="str">
            <v>2622O237</v>
          </cell>
          <cell r="D11264" t="str">
            <v>FTW121KE</v>
          </cell>
          <cell r="E11264">
            <v>46186</v>
          </cell>
        </row>
        <row r="11265">
          <cell r="A11265" t="str">
            <v>2621E857</v>
          </cell>
          <cell r="D11265" t="str">
            <v>FTW121KE</v>
          </cell>
          <cell r="E11265">
            <v>46186</v>
          </cell>
        </row>
        <row r="11266">
          <cell r="A11266" t="str">
            <v>2621AF67</v>
          </cell>
          <cell r="D11266" t="str">
            <v>FTW121KE</v>
          </cell>
          <cell r="E11266">
            <v>46186</v>
          </cell>
        </row>
        <row r="11267">
          <cell r="A11267" t="str">
            <v>2622PZ47</v>
          </cell>
          <cell r="D11267" t="str">
            <v>FTW121KE</v>
          </cell>
          <cell r="E11267">
            <v>46186</v>
          </cell>
        </row>
        <row r="11268">
          <cell r="A11268" t="str">
            <v>2621A767</v>
          </cell>
          <cell r="D11268" t="str">
            <v>FTW121KE</v>
          </cell>
          <cell r="E11268">
            <v>46186</v>
          </cell>
        </row>
        <row r="11269">
          <cell r="A11269" t="str">
            <v>2622LI37</v>
          </cell>
          <cell r="D11269" t="str">
            <v>FTW121KR</v>
          </cell>
          <cell r="E11269">
            <v>46186</v>
          </cell>
        </row>
        <row r="11270">
          <cell r="A11270" t="str">
            <v>2622XF57</v>
          </cell>
          <cell r="D11270" t="str">
            <v>FTW121KR</v>
          </cell>
          <cell r="E11270">
            <v>46186</v>
          </cell>
        </row>
        <row r="11271">
          <cell r="A11271" t="str">
            <v>2621OJ17</v>
          </cell>
          <cell r="D11271" t="str">
            <v>FTW121KR</v>
          </cell>
          <cell r="E11271">
            <v>46186</v>
          </cell>
        </row>
        <row r="11272">
          <cell r="A11272" t="str">
            <v>2622L537</v>
          </cell>
          <cell r="D11272" t="str">
            <v>FTW121KR</v>
          </cell>
          <cell r="E11272">
            <v>46186</v>
          </cell>
        </row>
        <row r="11273">
          <cell r="A11273" t="str">
            <v>2622Q847</v>
          </cell>
          <cell r="D11273" t="str">
            <v>FTW121KR</v>
          </cell>
          <cell r="E11273">
            <v>46186</v>
          </cell>
        </row>
        <row r="11274">
          <cell r="A11274" t="str">
            <v>2621L747</v>
          </cell>
          <cell r="D11274" t="str">
            <v>FTW121KR</v>
          </cell>
          <cell r="E11274">
            <v>46186</v>
          </cell>
        </row>
        <row r="11275">
          <cell r="A11275" t="str">
            <v>2621X157</v>
          </cell>
          <cell r="D11275" t="str">
            <v>FTW121KR</v>
          </cell>
          <cell r="E11275">
            <v>46186</v>
          </cell>
        </row>
        <row r="11276">
          <cell r="A11276" t="str">
            <v>2622WT57</v>
          </cell>
          <cell r="D11276" t="str">
            <v>FTW700</v>
          </cell>
          <cell r="E11276">
            <v>46186</v>
          </cell>
        </row>
        <row r="11277">
          <cell r="A11277" t="str">
            <v>2622WK57</v>
          </cell>
          <cell r="D11277" t="str">
            <v>FTW700</v>
          </cell>
          <cell r="E11277">
            <v>46186</v>
          </cell>
        </row>
        <row r="11278">
          <cell r="A11278" t="str">
            <v>2623KG17</v>
          </cell>
          <cell r="D11278" t="str">
            <v>FTW700</v>
          </cell>
          <cell r="E11278">
            <v>46186</v>
          </cell>
        </row>
        <row r="11279">
          <cell r="A11279" t="str">
            <v>2615LK27</v>
          </cell>
          <cell r="D11279" t="str">
            <v>S805</v>
          </cell>
          <cell r="E11279">
            <v>46186</v>
          </cell>
        </row>
        <row r="11280">
          <cell r="A11280" t="str">
            <v>2615LW17</v>
          </cell>
          <cell r="D11280" t="str">
            <v>S805</v>
          </cell>
          <cell r="E11280">
            <v>46186</v>
          </cell>
        </row>
        <row r="11281">
          <cell r="A11281" t="str">
            <v>2615ZA47</v>
          </cell>
          <cell r="D11281" t="str">
            <v>S805</v>
          </cell>
          <cell r="E11281">
            <v>46186</v>
          </cell>
        </row>
        <row r="11282">
          <cell r="A11282" t="str">
            <v>2615LM27</v>
          </cell>
          <cell r="D11282" t="str">
            <v>S805</v>
          </cell>
          <cell r="E11282">
            <v>46186</v>
          </cell>
        </row>
        <row r="11283">
          <cell r="A11283" t="str">
            <v>2622LG17</v>
          </cell>
          <cell r="D11283" t="str">
            <v>KBP44</v>
          </cell>
          <cell r="E11283">
            <v>46186</v>
          </cell>
        </row>
        <row r="11284">
          <cell r="A11284" t="str">
            <v>2622P257</v>
          </cell>
          <cell r="D11284" t="str">
            <v>KBP76</v>
          </cell>
          <cell r="E11284">
            <v>46186</v>
          </cell>
        </row>
        <row r="11285">
          <cell r="A11285" t="str">
            <v>2622C357</v>
          </cell>
          <cell r="D11285" t="str">
            <v>KBP86</v>
          </cell>
          <cell r="E11285">
            <v>46186</v>
          </cell>
        </row>
        <row r="11286">
          <cell r="A11286" t="str">
            <v>2622OS57</v>
          </cell>
          <cell r="D11286" t="str">
            <v>KBP86</v>
          </cell>
          <cell r="E11286">
            <v>46186</v>
          </cell>
        </row>
        <row r="11287">
          <cell r="A11287" t="str">
            <v>2622C457</v>
          </cell>
          <cell r="D11287" t="str">
            <v>KBP86</v>
          </cell>
          <cell r="E11287">
            <v>46186</v>
          </cell>
        </row>
        <row r="11288">
          <cell r="A11288" t="str">
            <v>2622I637</v>
          </cell>
          <cell r="D11288" t="str">
            <v>KBP126</v>
          </cell>
          <cell r="E11288">
            <v>46186</v>
          </cell>
        </row>
        <row r="11289">
          <cell r="A11289" t="str">
            <v>2622UT57</v>
          </cell>
          <cell r="D11289" t="str">
            <v>KBP76</v>
          </cell>
          <cell r="E11289">
            <v>46186</v>
          </cell>
        </row>
        <row r="11290">
          <cell r="A11290" t="str">
            <v>2622SC47</v>
          </cell>
          <cell r="D11290" t="str">
            <v>KBP34</v>
          </cell>
          <cell r="E11290">
            <v>46186</v>
          </cell>
        </row>
        <row r="11291">
          <cell r="A11291" t="str">
            <v>2622SB47</v>
          </cell>
          <cell r="D11291" t="str">
            <v>KBP34</v>
          </cell>
          <cell r="E11291">
            <v>46186</v>
          </cell>
        </row>
        <row r="11292">
          <cell r="A11292" t="str">
            <v>2621DM67</v>
          </cell>
          <cell r="D11292" t="str">
            <v>KBP76</v>
          </cell>
          <cell r="E11292">
            <v>46186</v>
          </cell>
        </row>
        <row r="11293">
          <cell r="A11293" t="str">
            <v>2615L127</v>
          </cell>
          <cell r="D11293" t="str">
            <v>KBP52</v>
          </cell>
          <cell r="E11293">
            <v>46186</v>
          </cell>
        </row>
        <row r="11294">
          <cell r="A11294" t="str">
            <v>2622PD17</v>
          </cell>
          <cell r="D11294" t="str">
            <v>KBP52</v>
          </cell>
          <cell r="E11294">
            <v>46186</v>
          </cell>
        </row>
        <row r="11295">
          <cell r="A11295" t="str">
            <v>2622BV67</v>
          </cell>
          <cell r="D11295" t="str">
            <v>KBP52</v>
          </cell>
          <cell r="E11295">
            <v>46186</v>
          </cell>
        </row>
        <row r="11296">
          <cell r="A11296" t="str">
            <v>2622BX67</v>
          </cell>
          <cell r="D11296" t="str">
            <v>KBP52</v>
          </cell>
          <cell r="E11296">
            <v>46186</v>
          </cell>
        </row>
        <row r="11297">
          <cell r="A11297" t="str">
            <v>2622BZ67</v>
          </cell>
          <cell r="D11297" t="str">
            <v>KBP52</v>
          </cell>
          <cell r="E11297">
            <v>46186</v>
          </cell>
        </row>
        <row r="11298">
          <cell r="A11298" t="str">
            <v>2622IK37</v>
          </cell>
          <cell r="D11298" t="str">
            <v>KBP86</v>
          </cell>
          <cell r="E11298">
            <v>46186</v>
          </cell>
        </row>
        <row r="11299">
          <cell r="A11299" t="str">
            <v>2621FH67</v>
          </cell>
          <cell r="D11299" t="str">
            <v>KBP86</v>
          </cell>
          <cell r="E11299">
            <v>46186</v>
          </cell>
        </row>
        <row r="11300">
          <cell r="A11300" t="str">
            <v>2621O437</v>
          </cell>
          <cell r="D11300" t="str">
            <v>KBP76</v>
          </cell>
          <cell r="E11300">
            <v>46186</v>
          </cell>
        </row>
        <row r="11301">
          <cell r="A11301" t="str">
            <v>2622DU67</v>
          </cell>
          <cell r="D11301" t="str">
            <v>KBP76</v>
          </cell>
          <cell r="E11301">
            <v>46186</v>
          </cell>
        </row>
        <row r="11302">
          <cell r="A11302" t="str">
            <v>2621GY67</v>
          </cell>
          <cell r="D11302" t="str">
            <v>KBP76</v>
          </cell>
          <cell r="E11302">
            <v>46186</v>
          </cell>
        </row>
        <row r="11303">
          <cell r="A11303" t="str">
            <v>2622DX67</v>
          </cell>
          <cell r="D11303" t="str">
            <v>KBP76</v>
          </cell>
          <cell r="E11303">
            <v>46186</v>
          </cell>
        </row>
        <row r="11304">
          <cell r="A11304" t="str">
            <v>2622DZ67</v>
          </cell>
          <cell r="D11304" t="str">
            <v>KBP76</v>
          </cell>
          <cell r="E11304">
            <v>46186</v>
          </cell>
        </row>
        <row r="11305">
          <cell r="A11305" t="str">
            <v>2622DV67</v>
          </cell>
          <cell r="D11305" t="str">
            <v>KBP76</v>
          </cell>
          <cell r="E11305">
            <v>46186</v>
          </cell>
        </row>
        <row r="11306">
          <cell r="A11306" t="str">
            <v>2622DY67</v>
          </cell>
          <cell r="D11306" t="str">
            <v>KBP76</v>
          </cell>
          <cell r="E11306">
            <v>46186</v>
          </cell>
        </row>
        <row r="11307">
          <cell r="A11307" t="str">
            <v>2622VO47</v>
          </cell>
          <cell r="D11307" t="str">
            <v>KBP76</v>
          </cell>
          <cell r="E11307">
            <v>46186</v>
          </cell>
        </row>
        <row r="11308">
          <cell r="A11308" t="str">
            <v>2622DL67</v>
          </cell>
          <cell r="D11308" t="str">
            <v>KBP76</v>
          </cell>
          <cell r="E11308">
            <v>46186</v>
          </cell>
        </row>
        <row r="11309">
          <cell r="A11309" t="str">
            <v>2622VI47</v>
          </cell>
          <cell r="D11309" t="str">
            <v>KBP76</v>
          </cell>
          <cell r="E11309">
            <v>46186</v>
          </cell>
        </row>
        <row r="11310">
          <cell r="A11310" t="str">
            <v>2622EV30</v>
          </cell>
          <cell r="D11310" t="str">
            <v>TTS125</v>
          </cell>
          <cell r="E11310">
            <v>46186</v>
          </cell>
        </row>
        <row r="11311">
          <cell r="A11311" t="str">
            <v>2621EU10</v>
          </cell>
          <cell r="D11311" t="str">
            <v>TTS125</v>
          </cell>
          <cell r="E11311">
            <v>46186</v>
          </cell>
        </row>
        <row r="11312">
          <cell r="A11312" t="str">
            <v>2621EU20</v>
          </cell>
          <cell r="D11312" t="str">
            <v>TTS125</v>
          </cell>
          <cell r="E11312">
            <v>46186</v>
          </cell>
        </row>
        <row r="11313">
          <cell r="A11313" t="str">
            <v>2621ES70</v>
          </cell>
          <cell r="D11313" t="str">
            <v>TTS125</v>
          </cell>
          <cell r="E11313">
            <v>46186</v>
          </cell>
        </row>
        <row r="11314">
          <cell r="A11314" t="str">
            <v>2622UA57</v>
          </cell>
          <cell r="D11314" t="str">
            <v>KBP86</v>
          </cell>
          <cell r="E11314">
            <v>46186</v>
          </cell>
        </row>
        <row r="11315">
          <cell r="A11315" t="str">
            <v>2622CZ57</v>
          </cell>
          <cell r="D11315" t="str">
            <v>KBP86</v>
          </cell>
          <cell r="E11315">
            <v>46186</v>
          </cell>
        </row>
        <row r="11316">
          <cell r="A11316" t="str">
            <v>2622UL57</v>
          </cell>
          <cell r="D11316" t="str">
            <v>KBP86</v>
          </cell>
          <cell r="E11316">
            <v>46186</v>
          </cell>
        </row>
        <row r="11317">
          <cell r="A11317" t="str">
            <v>2622UC57</v>
          </cell>
          <cell r="D11317" t="str">
            <v>KBP86</v>
          </cell>
          <cell r="E11317">
            <v>46186</v>
          </cell>
        </row>
        <row r="11318">
          <cell r="A11318" t="str">
            <v>2622U357</v>
          </cell>
          <cell r="D11318" t="str">
            <v>KBP86</v>
          </cell>
          <cell r="E11318">
            <v>46186</v>
          </cell>
        </row>
        <row r="11319">
          <cell r="A11319" t="str">
            <v>2622UH57</v>
          </cell>
          <cell r="D11319" t="str">
            <v>KBP86</v>
          </cell>
          <cell r="E11319">
            <v>46186</v>
          </cell>
        </row>
        <row r="11320">
          <cell r="A11320" t="str">
            <v>2622KY47</v>
          </cell>
          <cell r="D11320" t="str">
            <v>KBP86</v>
          </cell>
          <cell r="E11320">
            <v>46186</v>
          </cell>
        </row>
        <row r="11321">
          <cell r="A11321" t="str">
            <v>2622EB67</v>
          </cell>
          <cell r="D11321" t="str">
            <v>TTS80</v>
          </cell>
          <cell r="E11321">
            <v>46186</v>
          </cell>
        </row>
        <row r="11322">
          <cell r="A11322" t="str">
            <v>2622FG67</v>
          </cell>
          <cell r="D11322" t="str">
            <v>TTS80</v>
          </cell>
          <cell r="E11322">
            <v>46186</v>
          </cell>
        </row>
        <row r="11323">
          <cell r="A11323" t="str">
            <v>2622EK67</v>
          </cell>
          <cell r="D11323" t="str">
            <v>TTS80</v>
          </cell>
          <cell r="E11323">
            <v>46186</v>
          </cell>
        </row>
        <row r="11324">
          <cell r="A11324" t="str">
            <v>2622EF67</v>
          </cell>
          <cell r="D11324" t="str">
            <v>TTS80</v>
          </cell>
          <cell r="E11324">
            <v>46186</v>
          </cell>
        </row>
        <row r="11325">
          <cell r="A11325" t="str">
            <v>2622ER67</v>
          </cell>
          <cell r="D11325" t="str">
            <v>TTS80</v>
          </cell>
          <cell r="E11325">
            <v>46186</v>
          </cell>
        </row>
        <row r="11326">
          <cell r="A11326" t="str">
            <v>2622EU67</v>
          </cell>
          <cell r="D11326" t="str">
            <v>TTS80</v>
          </cell>
          <cell r="E11326">
            <v>46186</v>
          </cell>
        </row>
        <row r="11327">
          <cell r="A11327" t="str">
            <v>2621OT37</v>
          </cell>
          <cell r="D11327" t="str">
            <v>TTS80</v>
          </cell>
          <cell r="E11327">
            <v>46186</v>
          </cell>
        </row>
        <row r="11328">
          <cell r="A11328" t="str">
            <v>2622EO67</v>
          </cell>
          <cell r="D11328" t="str">
            <v>TTS80</v>
          </cell>
          <cell r="E11328">
            <v>46186</v>
          </cell>
        </row>
        <row r="11329">
          <cell r="A11329" t="str">
            <v>2622WL47</v>
          </cell>
          <cell r="D11329" t="str">
            <v>TTS80</v>
          </cell>
          <cell r="E11329">
            <v>46186</v>
          </cell>
        </row>
        <row r="11330">
          <cell r="A11330" t="str">
            <v>2622F867</v>
          </cell>
          <cell r="D11330" t="str">
            <v>TTS80</v>
          </cell>
          <cell r="E11330">
            <v>46186</v>
          </cell>
        </row>
        <row r="11331">
          <cell r="A11331" t="str">
            <v>2620D867</v>
          </cell>
          <cell r="D11331" t="str">
            <v>TTS80</v>
          </cell>
          <cell r="E11331">
            <v>46186</v>
          </cell>
        </row>
        <row r="11332">
          <cell r="A11332" t="str">
            <v>2545OO37</v>
          </cell>
          <cell r="D11332" t="str">
            <v>KBP55</v>
          </cell>
          <cell r="E11332">
            <v>46186</v>
          </cell>
        </row>
        <row r="11333">
          <cell r="A11333" t="str">
            <v>2621F557</v>
          </cell>
          <cell r="D11333" t="str">
            <v>TTS50</v>
          </cell>
          <cell r="E11333">
            <v>46186</v>
          </cell>
        </row>
        <row r="11334">
          <cell r="A11334" t="str">
            <v>2621F657</v>
          </cell>
          <cell r="D11334" t="str">
            <v>TTS50</v>
          </cell>
          <cell r="E11334">
            <v>46186</v>
          </cell>
        </row>
        <row r="11335">
          <cell r="A11335" t="str">
            <v>2620KU27</v>
          </cell>
          <cell r="D11335" t="str">
            <v>KBP86</v>
          </cell>
          <cell r="E11335">
            <v>46186</v>
          </cell>
        </row>
        <row r="11336">
          <cell r="A11336" t="str">
            <v>2621KS37</v>
          </cell>
          <cell r="D11336" t="str">
            <v>KBP86</v>
          </cell>
          <cell r="E11336">
            <v>46186</v>
          </cell>
        </row>
        <row r="11337">
          <cell r="A11337" t="str">
            <v>2621OB47</v>
          </cell>
          <cell r="D11337" t="str">
            <v>KBP86</v>
          </cell>
          <cell r="E11337">
            <v>46186</v>
          </cell>
        </row>
        <row r="11338">
          <cell r="A11338" t="str">
            <v>2621JC27</v>
          </cell>
          <cell r="D11338" t="str">
            <v>KBP86</v>
          </cell>
          <cell r="E11338">
            <v>46186</v>
          </cell>
        </row>
        <row r="11339">
          <cell r="A11339" t="str">
            <v>2621OO47</v>
          </cell>
          <cell r="D11339" t="str">
            <v>KBP86</v>
          </cell>
          <cell r="E11339">
            <v>46186</v>
          </cell>
        </row>
        <row r="11340">
          <cell r="A11340" t="str">
            <v>2620XM57</v>
          </cell>
          <cell r="D11340" t="str">
            <v>KBP86</v>
          </cell>
          <cell r="E11340">
            <v>46186</v>
          </cell>
        </row>
        <row r="11341">
          <cell r="A11341" t="str">
            <v>2620OF37</v>
          </cell>
          <cell r="D11341" t="str">
            <v>KBP86</v>
          </cell>
          <cell r="E11341">
            <v>46186</v>
          </cell>
        </row>
        <row r="11342">
          <cell r="A11342" t="str">
            <v>2621J627</v>
          </cell>
          <cell r="D11342" t="str">
            <v>KBP86</v>
          </cell>
          <cell r="E11342">
            <v>46186</v>
          </cell>
        </row>
        <row r="11343">
          <cell r="A11343" t="str">
            <v>2621KP37</v>
          </cell>
          <cell r="D11343" t="str">
            <v>KBP86</v>
          </cell>
          <cell r="E11343">
            <v>46186</v>
          </cell>
        </row>
        <row r="11344">
          <cell r="A11344" t="str">
            <v>2623QO17</v>
          </cell>
          <cell r="D11344" t="str">
            <v>TTS80</v>
          </cell>
          <cell r="E11344">
            <v>46186</v>
          </cell>
        </row>
        <row r="11345">
          <cell r="A11345" t="str">
            <v>2622OP37</v>
          </cell>
          <cell r="D11345" t="str">
            <v>FTW102K</v>
          </cell>
          <cell r="E11345">
            <v>46186</v>
          </cell>
        </row>
        <row r="11346">
          <cell r="A11346" t="str">
            <v>2622SD47</v>
          </cell>
          <cell r="D11346" t="str">
            <v>FTW102K</v>
          </cell>
          <cell r="E11346">
            <v>46186</v>
          </cell>
        </row>
        <row r="11347">
          <cell r="A11347" t="str">
            <v>2622AQ67</v>
          </cell>
          <cell r="D11347" t="str">
            <v>FTW102K</v>
          </cell>
          <cell r="E11347">
            <v>46186</v>
          </cell>
        </row>
        <row r="11348">
          <cell r="A11348" t="str">
            <v>2622SL37</v>
          </cell>
          <cell r="D11348" t="str">
            <v>KBP55</v>
          </cell>
          <cell r="E11348">
            <v>46186</v>
          </cell>
        </row>
        <row r="11349">
          <cell r="A11349" t="str">
            <v>2622A167</v>
          </cell>
          <cell r="D11349" t="str">
            <v>KBP86</v>
          </cell>
          <cell r="E11349">
            <v>46186</v>
          </cell>
        </row>
        <row r="11350">
          <cell r="A11350" t="str">
            <v>2622OH37</v>
          </cell>
          <cell r="D11350" t="str">
            <v>KBP86</v>
          </cell>
          <cell r="E11350">
            <v>46186</v>
          </cell>
        </row>
        <row r="11351">
          <cell r="A11351" t="str">
            <v>2622O537</v>
          </cell>
          <cell r="D11351" t="str">
            <v>KBP86</v>
          </cell>
          <cell r="E11351">
            <v>46186</v>
          </cell>
        </row>
        <row r="11352">
          <cell r="A11352" t="str">
            <v>2621PJ17</v>
          </cell>
          <cell r="D11352" t="str">
            <v>KBP86</v>
          </cell>
          <cell r="E11352">
            <v>46186</v>
          </cell>
        </row>
        <row r="11353">
          <cell r="A11353" t="str">
            <v>2622CY67</v>
          </cell>
          <cell r="D11353" t="str">
            <v>TTS50</v>
          </cell>
          <cell r="E11353">
            <v>46186</v>
          </cell>
        </row>
        <row r="11354">
          <cell r="A11354" t="str">
            <v>2622UU47</v>
          </cell>
          <cell r="D11354" t="str">
            <v>TTS50</v>
          </cell>
          <cell r="E11354">
            <v>46186</v>
          </cell>
        </row>
        <row r="11355">
          <cell r="A11355" t="str">
            <v>2623P217</v>
          </cell>
          <cell r="D11355" t="str">
            <v>S706</v>
          </cell>
          <cell r="E11355">
            <v>46186</v>
          </cell>
        </row>
        <row r="11356">
          <cell r="A11356" t="str">
            <v>2622PY37</v>
          </cell>
          <cell r="D11356" t="str">
            <v>S706</v>
          </cell>
          <cell r="E11356">
            <v>46186</v>
          </cell>
        </row>
        <row r="11357">
          <cell r="A11357" t="str">
            <v>2622PV37</v>
          </cell>
          <cell r="D11357" t="str">
            <v>S706</v>
          </cell>
          <cell r="E11357">
            <v>46186</v>
          </cell>
        </row>
        <row r="11358">
          <cell r="A11358" t="str">
            <v>2622PX37</v>
          </cell>
          <cell r="D11358" t="str">
            <v>S706</v>
          </cell>
          <cell r="E11358">
            <v>46186</v>
          </cell>
        </row>
        <row r="11359">
          <cell r="A11359" t="str">
            <v>2622P227</v>
          </cell>
          <cell r="D11359" t="str">
            <v>S706</v>
          </cell>
          <cell r="E11359">
            <v>46186</v>
          </cell>
        </row>
        <row r="11360">
          <cell r="A11360" t="str">
            <v>2623OZ17</v>
          </cell>
          <cell r="D11360" t="str">
            <v>S706</v>
          </cell>
          <cell r="E11360">
            <v>46186</v>
          </cell>
        </row>
        <row r="11361">
          <cell r="A11361" t="str">
            <v>2623PE17</v>
          </cell>
          <cell r="D11361" t="str">
            <v>S706</v>
          </cell>
          <cell r="E11361">
            <v>46186</v>
          </cell>
        </row>
        <row r="11362">
          <cell r="A11362" t="str">
            <v>2622OL27</v>
          </cell>
          <cell r="D11362" t="str">
            <v>S706</v>
          </cell>
          <cell r="E11362">
            <v>46186</v>
          </cell>
        </row>
        <row r="11363">
          <cell r="A11363" t="str">
            <v>2623PC17</v>
          </cell>
          <cell r="D11363" t="str">
            <v>S706</v>
          </cell>
          <cell r="E11363">
            <v>46186</v>
          </cell>
        </row>
        <row r="11364">
          <cell r="A11364" t="str">
            <v>2622OH27</v>
          </cell>
          <cell r="D11364" t="str">
            <v>S706</v>
          </cell>
          <cell r="E11364">
            <v>46186</v>
          </cell>
        </row>
        <row r="11365">
          <cell r="A11365" t="str">
            <v>2623P817</v>
          </cell>
          <cell r="D11365" t="str">
            <v>S706</v>
          </cell>
          <cell r="E11365">
            <v>46186</v>
          </cell>
        </row>
        <row r="11366">
          <cell r="A11366" t="str">
            <v>2621PL27</v>
          </cell>
          <cell r="D11366" t="str">
            <v>KBP74</v>
          </cell>
          <cell r="E11366">
            <v>46186</v>
          </cell>
        </row>
        <row r="11367">
          <cell r="A11367" t="str">
            <v>2621PQ27</v>
          </cell>
          <cell r="D11367" t="str">
            <v>KBP74</v>
          </cell>
          <cell r="E11367">
            <v>46186</v>
          </cell>
        </row>
        <row r="11368">
          <cell r="A11368" t="str">
            <v>2621PN27</v>
          </cell>
          <cell r="D11368" t="str">
            <v>KBP74</v>
          </cell>
          <cell r="E11368">
            <v>46186</v>
          </cell>
        </row>
        <row r="11369">
          <cell r="A11369" t="str">
            <v>2621PS27</v>
          </cell>
          <cell r="D11369" t="str">
            <v>KBP74</v>
          </cell>
          <cell r="E11369">
            <v>46186</v>
          </cell>
        </row>
        <row r="11370">
          <cell r="A11370" t="str">
            <v>2623K317</v>
          </cell>
          <cell r="D11370" t="str">
            <v>FTW102K</v>
          </cell>
          <cell r="E11370">
            <v>46186</v>
          </cell>
        </row>
        <row r="11371">
          <cell r="A11371" t="str">
            <v>2623EY27</v>
          </cell>
          <cell r="D11371" t="str">
            <v>FTW102K</v>
          </cell>
          <cell r="E11371">
            <v>46186</v>
          </cell>
        </row>
        <row r="11372">
          <cell r="A11372" t="str">
            <v>2623F227</v>
          </cell>
          <cell r="D11372" t="str">
            <v>FTW102K</v>
          </cell>
          <cell r="E11372">
            <v>46186</v>
          </cell>
        </row>
        <row r="11373">
          <cell r="A11373" t="str">
            <v>2623F327</v>
          </cell>
          <cell r="D11373" t="str">
            <v>FTW102K</v>
          </cell>
          <cell r="E11373">
            <v>46186</v>
          </cell>
        </row>
        <row r="11374">
          <cell r="A11374" t="str">
            <v>2623LQ27</v>
          </cell>
          <cell r="D11374" t="str">
            <v>KBP86</v>
          </cell>
          <cell r="E11374">
            <v>46186</v>
          </cell>
        </row>
        <row r="11375">
          <cell r="A11375" t="str">
            <v>2622ON57</v>
          </cell>
          <cell r="D11375" t="str">
            <v>KBP86</v>
          </cell>
          <cell r="E11375">
            <v>46186</v>
          </cell>
        </row>
        <row r="11376">
          <cell r="A11376" t="str">
            <v>2622OR57</v>
          </cell>
          <cell r="D11376" t="str">
            <v>KBP86</v>
          </cell>
          <cell r="E11376">
            <v>46186</v>
          </cell>
        </row>
        <row r="11377">
          <cell r="A11377" t="str">
            <v>2622L717</v>
          </cell>
          <cell r="D11377" t="str">
            <v>FTW503</v>
          </cell>
          <cell r="E11377">
            <v>46186</v>
          </cell>
        </row>
        <row r="11378">
          <cell r="A11378" t="str">
            <v>2622IU27</v>
          </cell>
          <cell r="D11378" t="str">
            <v>FTW503</v>
          </cell>
          <cell r="E11378">
            <v>46186</v>
          </cell>
        </row>
        <row r="11379">
          <cell r="A11379" t="str">
            <v>2622K137</v>
          </cell>
          <cell r="D11379" t="str">
            <v>FTW503</v>
          </cell>
          <cell r="E11379">
            <v>46186</v>
          </cell>
        </row>
        <row r="11380">
          <cell r="A11380" t="str">
            <v>2622OK47</v>
          </cell>
          <cell r="D11380" t="str">
            <v>FTW503</v>
          </cell>
          <cell r="E11380">
            <v>46186</v>
          </cell>
        </row>
        <row r="11381">
          <cell r="A11381" t="str">
            <v>2622OC47</v>
          </cell>
          <cell r="D11381" t="str">
            <v>FTW503</v>
          </cell>
          <cell r="E11381">
            <v>46186</v>
          </cell>
        </row>
        <row r="11382">
          <cell r="A11382" t="str">
            <v>2622OG47</v>
          </cell>
          <cell r="D11382" t="str">
            <v>FTW503</v>
          </cell>
          <cell r="E11382">
            <v>46186</v>
          </cell>
        </row>
        <row r="11383">
          <cell r="A11383" t="str">
            <v>2622JT37</v>
          </cell>
          <cell r="D11383" t="str">
            <v>FTW503</v>
          </cell>
          <cell r="E11383">
            <v>46186</v>
          </cell>
        </row>
        <row r="11384">
          <cell r="A11384" t="str">
            <v>2622OP47</v>
          </cell>
          <cell r="D11384" t="str">
            <v>FTW503</v>
          </cell>
          <cell r="E11384">
            <v>46186</v>
          </cell>
        </row>
        <row r="11385">
          <cell r="A11385" t="str">
            <v>2622OW47</v>
          </cell>
          <cell r="D11385" t="str">
            <v>FTW503</v>
          </cell>
          <cell r="E11385">
            <v>46186</v>
          </cell>
        </row>
        <row r="11386">
          <cell r="A11386" t="str">
            <v>2622OM47</v>
          </cell>
          <cell r="D11386" t="str">
            <v>FTW503</v>
          </cell>
          <cell r="E11386">
            <v>46186</v>
          </cell>
        </row>
        <row r="11387">
          <cell r="A11387" t="str">
            <v>2622JU37</v>
          </cell>
          <cell r="D11387" t="str">
            <v>FTW503</v>
          </cell>
          <cell r="E11387">
            <v>46186</v>
          </cell>
        </row>
        <row r="11388">
          <cell r="A11388" t="str">
            <v>2622LD17</v>
          </cell>
          <cell r="D11388" t="str">
            <v>FTW503</v>
          </cell>
          <cell r="E11388">
            <v>46186</v>
          </cell>
        </row>
        <row r="11389">
          <cell r="A11389" t="str">
            <v>2622IE27</v>
          </cell>
          <cell r="D11389" t="str">
            <v>FTP150</v>
          </cell>
          <cell r="E11389">
            <v>46186</v>
          </cell>
        </row>
        <row r="11390">
          <cell r="A11390" t="str">
            <v>2605DH67</v>
          </cell>
          <cell r="D11390" t="str">
            <v>FTP150</v>
          </cell>
          <cell r="E11390">
            <v>46186</v>
          </cell>
        </row>
        <row r="11391">
          <cell r="A11391" t="str">
            <v>2619JK57</v>
          </cell>
          <cell r="D11391" t="str">
            <v>TTS50</v>
          </cell>
          <cell r="E11391">
            <v>46186</v>
          </cell>
        </row>
        <row r="11392">
          <cell r="A11392" t="str">
            <v>2620J317</v>
          </cell>
          <cell r="D11392" t="str">
            <v>TTS50</v>
          </cell>
          <cell r="E11392">
            <v>46186</v>
          </cell>
        </row>
        <row r="11393">
          <cell r="A11393" t="str">
            <v>2621Q327</v>
          </cell>
          <cell r="D11393" t="str">
            <v>KBP55</v>
          </cell>
          <cell r="E11393">
            <v>46186</v>
          </cell>
        </row>
        <row r="11394">
          <cell r="A11394" t="str">
            <v>2622SF17</v>
          </cell>
          <cell r="D11394" t="str">
            <v>KBP55</v>
          </cell>
          <cell r="E11394">
            <v>46186</v>
          </cell>
        </row>
        <row r="11395">
          <cell r="A11395" t="str">
            <v>2621I767</v>
          </cell>
          <cell r="D11395" t="str">
            <v>FTP200</v>
          </cell>
          <cell r="E11395">
            <v>46186</v>
          </cell>
        </row>
        <row r="11396">
          <cell r="A11396" t="str">
            <v>2621I567</v>
          </cell>
          <cell r="D11396" t="str">
            <v>FTP200</v>
          </cell>
          <cell r="E11396">
            <v>46186</v>
          </cell>
        </row>
        <row r="11397">
          <cell r="A11397" t="str">
            <v>2621IA67</v>
          </cell>
          <cell r="D11397" t="str">
            <v>FTP200</v>
          </cell>
          <cell r="E11397">
            <v>46186</v>
          </cell>
        </row>
        <row r="11398">
          <cell r="A11398" t="str">
            <v>2622SI37</v>
          </cell>
          <cell r="D11398" t="str">
            <v>FTP200</v>
          </cell>
          <cell r="E11398">
            <v>46186</v>
          </cell>
        </row>
        <row r="11399">
          <cell r="A11399" t="str">
            <v>2622O357</v>
          </cell>
          <cell r="D11399" t="str">
            <v>S15MB</v>
          </cell>
          <cell r="E11399">
            <v>46186</v>
          </cell>
        </row>
        <row r="11400">
          <cell r="A11400" t="str">
            <v>2621U457</v>
          </cell>
          <cell r="D11400" t="str">
            <v>S15MB</v>
          </cell>
          <cell r="E11400">
            <v>46186</v>
          </cell>
        </row>
        <row r="11401">
          <cell r="A11401" t="str">
            <v>2621A557</v>
          </cell>
          <cell r="D11401" t="str">
            <v>S15MB</v>
          </cell>
          <cell r="E11401">
            <v>46186</v>
          </cell>
        </row>
        <row r="11402">
          <cell r="A11402" t="str">
            <v>2622CJ27</v>
          </cell>
          <cell r="D11402" t="str">
            <v>S15MB</v>
          </cell>
          <cell r="E11402">
            <v>46186</v>
          </cell>
        </row>
        <row r="11403">
          <cell r="A11403" t="str">
            <v>2622K817</v>
          </cell>
          <cell r="D11403" t="str">
            <v>S15MB</v>
          </cell>
          <cell r="E11403">
            <v>46186</v>
          </cell>
        </row>
        <row r="11404">
          <cell r="A11404" t="str">
            <v>2622CV37</v>
          </cell>
          <cell r="D11404" t="str">
            <v>S15MB</v>
          </cell>
          <cell r="E11404">
            <v>46186</v>
          </cell>
        </row>
        <row r="11405">
          <cell r="A11405" t="str">
            <v>2622D747</v>
          </cell>
          <cell r="D11405" t="str">
            <v>S15MB</v>
          </cell>
          <cell r="E11405">
            <v>46186</v>
          </cell>
        </row>
        <row r="11406">
          <cell r="A11406" t="str">
            <v>2621U357</v>
          </cell>
          <cell r="D11406" t="str">
            <v>S15MB</v>
          </cell>
          <cell r="E11406">
            <v>46186</v>
          </cell>
        </row>
        <row r="11407">
          <cell r="A11407" t="str">
            <v>2621U557</v>
          </cell>
          <cell r="D11407" t="str">
            <v>S15MB</v>
          </cell>
          <cell r="E11407">
            <v>46186</v>
          </cell>
        </row>
        <row r="11408">
          <cell r="A11408" t="str">
            <v>2622CU37</v>
          </cell>
          <cell r="D11408" t="str">
            <v>S15MB</v>
          </cell>
          <cell r="E11408">
            <v>46186</v>
          </cell>
        </row>
        <row r="11409">
          <cell r="A11409" t="str">
            <v>2621HN47</v>
          </cell>
          <cell r="D11409" t="str">
            <v>S15MB</v>
          </cell>
          <cell r="E11409">
            <v>46186</v>
          </cell>
        </row>
        <row r="11410">
          <cell r="A11410" t="str">
            <v>2622J537</v>
          </cell>
          <cell r="D11410" t="str">
            <v>S805</v>
          </cell>
          <cell r="E11410">
            <v>46186</v>
          </cell>
        </row>
        <row r="11411">
          <cell r="A11411" t="str">
            <v>2622D357</v>
          </cell>
          <cell r="D11411" t="str">
            <v>S805</v>
          </cell>
          <cell r="E11411">
            <v>46186</v>
          </cell>
        </row>
        <row r="11412">
          <cell r="A11412" t="str">
            <v>2623IO17</v>
          </cell>
          <cell r="D11412" t="str">
            <v>S706</v>
          </cell>
          <cell r="E11412">
            <v>46186</v>
          </cell>
        </row>
        <row r="11413">
          <cell r="A11413" t="str">
            <v>2622VF57</v>
          </cell>
          <cell r="D11413" t="str">
            <v>S706</v>
          </cell>
          <cell r="E11413">
            <v>46186</v>
          </cell>
        </row>
        <row r="11414">
          <cell r="A11414" t="str">
            <v>2619KL57</v>
          </cell>
          <cell r="D11414" t="str">
            <v>FTW102K</v>
          </cell>
          <cell r="E11414">
            <v>46186</v>
          </cell>
        </row>
        <row r="11415">
          <cell r="A11415" t="str">
            <v>2613HT37</v>
          </cell>
          <cell r="D11415" t="str">
            <v>FTW102K</v>
          </cell>
          <cell r="E11415">
            <v>46186</v>
          </cell>
        </row>
        <row r="11416">
          <cell r="A11416" t="str">
            <v>2611PZ57</v>
          </cell>
          <cell r="D11416" t="str">
            <v>FTW102K</v>
          </cell>
          <cell r="E11416">
            <v>46186</v>
          </cell>
        </row>
        <row r="11417">
          <cell r="A11417" t="str">
            <v>2621K837</v>
          </cell>
          <cell r="D11417" t="str">
            <v>KBP52</v>
          </cell>
          <cell r="E11417">
            <v>46186</v>
          </cell>
        </row>
        <row r="11418">
          <cell r="A11418" t="str">
            <v>2609ZB10</v>
          </cell>
          <cell r="D11418" t="str">
            <v>FTP150</v>
          </cell>
          <cell r="E11418">
            <v>46185</v>
          </cell>
        </row>
        <row r="11419">
          <cell r="A11419" t="str">
            <v>2609ZB10</v>
          </cell>
          <cell r="D11419" t="str">
            <v>FTP150</v>
          </cell>
          <cell r="E11419">
            <v>46185</v>
          </cell>
        </row>
        <row r="11420">
          <cell r="A11420" t="str">
            <v>2617DD37</v>
          </cell>
          <cell r="D11420" t="str">
            <v>STA156KA</v>
          </cell>
          <cell r="E11420">
            <v>46185</v>
          </cell>
        </row>
        <row r="11421">
          <cell r="A11421" t="str">
            <v>2621DS67</v>
          </cell>
          <cell r="D11421" t="str">
            <v>KBP52</v>
          </cell>
          <cell r="E11421">
            <v>46185</v>
          </cell>
        </row>
        <row r="11422">
          <cell r="A11422" t="str">
            <v>2618Z847</v>
          </cell>
          <cell r="D11422" t="str">
            <v>FTW102K</v>
          </cell>
          <cell r="E11422">
            <v>46185</v>
          </cell>
        </row>
        <row r="11423">
          <cell r="A11423" t="str">
            <v>2609ZB10</v>
          </cell>
          <cell r="D11423" t="str">
            <v>FTP150</v>
          </cell>
          <cell r="E11423">
            <v>46185</v>
          </cell>
        </row>
        <row r="11424">
          <cell r="A11424" t="str">
            <v>2621ET90</v>
          </cell>
          <cell r="D11424" t="str">
            <v>TTS125</v>
          </cell>
          <cell r="E11424">
            <v>46185</v>
          </cell>
        </row>
        <row r="11425">
          <cell r="A11425" t="str">
            <v>2613IF47</v>
          </cell>
          <cell r="D11425" t="str">
            <v>FTW503</v>
          </cell>
          <cell r="E11425">
            <v>46185</v>
          </cell>
        </row>
        <row r="11426">
          <cell r="A11426" t="str">
            <v>2609ZB10</v>
          </cell>
          <cell r="D11426" t="str">
            <v>FTP150</v>
          </cell>
          <cell r="E11426">
            <v>46185</v>
          </cell>
        </row>
        <row r="11427">
          <cell r="A11427" t="str">
            <v>2609ZB10</v>
          </cell>
          <cell r="D11427" t="str">
            <v>FTP150</v>
          </cell>
          <cell r="E11427">
            <v>46185</v>
          </cell>
        </row>
        <row r="11428">
          <cell r="A11428" t="str">
            <v>2620A247</v>
          </cell>
          <cell r="D11428" t="str">
            <v>FTP200</v>
          </cell>
          <cell r="E11428">
            <v>46185</v>
          </cell>
        </row>
        <row r="11429">
          <cell r="A11429" t="str">
            <v>2622BW67</v>
          </cell>
          <cell r="D11429" t="str">
            <v>KBP52</v>
          </cell>
          <cell r="E11429">
            <v>46185</v>
          </cell>
        </row>
        <row r="11430">
          <cell r="A11430" t="str">
            <v>2614Y927</v>
          </cell>
          <cell r="D11430" t="str">
            <v>KBP74</v>
          </cell>
          <cell r="E11430">
            <v>46185</v>
          </cell>
        </row>
        <row r="11431">
          <cell r="A11431" t="str">
            <v>2609ZB10</v>
          </cell>
          <cell r="D11431" t="str">
            <v>FTP150</v>
          </cell>
          <cell r="E11431">
            <v>46185</v>
          </cell>
        </row>
        <row r="11432">
          <cell r="A11432" t="str">
            <v>2620A147</v>
          </cell>
          <cell r="D11432" t="str">
            <v>FTP200</v>
          </cell>
          <cell r="E11432">
            <v>46185</v>
          </cell>
        </row>
        <row r="11433">
          <cell r="A11433" t="str">
            <v>2613IH47</v>
          </cell>
          <cell r="D11433" t="str">
            <v>FTW503</v>
          </cell>
          <cell r="E11433">
            <v>46185</v>
          </cell>
        </row>
        <row r="11434">
          <cell r="A11434" t="str">
            <v>2614YC27</v>
          </cell>
          <cell r="D11434" t="str">
            <v>KBP74</v>
          </cell>
          <cell r="E11434">
            <v>46185</v>
          </cell>
        </row>
        <row r="11435">
          <cell r="A11435" t="str">
            <v>2622DA57</v>
          </cell>
          <cell r="D11435" t="str">
            <v>FTW700</v>
          </cell>
          <cell r="E11435">
            <v>46185</v>
          </cell>
        </row>
        <row r="11436">
          <cell r="A11436" t="str">
            <v>2614Y827</v>
          </cell>
          <cell r="D11436" t="str">
            <v>KBP74</v>
          </cell>
          <cell r="E11436">
            <v>46185</v>
          </cell>
        </row>
        <row r="11437">
          <cell r="A11437" t="str">
            <v>2622UO57</v>
          </cell>
          <cell r="D11437" t="str">
            <v>KBP86</v>
          </cell>
          <cell r="E11437">
            <v>46185</v>
          </cell>
        </row>
        <row r="11438">
          <cell r="A11438" t="str">
            <v>2620A147</v>
          </cell>
          <cell r="D11438" t="str">
            <v>FTP200</v>
          </cell>
          <cell r="E11438">
            <v>46185</v>
          </cell>
        </row>
        <row r="11439">
          <cell r="A11439" t="str">
            <v>2617OB57</v>
          </cell>
          <cell r="D11439" t="str">
            <v>FTW503</v>
          </cell>
          <cell r="E11439">
            <v>46185</v>
          </cell>
        </row>
        <row r="11440">
          <cell r="A11440" t="str">
            <v>2620A247</v>
          </cell>
          <cell r="D11440" t="str">
            <v>FTP200</v>
          </cell>
          <cell r="E11440">
            <v>46185</v>
          </cell>
        </row>
        <row r="11441">
          <cell r="A11441" t="str">
            <v>2621PO17</v>
          </cell>
          <cell r="D11441" t="str">
            <v>KBP86</v>
          </cell>
          <cell r="E11441">
            <v>46185</v>
          </cell>
        </row>
        <row r="11442">
          <cell r="A11442" t="str">
            <v>2622DH57</v>
          </cell>
          <cell r="D11442" t="str">
            <v>FTW700</v>
          </cell>
          <cell r="E11442">
            <v>46185</v>
          </cell>
        </row>
        <row r="11443">
          <cell r="A11443" t="str">
            <v>2618GV27</v>
          </cell>
          <cell r="D11443" t="str">
            <v>FTW503</v>
          </cell>
          <cell r="E11443">
            <v>46185</v>
          </cell>
        </row>
        <row r="11444">
          <cell r="A11444" t="str">
            <v>2622V747</v>
          </cell>
          <cell r="D11444" t="str">
            <v>TTS50</v>
          </cell>
          <cell r="E11444">
            <v>46185</v>
          </cell>
        </row>
        <row r="11445">
          <cell r="A11445" t="str">
            <v>2622LW37</v>
          </cell>
          <cell r="D11445" t="str">
            <v>FTW121KR</v>
          </cell>
          <cell r="E11445">
            <v>46185</v>
          </cell>
        </row>
        <row r="11446">
          <cell r="A11446" t="str">
            <v>2621Q717</v>
          </cell>
          <cell r="D11446" t="str">
            <v>KBP86</v>
          </cell>
          <cell r="E11446">
            <v>46185</v>
          </cell>
        </row>
        <row r="11447">
          <cell r="A11447" t="str">
            <v>2622KV37</v>
          </cell>
          <cell r="D11447" t="str">
            <v>FTW121KR</v>
          </cell>
          <cell r="E11447">
            <v>46185</v>
          </cell>
        </row>
        <row r="11448">
          <cell r="A11448" t="str">
            <v>2623K117</v>
          </cell>
          <cell r="D11448" t="str">
            <v>FTW102K</v>
          </cell>
          <cell r="E11448">
            <v>46185</v>
          </cell>
        </row>
        <row r="11449">
          <cell r="A11449" t="str">
            <v>2620KJ17</v>
          </cell>
          <cell r="D11449" t="str">
            <v>HV80</v>
          </cell>
          <cell r="E11449">
            <v>46185</v>
          </cell>
        </row>
        <row r="11450">
          <cell r="A11450" t="str">
            <v>2621FY27</v>
          </cell>
          <cell r="D11450" t="str">
            <v>KBP86</v>
          </cell>
          <cell r="E11450">
            <v>46185</v>
          </cell>
        </row>
        <row r="11451">
          <cell r="A11451" t="str">
            <v>2622OE27</v>
          </cell>
          <cell r="D11451" t="str">
            <v>HV80</v>
          </cell>
          <cell r="E11451">
            <v>46185</v>
          </cell>
        </row>
        <row r="11452">
          <cell r="A11452" t="str">
            <v>2613GO67</v>
          </cell>
          <cell r="D11452" t="str">
            <v>STA156KA</v>
          </cell>
          <cell r="E11452">
            <v>46185</v>
          </cell>
        </row>
        <row r="11453">
          <cell r="A11453" t="str">
            <v>2621QE17</v>
          </cell>
          <cell r="D11453" t="str">
            <v>HV80</v>
          </cell>
          <cell r="E11453">
            <v>46185</v>
          </cell>
        </row>
        <row r="11454">
          <cell r="A11454" t="str">
            <v>2620PG37</v>
          </cell>
          <cell r="D11454" t="str">
            <v>HV80</v>
          </cell>
          <cell r="E11454">
            <v>46185</v>
          </cell>
        </row>
        <row r="11455">
          <cell r="A11455" t="str">
            <v>2618IG47</v>
          </cell>
          <cell r="D11455" t="str">
            <v>HV80</v>
          </cell>
          <cell r="E11455">
            <v>46185</v>
          </cell>
        </row>
        <row r="11456">
          <cell r="A11456" t="str">
            <v>2622OE27</v>
          </cell>
          <cell r="D11456" t="str">
            <v>HV80</v>
          </cell>
          <cell r="E11456">
            <v>46185</v>
          </cell>
        </row>
        <row r="11457">
          <cell r="A11457" t="str">
            <v>2619EV57</v>
          </cell>
          <cell r="D11457" t="str">
            <v>HV80</v>
          </cell>
          <cell r="E11457">
            <v>46185</v>
          </cell>
        </row>
        <row r="11458">
          <cell r="A11458" t="str">
            <v>2619CQ47</v>
          </cell>
          <cell r="D11458" t="str">
            <v>HV80</v>
          </cell>
          <cell r="E11458">
            <v>46185</v>
          </cell>
        </row>
        <row r="11459">
          <cell r="A11459" t="str">
            <v>2618IG47</v>
          </cell>
          <cell r="D11459" t="str">
            <v>HV80</v>
          </cell>
          <cell r="E11459">
            <v>46185</v>
          </cell>
        </row>
        <row r="11460">
          <cell r="A11460" t="str">
            <v>2622O627</v>
          </cell>
          <cell r="D11460" t="str">
            <v>HV80</v>
          </cell>
          <cell r="E11460">
            <v>46185</v>
          </cell>
        </row>
        <row r="11461">
          <cell r="A11461" t="str">
            <v>2619EV57</v>
          </cell>
          <cell r="D11461" t="str">
            <v>HV80</v>
          </cell>
          <cell r="E11461">
            <v>46185</v>
          </cell>
        </row>
        <row r="11462">
          <cell r="A11462" t="str">
            <v>2619D147</v>
          </cell>
          <cell r="D11462" t="str">
            <v>HV80</v>
          </cell>
          <cell r="E11462">
            <v>46185</v>
          </cell>
        </row>
        <row r="11463">
          <cell r="A11463" t="str">
            <v>2620KJ17</v>
          </cell>
          <cell r="D11463" t="str">
            <v>HV80</v>
          </cell>
          <cell r="E11463">
            <v>46185</v>
          </cell>
        </row>
        <row r="11464">
          <cell r="A11464" t="str">
            <v>2620LL27</v>
          </cell>
          <cell r="D11464" t="str">
            <v>HV80</v>
          </cell>
          <cell r="E11464">
            <v>46185</v>
          </cell>
        </row>
        <row r="11465">
          <cell r="A11465" t="str">
            <v>2621QE17</v>
          </cell>
          <cell r="D11465" t="str">
            <v>HV80</v>
          </cell>
          <cell r="E11465">
            <v>46185</v>
          </cell>
        </row>
        <row r="11466">
          <cell r="A11466" t="str">
            <v>2614KT57</v>
          </cell>
          <cell r="D11466" t="str">
            <v>S805</v>
          </cell>
          <cell r="E11466">
            <v>46185</v>
          </cell>
        </row>
        <row r="11467">
          <cell r="A11467" t="str">
            <v>2621DT67</v>
          </cell>
          <cell r="D11467" t="str">
            <v>KBP52</v>
          </cell>
          <cell r="E11467">
            <v>46185</v>
          </cell>
        </row>
        <row r="11468">
          <cell r="A11468" t="str">
            <v>2620OV27</v>
          </cell>
          <cell r="D11468" t="str">
            <v>FTP200</v>
          </cell>
          <cell r="E11468">
            <v>46185</v>
          </cell>
        </row>
        <row r="11469">
          <cell r="A11469" t="str">
            <v>2622KA17</v>
          </cell>
          <cell r="D11469" t="str">
            <v>S15MB</v>
          </cell>
          <cell r="E11469">
            <v>46185</v>
          </cell>
        </row>
        <row r="11470">
          <cell r="A11470" t="str">
            <v>2622QR17</v>
          </cell>
          <cell r="D11470" t="str">
            <v>KBP76</v>
          </cell>
          <cell r="E11470">
            <v>46185</v>
          </cell>
        </row>
        <row r="11471">
          <cell r="A11471" t="str">
            <v>2621ZP57</v>
          </cell>
          <cell r="D11471" t="str">
            <v>KBP86</v>
          </cell>
          <cell r="E11471">
            <v>46185</v>
          </cell>
        </row>
        <row r="11472">
          <cell r="A11472" t="str">
            <v>2619YH57</v>
          </cell>
          <cell r="D11472" t="str">
            <v>KBP86</v>
          </cell>
          <cell r="E11472">
            <v>46185</v>
          </cell>
        </row>
        <row r="11473">
          <cell r="A11473" t="str">
            <v>2621Q947</v>
          </cell>
          <cell r="D11473" t="str">
            <v>TTS80</v>
          </cell>
          <cell r="E11473">
            <v>46185</v>
          </cell>
        </row>
        <row r="11474">
          <cell r="A11474" t="str">
            <v>2610F117</v>
          </cell>
          <cell r="D11474" t="str">
            <v>FTP150</v>
          </cell>
          <cell r="E11474">
            <v>46185</v>
          </cell>
        </row>
        <row r="11475">
          <cell r="A11475" t="str">
            <v>2621OY47</v>
          </cell>
          <cell r="D11475" t="str">
            <v>KBP86</v>
          </cell>
          <cell r="E11475">
            <v>46185</v>
          </cell>
        </row>
        <row r="11476">
          <cell r="A11476" t="str">
            <v>2621QL27</v>
          </cell>
          <cell r="D11476" t="str">
            <v>KBP86</v>
          </cell>
          <cell r="E11476">
            <v>46185</v>
          </cell>
        </row>
        <row r="11477">
          <cell r="A11477" t="str">
            <v>2606KY47</v>
          </cell>
          <cell r="D11477" t="str">
            <v>KBP52</v>
          </cell>
          <cell r="E11477">
            <v>46185</v>
          </cell>
        </row>
        <row r="11478">
          <cell r="A11478" t="str">
            <v>2621CJ67</v>
          </cell>
          <cell r="D11478" t="str">
            <v>KBP86</v>
          </cell>
          <cell r="E11478">
            <v>46185</v>
          </cell>
        </row>
        <row r="11479">
          <cell r="A11479" t="str">
            <v>2621A157</v>
          </cell>
          <cell r="D11479" t="str">
            <v>KBP126</v>
          </cell>
          <cell r="E11479">
            <v>46185</v>
          </cell>
        </row>
        <row r="11480">
          <cell r="A11480" t="str">
            <v>2622DA57</v>
          </cell>
          <cell r="D11480" t="str">
            <v>FTW700</v>
          </cell>
          <cell r="E11480">
            <v>46185</v>
          </cell>
        </row>
        <row r="11481">
          <cell r="A11481" t="str">
            <v>2620OO37</v>
          </cell>
          <cell r="D11481" t="str">
            <v>KBP86</v>
          </cell>
          <cell r="E11481">
            <v>46185</v>
          </cell>
        </row>
        <row r="11482">
          <cell r="A11482" t="str">
            <v>2613HR47</v>
          </cell>
          <cell r="D11482" t="str">
            <v>FTW503</v>
          </cell>
          <cell r="E11482">
            <v>46185</v>
          </cell>
        </row>
        <row r="11483">
          <cell r="A11483" t="str">
            <v>2617Z627</v>
          </cell>
          <cell r="D11483" t="str">
            <v>KBP126</v>
          </cell>
          <cell r="E11483">
            <v>46185</v>
          </cell>
        </row>
        <row r="11484">
          <cell r="A11484" t="str">
            <v>2622OX27</v>
          </cell>
          <cell r="D11484" t="str">
            <v>S706</v>
          </cell>
          <cell r="E11484">
            <v>46185</v>
          </cell>
        </row>
        <row r="11485">
          <cell r="A11485" t="str">
            <v>2614KS57</v>
          </cell>
          <cell r="D11485" t="str">
            <v>S805</v>
          </cell>
          <cell r="E11485">
            <v>46185</v>
          </cell>
        </row>
        <row r="11486">
          <cell r="A11486" t="str">
            <v>2622VJ57</v>
          </cell>
          <cell r="D11486" t="str">
            <v>S706</v>
          </cell>
          <cell r="E11486">
            <v>46185</v>
          </cell>
        </row>
        <row r="11487">
          <cell r="A11487" t="str">
            <v>2619DJ47</v>
          </cell>
          <cell r="D11487" t="str">
            <v>TTS50</v>
          </cell>
          <cell r="E11487">
            <v>46185</v>
          </cell>
        </row>
        <row r="11488">
          <cell r="A11488" t="str">
            <v>2620A447</v>
          </cell>
          <cell r="D11488" t="str">
            <v>KBP86</v>
          </cell>
          <cell r="E11488">
            <v>46185</v>
          </cell>
        </row>
        <row r="11489">
          <cell r="A11489" t="str">
            <v>2622KO37</v>
          </cell>
          <cell r="D11489" t="str">
            <v>KBP126</v>
          </cell>
          <cell r="E11489">
            <v>46185</v>
          </cell>
        </row>
        <row r="11490">
          <cell r="A11490" t="str">
            <v>2622QX17</v>
          </cell>
          <cell r="D11490" t="str">
            <v>KBP76</v>
          </cell>
          <cell r="E11490">
            <v>46185</v>
          </cell>
        </row>
        <row r="11491">
          <cell r="A11491" t="str">
            <v>2622H727</v>
          </cell>
          <cell r="D11491" t="str">
            <v>KBP86</v>
          </cell>
          <cell r="E11491">
            <v>46185</v>
          </cell>
        </row>
        <row r="11492">
          <cell r="A11492" t="str">
            <v>2620IB57</v>
          </cell>
          <cell r="D11492" t="str">
            <v>KBP86</v>
          </cell>
          <cell r="E11492">
            <v>46185</v>
          </cell>
        </row>
        <row r="11493">
          <cell r="A11493" t="str">
            <v>2622C657</v>
          </cell>
          <cell r="D11493" t="str">
            <v>KBP86</v>
          </cell>
          <cell r="E11493">
            <v>46185</v>
          </cell>
        </row>
        <row r="11494">
          <cell r="A11494" t="str">
            <v>2620A147</v>
          </cell>
          <cell r="D11494" t="str">
            <v>FTP200</v>
          </cell>
          <cell r="E11494">
            <v>46185</v>
          </cell>
        </row>
        <row r="11495">
          <cell r="A11495" t="str">
            <v>2621P647</v>
          </cell>
          <cell r="D11495" t="str">
            <v>KBP86</v>
          </cell>
          <cell r="E11495">
            <v>46185</v>
          </cell>
        </row>
        <row r="11496">
          <cell r="A11496" t="str">
            <v>2622SB47</v>
          </cell>
          <cell r="D11496" t="str">
            <v>KBP34</v>
          </cell>
          <cell r="E11496">
            <v>46185</v>
          </cell>
        </row>
        <row r="11497">
          <cell r="A11497" t="str">
            <v>2621OW37</v>
          </cell>
          <cell r="D11497" t="str">
            <v>KBP86</v>
          </cell>
          <cell r="E11497">
            <v>46185</v>
          </cell>
        </row>
        <row r="11498">
          <cell r="A11498" t="str">
            <v>2622SN17</v>
          </cell>
          <cell r="D11498" t="str">
            <v>FTP200</v>
          </cell>
          <cell r="E11498">
            <v>46185</v>
          </cell>
        </row>
        <row r="11499">
          <cell r="A11499" t="str">
            <v>2621O127</v>
          </cell>
          <cell r="D11499" t="str">
            <v>TTS50</v>
          </cell>
          <cell r="E11499">
            <v>46185</v>
          </cell>
        </row>
        <row r="11500">
          <cell r="A11500" t="str">
            <v>2621EX57</v>
          </cell>
          <cell r="D11500" t="str">
            <v>TTS50</v>
          </cell>
          <cell r="E11500">
            <v>46185</v>
          </cell>
        </row>
        <row r="11501">
          <cell r="A11501" t="str">
            <v>2613HP47</v>
          </cell>
          <cell r="D11501" t="str">
            <v>FTW503</v>
          </cell>
          <cell r="E11501">
            <v>46185</v>
          </cell>
        </row>
        <row r="11502">
          <cell r="A11502" t="str">
            <v>2622QU17</v>
          </cell>
          <cell r="D11502" t="str">
            <v>KBP76</v>
          </cell>
          <cell r="E11502">
            <v>46185</v>
          </cell>
        </row>
        <row r="11503">
          <cell r="A11503" t="str">
            <v>2621G327</v>
          </cell>
          <cell r="D11503" t="str">
            <v>KBP86</v>
          </cell>
          <cell r="E11503">
            <v>46185</v>
          </cell>
        </row>
        <row r="11504">
          <cell r="A11504" t="str">
            <v>2622L527</v>
          </cell>
          <cell r="D11504" t="str">
            <v>KBP86</v>
          </cell>
          <cell r="E11504">
            <v>46185</v>
          </cell>
        </row>
        <row r="11505">
          <cell r="A11505" t="str">
            <v>2621IT67</v>
          </cell>
          <cell r="D11505" t="str">
            <v>TTS80</v>
          </cell>
          <cell r="E11505">
            <v>46185</v>
          </cell>
        </row>
        <row r="11506">
          <cell r="A11506" t="str">
            <v>2621Q447</v>
          </cell>
          <cell r="D11506" t="str">
            <v>KBP55</v>
          </cell>
          <cell r="E11506">
            <v>46185</v>
          </cell>
        </row>
        <row r="11507">
          <cell r="A11507" t="str">
            <v>2549ZY27</v>
          </cell>
          <cell r="D11507" t="str">
            <v>S805</v>
          </cell>
          <cell r="E11507">
            <v>46185</v>
          </cell>
        </row>
        <row r="11508">
          <cell r="A11508" t="str">
            <v>2621LE37</v>
          </cell>
          <cell r="D11508" t="str">
            <v>KBP86</v>
          </cell>
          <cell r="E11508">
            <v>46185</v>
          </cell>
        </row>
        <row r="11509">
          <cell r="A11509" t="str">
            <v>2621G427</v>
          </cell>
          <cell r="D11509" t="str">
            <v>KBP86</v>
          </cell>
          <cell r="E11509">
            <v>46185</v>
          </cell>
        </row>
        <row r="11510">
          <cell r="A11510" t="str">
            <v>2622KD27</v>
          </cell>
          <cell r="D11510" t="str">
            <v>FTW121KE</v>
          </cell>
          <cell r="E11510">
            <v>46185</v>
          </cell>
        </row>
        <row r="11511">
          <cell r="A11511" t="str">
            <v>2621U157</v>
          </cell>
          <cell r="D11511" t="str">
            <v>KBP126</v>
          </cell>
          <cell r="E11511">
            <v>46185</v>
          </cell>
        </row>
        <row r="11512">
          <cell r="A11512" t="str">
            <v>2622L337</v>
          </cell>
          <cell r="D11512" t="str">
            <v>FTW121KE</v>
          </cell>
          <cell r="E11512">
            <v>46185</v>
          </cell>
        </row>
        <row r="11513">
          <cell r="A11513" t="str">
            <v>2622KS27</v>
          </cell>
          <cell r="D11513" t="str">
            <v>FTW121KE</v>
          </cell>
          <cell r="E11513">
            <v>46185</v>
          </cell>
        </row>
        <row r="11514">
          <cell r="A11514" t="str">
            <v>2622OV57</v>
          </cell>
          <cell r="D11514" t="str">
            <v>KBP86</v>
          </cell>
          <cell r="E11514">
            <v>46185</v>
          </cell>
        </row>
        <row r="11515">
          <cell r="A11515" t="str">
            <v>2622OU57</v>
          </cell>
          <cell r="D11515" t="str">
            <v>KBP86</v>
          </cell>
          <cell r="E11515">
            <v>46185</v>
          </cell>
        </row>
        <row r="11516">
          <cell r="A11516" t="str">
            <v>2621A257</v>
          </cell>
          <cell r="D11516" t="str">
            <v>KBP126</v>
          </cell>
          <cell r="E11516">
            <v>46185</v>
          </cell>
        </row>
        <row r="11517">
          <cell r="A11517" t="str">
            <v>2610AM67</v>
          </cell>
          <cell r="D11517" t="str">
            <v>FTW102K</v>
          </cell>
          <cell r="E11517">
            <v>46185</v>
          </cell>
        </row>
        <row r="11518">
          <cell r="A11518" t="str">
            <v>2622DF57</v>
          </cell>
          <cell r="D11518" t="str">
            <v>FTW700</v>
          </cell>
          <cell r="E11518">
            <v>46185</v>
          </cell>
        </row>
        <row r="11519">
          <cell r="A11519" t="str">
            <v>2621GI67</v>
          </cell>
          <cell r="D11519" t="str">
            <v>KBP76</v>
          </cell>
          <cell r="E11519">
            <v>46185</v>
          </cell>
        </row>
        <row r="11520">
          <cell r="A11520" t="str">
            <v>2616OS57</v>
          </cell>
          <cell r="D11520" t="str">
            <v>FTW503</v>
          </cell>
          <cell r="E11520">
            <v>46185</v>
          </cell>
        </row>
        <row r="11521">
          <cell r="A11521" t="str">
            <v>2622IR37</v>
          </cell>
          <cell r="D11521" t="str">
            <v>S706</v>
          </cell>
          <cell r="E11521">
            <v>46185</v>
          </cell>
        </row>
        <row r="11522">
          <cell r="A11522" t="str">
            <v>2621LC27</v>
          </cell>
          <cell r="D11522" t="str">
            <v>KBP86</v>
          </cell>
          <cell r="E11522">
            <v>46185</v>
          </cell>
        </row>
        <row r="11523">
          <cell r="A11523" t="str">
            <v>2622W657</v>
          </cell>
          <cell r="D11523" t="str">
            <v>FTW102K</v>
          </cell>
          <cell r="E11523">
            <v>46185</v>
          </cell>
        </row>
        <row r="11524">
          <cell r="A11524" t="str">
            <v>2622HQ27</v>
          </cell>
          <cell r="D11524" t="str">
            <v>KBP86</v>
          </cell>
          <cell r="E11524">
            <v>46185</v>
          </cell>
        </row>
        <row r="11525">
          <cell r="A11525" t="str">
            <v>2618KL37</v>
          </cell>
          <cell r="D11525" t="str">
            <v>TTS50</v>
          </cell>
          <cell r="E11525">
            <v>46185</v>
          </cell>
        </row>
        <row r="11526">
          <cell r="A11526" t="str">
            <v>2617HG37</v>
          </cell>
          <cell r="D11526" t="str">
            <v>FTP200</v>
          </cell>
          <cell r="E11526">
            <v>46185</v>
          </cell>
        </row>
        <row r="11527">
          <cell r="A11527" t="str">
            <v>2622SS17</v>
          </cell>
          <cell r="D11527" t="str">
            <v>TTS80</v>
          </cell>
          <cell r="E11527">
            <v>46185</v>
          </cell>
        </row>
        <row r="11528">
          <cell r="A11528" t="str">
            <v>2621ZK57</v>
          </cell>
          <cell r="D11528" t="str">
            <v>KBP86</v>
          </cell>
          <cell r="E11528">
            <v>46185</v>
          </cell>
        </row>
        <row r="11529">
          <cell r="A11529" t="str">
            <v>2608UH57</v>
          </cell>
          <cell r="D11529" t="str">
            <v>FTP150</v>
          </cell>
          <cell r="E11529">
            <v>46185</v>
          </cell>
        </row>
        <row r="11530">
          <cell r="A11530" t="str">
            <v>2622W857</v>
          </cell>
          <cell r="D11530" t="str">
            <v>FTW102K</v>
          </cell>
          <cell r="E11530">
            <v>46185</v>
          </cell>
        </row>
        <row r="11531">
          <cell r="A11531" t="str">
            <v>2621OL47</v>
          </cell>
          <cell r="D11531" t="str">
            <v>KBP86</v>
          </cell>
          <cell r="E11531">
            <v>46185</v>
          </cell>
        </row>
        <row r="11532">
          <cell r="A11532" t="str">
            <v>2621JL27</v>
          </cell>
          <cell r="D11532" t="str">
            <v>KBP86</v>
          </cell>
          <cell r="E11532">
            <v>46185</v>
          </cell>
        </row>
        <row r="11533">
          <cell r="A11533" t="str">
            <v>2619Y257</v>
          </cell>
          <cell r="D11533" t="str">
            <v>KBP86</v>
          </cell>
          <cell r="E11533">
            <v>46185</v>
          </cell>
        </row>
        <row r="11534">
          <cell r="A11534" t="str">
            <v>2621L337</v>
          </cell>
          <cell r="D11534" t="str">
            <v>KBP86</v>
          </cell>
          <cell r="E11534">
            <v>46185</v>
          </cell>
        </row>
        <row r="11535">
          <cell r="A11535" t="str">
            <v>2622QP17</v>
          </cell>
          <cell r="D11535" t="str">
            <v>KBP76</v>
          </cell>
          <cell r="E11535">
            <v>46185</v>
          </cell>
        </row>
        <row r="11536">
          <cell r="A11536" t="str">
            <v>2621LE17</v>
          </cell>
          <cell r="D11536" t="str">
            <v>KBP76</v>
          </cell>
          <cell r="E11536">
            <v>46185</v>
          </cell>
        </row>
        <row r="11537">
          <cell r="A11537" t="str">
            <v>2622W757</v>
          </cell>
          <cell r="D11537" t="str">
            <v>FTW102K</v>
          </cell>
          <cell r="E11537">
            <v>46185</v>
          </cell>
        </row>
        <row r="11538">
          <cell r="A11538" t="str">
            <v>2549ZW27</v>
          </cell>
          <cell r="D11538" t="str">
            <v>S805</v>
          </cell>
          <cell r="E11538">
            <v>46185</v>
          </cell>
        </row>
        <row r="11539">
          <cell r="A11539" t="str">
            <v>2622D237</v>
          </cell>
          <cell r="D11539" t="str">
            <v>S15MB</v>
          </cell>
          <cell r="E11539">
            <v>46185</v>
          </cell>
        </row>
        <row r="11540">
          <cell r="A11540" t="str">
            <v>2620ED67</v>
          </cell>
          <cell r="D11540" t="str">
            <v>KBP86</v>
          </cell>
          <cell r="E11540">
            <v>46185</v>
          </cell>
        </row>
        <row r="11541">
          <cell r="A11541" t="str">
            <v>2613HK47</v>
          </cell>
          <cell r="D11541" t="str">
            <v>FTW503</v>
          </cell>
          <cell r="E11541">
            <v>46185</v>
          </cell>
        </row>
        <row r="11542">
          <cell r="A11542" t="str">
            <v>2621A967</v>
          </cell>
          <cell r="D11542" t="str">
            <v>FTW121KE</v>
          </cell>
          <cell r="E11542">
            <v>46185</v>
          </cell>
        </row>
        <row r="11543">
          <cell r="A11543" t="str">
            <v>2619WD27</v>
          </cell>
          <cell r="D11543" t="str">
            <v>TTS50</v>
          </cell>
          <cell r="E11543">
            <v>46185</v>
          </cell>
        </row>
        <row r="11544">
          <cell r="A11544" t="str">
            <v>2622LX47</v>
          </cell>
          <cell r="D11544" t="str">
            <v>S706</v>
          </cell>
          <cell r="E11544">
            <v>46185</v>
          </cell>
        </row>
        <row r="11545">
          <cell r="A11545" t="str">
            <v>2622JS27</v>
          </cell>
          <cell r="D11545" t="str">
            <v>KBP126</v>
          </cell>
          <cell r="E11545">
            <v>46185</v>
          </cell>
        </row>
        <row r="11546">
          <cell r="A11546" t="str">
            <v>2622DH57</v>
          </cell>
          <cell r="D11546" t="str">
            <v>FTW700</v>
          </cell>
          <cell r="E11546">
            <v>46185</v>
          </cell>
        </row>
        <row r="11547">
          <cell r="A11547" t="str">
            <v>2622LV47</v>
          </cell>
          <cell r="D11547" t="str">
            <v>S706</v>
          </cell>
          <cell r="E11547">
            <v>46185</v>
          </cell>
        </row>
        <row r="11548">
          <cell r="A11548" t="str">
            <v>2622C757</v>
          </cell>
          <cell r="D11548" t="str">
            <v>KBP86</v>
          </cell>
          <cell r="E11548">
            <v>46185</v>
          </cell>
        </row>
        <row r="11549">
          <cell r="A11549" t="str">
            <v>2622QE27</v>
          </cell>
          <cell r="D11549" t="str">
            <v>KBP55</v>
          </cell>
          <cell r="E11549">
            <v>46185</v>
          </cell>
        </row>
        <row r="11550">
          <cell r="A11550" t="str">
            <v>2619DQ47</v>
          </cell>
          <cell r="D11550" t="str">
            <v>TTS50</v>
          </cell>
          <cell r="E11550">
            <v>46185</v>
          </cell>
        </row>
        <row r="11551">
          <cell r="A11551" t="str">
            <v>2622DW67</v>
          </cell>
          <cell r="D11551" t="str">
            <v>KBP76</v>
          </cell>
          <cell r="E11551">
            <v>46185</v>
          </cell>
        </row>
        <row r="11552">
          <cell r="A11552" t="str">
            <v>2622Q947</v>
          </cell>
          <cell r="D11552" t="str">
            <v>FTW121KE</v>
          </cell>
          <cell r="E11552">
            <v>46185</v>
          </cell>
        </row>
        <row r="11553">
          <cell r="A11553" t="str">
            <v>2621KF37</v>
          </cell>
          <cell r="D11553" t="str">
            <v>KBP86</v>
          </cell>
          <cell r="E11553">
            <v>46185</v>
          </cell>
        </row>
        <row r="11554">
          <cell r="A11554" t="str">
            <v>2621OV37</v>
          </cell>
          <cell r="D11554" t="str">
            <v>TTS80</v>
          </cell>
          <cell r="E11554">
            <v>46185</v>
          </cell>
        </row>
        <row r="11555">
          <cell r="A11555" t="str">
            <v>2622Q547</v>
          </cell>
          <cell r="D11555" t="str">
            <v>FTW121KE</v>
          </cell>
          <cell r="E11555">
            <v>46185</v>
          </cell>
        </row>
        <row r="11556">
          <cell r="A11556" t="str">
            <v>2622Q247</v>
          </cell>
          <cell r="D11556" t="str">
            <v>FTW121KE</v>
          </cell>
          <cell r="E11556">
            <v>46185</v>
          </cell>
        </row>
        <row r="11557">
          <cell r="A11557" t="str">
            <v>2618CM57</v>
          </cell>
          <cell r="D11557" t="str">
            <v>TTS50</v>
          </cell>
          <cell r="E11557">
            <v>46185</v>
          </cell>
        </row>
        <row r="11558">
          <cell r="A11558" t="str">
            <v>2622LY37</v>
          </cell>
          <cell r="D11558" t="str">
            <v>FTW121KE</v>
          </cell>
          <cell r="E11558">
            <v>46185</v>
          </cell>
        </row>
        <row r="11559">
          <cell r="A11559" t="str">
            <v>2623JZ17</v>
          </cell>
          <cell r="D11559" t="str">
            <v>FTW102K</v>
          </cell>
          <cell r="E11559">
            <v>46185</v>
          </cell>
        </row>
        <row r="11560">
          <cell r="A11560" t="str">
            <v>2622I337</v>
          </cell>
          <cell r="D11560" t="str">
            <v>KBP126</v>
          </cell>
          <cell r="E11560">
            <v>46185</v>
          </cell>
        </row>
        <row r="11561">
          <cell r="A11561" t="str">
            <v>2622QQ27</v>
          </cell>
          <cell r="D11561" t="str">
            <v>TTS80</v>
          </cell>
          <cell r="E11561">
            <v>46185</v>
          </cell>
        </row>
        <row r="11562">
          <cell r="A11562" t="str">
            <v>2622LG37</v>
          </cell>
          <cell r="D11562" t="str">
            <v>FTW121KE</v>
          </cell>
          <cell r="E11562">
            <v>46185</v>
          </cell>
        </row>
        <row r="11563">
          <cell r="A11563" t="str">
            <v>2620A247</v>
          </cell>
          <cell r="D11563" t="str">
            <v>FTP200</v>
          </cell>
          <cell r="E11563">
            <v>46185</v>
          </cell>
        </row>
        <row r="11564">
          <cell r="A11564" t="str">
            <v>2622QU37</v>
          </cell>
          <cell r="D11564" t="str">
            <v>KBP76</v>
          </cell>
          <cell r="E11564">
            <v>46185</v>
          </cell>
        </row>
        <row r="11565">
          <cell r="A11565" t="str">
            <v>2621LB27</v>
          </cell>
          <cell r="D11565" t="str">
            <v>KBP86</v>
          </cell>
          <cell r="E11565">
            <v>46185</v>
          </cell>
        </row>
        <row r="11566">
          <cell r="A11566" t="str">
            <v>2622BV27</v>
          </cell>
          <cell r="D11566" t="str">
            <v>KBP126</v>
          </cell>
          <cell r="E11566">
            <v>46185</v>
          </cell>
        </row>
        <row r="11567">
          <cell r="A11567" t="str">
            <v>2622OZ27</v>
          </cell>
          <cell r="D11567" t="str">
            <v>S706</v>
          </cell>
          <cell r="E11567">
            <v>46185</v>
          </cell>
        </row>
        <row r="11568">
          <cell r="A11568" t="str">
            <v>2621SR17</v>
          </cell>
          <cell r="D11568" t="str">
            <v>KBP55</v>
          </cell>
          <cell r="E11568">
            <v>46185</v>
          </cell>
        </row>
        <row r="11569">
          <cell r="A11569" t="str">
            <v>2622Q647</v>
          </cell>
          <cell r="D11569" t="str">
            <v>FTW121KE</v>
          </cell>
          <cell r="E11569">
            <v>46185</v>
          </cell>
        </row>
        <row r="11570">
          <cell r="A11570" t="str">
            <v>2620XU57</v>
          </cell>
          <cell r="D11570" t="str">
            <v>KBP86</v>
          </cell>
          <cell r="E11570">
            <v>46185</v>
          </cell>
        </row>
        <row r="11571">
          <cell r="A11571" t="str">
            <v>2621KC37</v>
          </cell>
          <cell r="D11571" t="str">
            <v>KBP86</v>
          </cell>
          <cell r="E11571">
            <v>46185</v>
          </cell>
        </row>
        <row r="11572">
          <cell r="A11572" t="str">
            <v>2621W457</v>
          </cell>
          <cell r="D11572" t="str">
            <v>KBP76</v>
          </cell>
          <cell r="E11572">
            <v>46185</v>
          </cell>
        </row>
        <row r="11573">
          <cell r="A11573" t="str">
            <v>2619OW57</v>
          </cell>
          <cell r="D11573" t="str">
            <v>TTS50</v>
          </cell>
          <cell r="E11573">
            <v>46185</v>
          </cell>
        </row>
        <row r="11574">
          <cell r="A11574" t="str">
            <v>2623K217</v>
          </cell>
          <cell r="D11574" t="str">
            <v>FTW102K</v>
          </cell>
          <cell r="E11574">
            <v>46185</v>
          </cell>
        </row>
        <row r="11575">
          <cell r="A11575" t="str">
            <v>2622W557</v>
          </cell>
          <cell r="D11575" t="str">
            <v>FTW102K</v>
          </cell>
          <cell r="E11575">
            <v>46185</v>
          </cell>
        </row>
        <row r="11576">
          <cell r="A11576" t="str">
            <v>2613HM47</v>
          </cell>
          <cell r="D11576" t="str">
            <v>FTW503</v>
          </cell>
          <cell r="E11576">
            <v>46185</v>
          </cell>
        </row>
        <row r="11577">
          <cell r="A11577" t="str">
            <v>2621ET90</v>
          </cell>
          <cell r="D11577" t="str">
            <v>TTS125</v>
          </cell>
          <cell r="E11577">
            <v>46185</v>
          </cell>
        </row>
        <row r="11578">
          <cell r="A11578" t="str">
            <v>2613EF27</v>
          </cell>
          <cell r="D11578" t="str">
            <v>FTW102K</v>
          </cell>
          <cell r="E11578">
            <v>46185</v>
          </cell>
        </row>
        <row r="11579">
          <cell r="A11579" t="str">
            <v>2622JW37</v>
          </cell>
          <cell r="D11579" t="str">
            <v>FTW503</v>
          </cell>
          <cell r="E11579">
            <v>46185</v>
          </cell>
        </row>
        <row r="11580">
          <cell r="A11580" t="str">
            <v>2613FD37</v>
          </cell>
          <cell r="D11580" t="str">
            <v>FTW503</v>
          </cell>
          <cell r="E11580">
            <v>46185</v>
          </cell>
        </row>
        <row r="11581">
          <cell r="A11581" t="str">
            <v>2622U157</v>
          </cell>
          <cell r="D11581" t="str">
            <v>KBP86</v>
          </cell>
          <cell r="E11581">
            <v>46185</v>
          </cell>
        </row>
        <row r="11582">
          <cell r="A11582" t="str">
            <v>2621L137</v>
          </cell>
          <cell r="D11582" t="str">
            <v>KBP86</v>
          </cell>
          <cell r="E11582">
            <v>46185</v>
          </cell>
        </row>
        <row r="11583">
          <cell r="A11583" t="str">
            <v>2622VR47</v>
          </cell>
          <cell r="D11583" t="str">
            <v>KBP76</v>
          </cell>
          <cell r="E11583">
            <v>46185</v>
          </cell>
        </row>
        <row r="11584">
          <cell r="A11584" t="str">
            <v>2621GM27</v>
          </cell>
          <cell r="D11584" t="str">
            <v>FTW503</v>
          </cell>
          <cell r="E11584">
            <v>46185</v>
          </cell>
        </row>
        <row r="11585">
          <cell r="A11585" t="str">
            <v>2620HN57</v>
          </cell>
          <cell r="D11585" t="str">
            <v>KBP86</v>
          </cell>
          <cell r="E11585">
            <v>46185</v>
          </cell>
        </row>
        <row r="11586">
          <cell r="A11586" t="str">
            <v>2617AF27</v>
          </cell>
          <cell r="D11586" t="str">
            <v>KBP55</v>
          </cell>
          <cell r="E11586">
            <v>46185</v>
          </cell>
        </row>
        <row r="11587">
          <cell r="A11587" t="str">
            <v>2621ZO57</v>
          </cell>
          <cell r="D11587" t="str">
            <v>KBP86</v>
          </cell>
          <cell r="E11587">
            <v>46185</v>
          </cell>
        </row>
        <row r="11588">
          <cell r="A11588" t="str">
            <v>2622K517</v>
          </cell>
          <cell r="D11588" t="str">
            <v>KBP126</v>
          </cell>
          <cell r="E11588">
            <v>46185</v>
          </cell>
        </row>
        <row r="11589">
          <cell r="A11589" t="str">
            <v>2621LZ37</v>
          </cell>
          <cell r="D11589" t="str">
            <v>KBP86</v>
          </cell>
          <cell r="E11589">
            <v>46185</v>
          </cell>
        </row>
        <row r="11590">
          <cell r="A11590" t="str">
            <v>2622U757</v>
          </cell>
          <cell r="D11590" t="str">
            <v>KBP86</v>
          </cell>
          <cell r="E11590">
            <v>46185</v>
          </cell>
        </row>
        <row r="11591">
          <cell r="A11591" t="str">
            <v>2620JF57</v>
          </cell>
          <cell r="D11591" t="str">
            <v>KBP55</v>
          </cell>
          <cell r="E11591">
            <v>46185</v>
          </cell>
        </row>
        <row r="11592">
          <cell r="A11592" t="str">
            <v>2609AS47</v>
          </cell>
          <cell r="D11592" t="str">
            <v>FTP150</v>
          </cell>
          <cell r="E11592">
            <v>46185</v>
          </cell>
        </row>
        <row r="11593">
          <cell r="A11593" t="str">
            <v>2621GM67</v>
          </cell>
          <cell r="D11593" t="str">
            <v>KBP76</v>
          </cell>
          <cell r="E11593">
            <v>46185</v>
          </cell>
        </row>
        <row r="11594">
          <cell r="A11594" t="str">
            <v>2622UZ47</v>
          </cell>
          <cell r="D11594" t="str">
            <v>TTS50</v>
          </cell>
          <cell r="E11594">
            <v>46185</v>
          </cell>
        </row>
        <row r="11595">
          <cell r="A11595" t="str">
            <v>2621DN67</v>
          </cell>
          <cell r="D11595" t="str">
            <v>KBP86</v>
          </cell>
          <cell r="E11595">
            <v>46185</v>
          </cell>
        </row>
        <row r="11596">
          <cell r="A11596" t="str">
            <v>2622LR47</v>
          </cell>
          <cell r="D11596" t="str">
            <v>S706</v>
          </cell>
          <cell r="E11596">
            <v>46185</v>
          </cell>
        </row>
        <row r="11597">
          <cell r="A11597" t="str">
            <v>2621DY57</v>
          </cell>
          <cell r="D11597" t="str">
            <v>FTW121KE</v>
          </cell>
          <cell r="E11597">
            <v>46185</v>
          </cell>
        </row>
        <row r="11598">
          <cell r="A11598" t="str">
            <v>2621XZ57</v>
          </cell>
          <cell r="D11598" t="str">
            <v>FTW121KE</v>
          </cell>
          <cell r="E11598">
            <v>46185</v>
          </cell>
        </row>
        <row r="11599">
          <cell r="A11599" t="str">
            <v>2621HZ67</v>
          </cell>
          <cell r="D11599" t="str">
            <v>KBP55</v>
          </cell>
          <cell r="E11599">
            <v>46185</v>
          </cell>
        </row>
        <row r="11600">
          <cell r="A11600" t="str">
            <v>2621QB27</v>
          </cell>
          <cell r="D11600" t="str">
            <v>TTS80</v>
          </cell>
          <cell r="E11600">
            <v>46185</v>
          </cell>
        </row>
        <row r="11601">
          <cell r="A11601" t="str">
            <v>2622LR27</v>
          </cell>
          <cell r="D11601" t="str">
            <v>KBP86</v>
          </cell>
          <cell r="E11601">
            <v>46185</v>
          </cell>
        </row>
        <row r="11602">
          <cell r="A11602" t="str">
            <v>2623EZ27</v>
          </cell>
          <cell r="D11602" t="str">
            <v>FTW102K</v>
          </cell>
          <cell r="E11602">
            <v>46185</v>
          </cell>
        </row>
        <row r="11603">
          <cell r="A11603" t="str">
            <v>2606L247</v>
          </cell>
          <cell r="D11603" t="str">
            <v>KBP52</v>
          </cell>
          <cell r="E11603">
            <v>46185</v>
          </cell>
        </row>
        <row r="11604">
          <cell r="A11604" t="str">
            <v>2622W957</v>
          </cell>
          <cell r="D11604" t="str">
            <v>FTW102K</v>
          </cell>
          <cell r="E11604">
            <v>46185</v>
          </cell>
        </row>
        <row r="11605">
          <cell r="A11605" t="str">
            <v>2616OP57</v>
          </cell>
          <cell r="D11605" t="str">
            <v>FTW503</v>
          </cell>
          <cell r="E11605">
            <v>46185</v>
          </cell>
        </row>
        <row r="11606">
          <cell r="A11606" t="str">
            <v>2613H937</v>
          </cell>
          <cell r="D11606" t="str">
            <v>FTW503</v>
          </cell>
          <cell r="E11606">
            <v>46185</v>
          </cell>
        </row>
        <row r="11607">
          <cell r="A11607" t="str">
            <v>2622QW37</v>
          </cell>
          <cell r="D11607" t="str">
            <v>KBP76</v>
          </cell>
          <cell r="E11607">
            <v>46185</v>
          </cell>
        </row>
        <row r="11608">
          <cell r="A11608" t="str">
            <v>2622EX37</v>
          </cell>
          <cell r="D11608" t="str">
            <v>KBP86</v>
          </cell>
          <cell r="E11608">
            <v>46185</v>
          </cell>
        </row>
        <row r="11609">
          <cell r="A11609" t="str">
            <v>2622ZG27</v>
          </cell>
          <cell r="D11609" t="str">
            <v>STA156KA</v>
          </cell>
          <cell r="E11609">
            <v>46185</v>
          </cell>
        </row>
        <row r="11610">
          <cell r="A11610" t="str">
            <v>2622QQ47</v>
          </cell>
          <cell r="D11610" t="str">
            <v>FTW121KE</v>
          </cell>
          <cell r="E11610">
            <v>46185</v>
          </cell>
        </row>
        <row r="11611">
          <cell r="A11611" t="str">
            <v>2620BT47</v>
          </cell>
          <cell r="D11611" t="str">
            <v>FTW121KE</v>
          </cell>
          <cell r="E11611">
            <v>46185</v>
          </cell>
        </row>
        <row r="11612">
          <cell r="A11612" t="str">
            <v>2621KF47</v>
          </cell>
          <cell r="D11612" t="str">
            <v>FTW121KE</v>
          </cell>
          <cell r="E11612">
            <v>46185</v>
          </cell>
        </row>
        <row r="11613">
          <cell r="A11613" t="str">
            <v>2621XO57</v>
          </cell>
          <cell r="D11613" t="str">
            <v>FTW121KR</v>
          </cell>
          <cell r="E11613">
            <v>46185</v>
          </cell>
        </row>
        <row r="11614">
          <cell r="A11614" t="str">
            <v>2621A467</v>
          </cell>
          <cell r="D11614" t="str">
            <v>FTW121KE</v>
          </cell>
          <cell r="E11614">
            <v>46185</v>
          </cell>
        </row>
        <row r="11615">
          <cell r="A11615" t="str">
            <v>2622OK17</v>
          </cell>
          <cell r="D11615" t="str">
            <v>FTW121KE</v>
          </cell>
          <cell r="E11615">
            <v>46185</v>
          </cell>
        </row>
        <row r="11616">
          <cell r="A11616" t="str">
            <v>2621XJ57</v>
          </cell>
          <cell r="D11616" t="str">
            <v>FTW121KR</v>
          </cell>
          <cell r="E11616">
            <v>46185</v>
          </cell>
        </row>
        <row r="11617">
          <cell r="A11617" t="str">
            <v>2622KW37</v>
          </cell>
          <cell r="D11617" t="str">
            <v>FTW121KR</v>
          </cell>
          <cell r="E11617">
            <v>46185</v>
          </cell>
        </row>
        <row r="11618">
          <cell r="A11618" t="str">
            <v>2622KF27</v>
          </cell>
          <cell r="D11618" t="str">
            <v>FTW121KR</v>
          </cell>
          <cell r="E11618">
            <v>46185</v>
          </cell>
        </row>
        <row r="11619">
          <cell r="A11619" t="str">
            <v>2610Z647</v>
          </cell>
          <cell r="D11619" t="str">
            <v>KBP76</v>
          </cell>
          <cell r="E11619">
            <v>46184</v>
          </cell>
        </row>
        <row r="11620">
          <cell r="A11620" t="str">
            <v>2549ZS27</v>
          </cell>
          <cell r="D11620" t="str">
            <v>FTW121KE</v>
          </cell>
          <cell r="E11620">
            <v>46184</v>
          </cell>
        </row>
        <row r="11621">
          <cell r="A11621" t="str">
            <v>2614Y127</v>
          </cell>
          <cell r="D11621" t="str">
            <v>KBP55</v>
          </cell>
          <cell r="E11621">
            <v>46184</v>
          </cell>
        </row>
        <row r="11622">
          <cell r="A11622" t="str">
            <v>2622CC67</v>
          </cell>
          <cell r="D11622" t="str">
            <v>HV80</v>
          </cell>
          <cell r="E11622">
            <v>46184</v>
          </cell>
        </row>
        <row r="11623">
          <cell r="A11623" t="str">
            <v>2610Z647</v>
          </cell>
          <cell r="D11623" t="str">
            <v>KBP76</v>
          </cell>
          <cell r="E11623">
            <v>46184</v>
          </cell>
        </row>
        <row r="11624">
          <cell r="A11624" t="str">
            <v>2620CP67</v>
          </cell>
          <cell r="D11624" t="str">
            <v>FTP200</v>
          </cell>
          <cell r="E11624">
            <v>46184</v>
          </cell>
        </row>
        <row r="11625">
          <cell r="A11625" t="str">
            <v>2614Y227</v>
          </cell>
          <cell r="D11625" t="str">
            <v>KBP55</v>
          </cell>
          <cell r="E11625">
            <v>46184</v>
          </cell>
        </row>
        <row r="11626">
          <cell r="A11626" t="str">
            <v>2622UY57</v>
          </cell>
          <cell r="D11626" t="str">
            <v>KBP76</v>
          </cell>
          <cell r="E11626">
            <v>46184</v>
          </cell>
        </row>
        <row r="11627">
          <cell r="A11627" t="str">
            <v>2622DG57</v>
          </cell>
          <cell r="D11627" t="str">
            <v>FTW700</v>
          </cell>
          <cell r="E11627">
            <v>46184</v>
          </cell>
        </row>
        <row r="11628">
          <cell r="A11628" t="str">
            <v>2606FE57</v>
          </cell>
          <cell r="D11628" t="str">
            <v>KBP52</v>
          </cell>
          <cell r="E11628">
            <v>46184</v>
          </cell>
        </row>
        <row r="11629">
          <cell r="A11629" t="str">
            <v>2614Z927</v>
          </cell>
          <cell r="D11629" t="str">
            <v>KBP55</v>
          </cell>
          <cell r="E11629">
            <v>46184</v>
          </cell>
        </row>
        <row r="11630">
          <cell r="A11630" t="str">
            <v>2622OF27</v>
          </cell>
          <cell r="D11630" t="str">
            <v>HV80</v>
          </cell>
          <cell r="E11630">
            <v>46184</v>
          </cell>
        </row>
        <row r="11631">
          <cell r="A11631" t="str">
            <v>2620CP67</v>
          </cell>
          <cell r="D11631" t="str">
            <v>FTP200</v>
          </cell>
          <cell r="E11631">
            <v>46184</v>
          </cell>
        </row>
        <row r="11632">
          <cell r="A11632" t="str">
            <v>2620S457</v>
          </cell>
          <cell r="D11632" t="str">
            <v>KBP86</v>
          </cell>
          <cell r="E11632">
            <v>46184</v>
          </cell>
        </row>
        <row r="11633">
          <cell r="A11633" t="str">
            <v>2619OM17</v>
          </cell>
          <cell r="D11633" t="str">
            <v>HV80</v>
          </cell>
          <cell r="E11633">
            <v>46184</v>
          </cell>
        </row>
        <row r="11634">
          <cell r="A11634" t="str">
            <v>2617CU47</v>
          </cell>
          <cell r="D11634" t="str">
            <v>S15MB</v>
          </cell>
          <cell r="E11634">
            <v>46184</v>
          </cell>
        </row>
        <row r="11635">
          <cell r="A11635" t="str">
            <v>2622PR37</v>
          </cell>
          <cell r="D11635" t="str">
            <v>HV80</v>
          </cell>
          <cell r="E11635">
            <v>46184</v>
          </cell>
        </row>
        <row r="11636">
          <cell r="A11636" t="str">
            <v>2622L147</v>
          </cell>
          <cell r="D11636" t="str">
            <v>KBP86</v>
          </cell>
          <cell r="E11636">
            <v>46184</v>
          </cell>
        </row>
        <row r="11637">
          <cell r="A11637" t="str">
            <v>2622Q217</v>
          </cell>
          <cell r="D11637" t="str">
            <v>HV80</v>
          </cell>
          <cell r="E11637">
            <v>46184</v>
          </cell>
        </row>
        <row r="11638">
          <cell r="A11638" t="str">
            <v>2622VL47</v>
          </cell>
          <cell r="D11638" t="str">
            <v>KBP76</v>
          </cell>
          <cell r="E11638">
            <v>46184</v>
          </cell>
        </row>
        <row r="11639">
          <cell r="A11639" t="str">
            <v>2623P717</v>
          </cell>
          <cell r="D11639" t="str">
            <v>S706</v>
          </cell>
          <cell r="E11639">
            <v>46184</v>
          </cell>
        </row>
        <row r="11640">
          <cell r="A11640" t="str">
            <v>2623PF17</v>
          </cell>
          <cell r="D11640" t="str">
            <v>S706</v>
          </cell>
          <cell r="E11640">
            <v>46184</v>
          </cell>
        </row>
        <row r="11641">
          <cell r="A11641" t="str">
            <v>2623P317</v>
          </cell>
          <cell r="D11641" t="str">
            <v>S706</v>
          </cell>
          <cell r="E11641">
            <v>46184</v>
          </cell>
        </row>
        <row r="11642">
          <cell r="A11642" t="str">
            <v>2623PB17</v>
          </cell>
          <cell r="D11642" t="str">
            <v>S706</v>
          </cell>
          <cell r="E11642">
            <v>46184</v>
          </cell>
        </row>
        <row r="11643">
          <cell r="A11643" t="str">
            <v>2623P417</v>
          </cell>
          <cell r="D11643" t="str">
            <v>S706</v>
          </cell>
          <cell r="E11643">
            <v>46184</v>
          </cell>
        </row>
        <row r="11644">
          <cell r="A11644" t="str">
            <v>2622HK27</v>
          </cell>
          <cell r="D11644" t="str">
            <v>STA156KA</v>
          </cell>
          <cell r="E11644">
            <v>46184</v>
          </cell>
        </row>
        <row r="11645">
          <cell r="A11645" t="str">
            <v>2621PT17</v>
          </cell>
          <cell r="D11645" t="str">
            <v>KBP86</v>
          </cell>
          <cell r="E11645">
            <v>46184</v>
          </cell>
        </row>
        <row r="11646">
          <cell r="A11646" t="str">
            <v>2622L327</v>
          </cell>
          <cell r="D11646" t="str">
            <v>KBP86</v>
          </cell>
          <cell r="E11646">
            <v>46184</v>
          </cell>
        </row>
        <row r="11647">
          <cell r="A11647" t="str">
            <v>2622ST17</v>
          </cell>
          <cell r="D11647" t="str">
            <v>TTS80</v>
          </cell>
          <cell r="E11647">
            <v>46184</v>
          </cell>
        </row>
        <row r="11648">
          <cell r="A11648" t="str">
            <v>2622L427</v>
          </cell>
          <cell r="D11648" t="str">
            <v>KBP86</v>
          </cell>
          <cell r="E11648">
            <v>46184</v>
          </cell>
        </row>
        <row r="11649">
          <cell r="A11649" t="str">
            <v>2619YI57</v>
          </cell>
          <cell r="D11649" t="str">
            <v>KBP86</v>
          </cell>
          <cell r="E11649">
            <v>46184</v>
          </cell>
        </row>
        <row r="11650">
          <cell r="A11650" t="str">
            <v>2611FP47</v>
          </cell>
          <cell r="D11650" t="str">
            <v>FTW102K</v>
          </cell>
          <cell r="E11650">
            <v>46184</v>
          </cell>
        </row>
        <row r="11651">
          <cell r="A11651" t="str">
            <v>2622IK27</v>
          </cell>
          <cell r="D11651" t="str">
            <v>FTW503</v>
          </cell>
          <cell r="E11651">
            <v>46184</v>
          </cell>
        </row>
        <row r="11652">
          <cell r="A11652" t="str">
            <v>2622F137</v>
          </cell>
          <cell r="D11652" t="str">
            <v>KBP86</v>
          </cell>
          <cell r="E11652">
            <v>46184</v>
          </cell>
        </row>
        <row r="11653">
          <cell r="A11653" t="str">
            <v>2622PO17</v>
          </cell>
          <cell r="D11653" t="str">
            <v>KBP52</v>
          </cell>
          <cell r="E11653">
            <v>46184</v>
          </cell>
        </row>
        <row r="11654">
          <cell r="A11654" t="str">
            <v>2613E627</v>
          </cell>
          <cell r="D11654" t="str">
            <v>FTW102K</v>
          </cell>
          <cell r="E11654">
            <v>46184</v>
          </cell>
        </row>
        <row r="11655">
          <cell r="A11655" t="str">
            <v>2622SQ17</v>
          </cell>
          <cell r="D11655" t="str">
            <v>FTP200</v>
          </cell>
          <cell r="E11655">
            <v>46184</v>
          </cell>
        </row>
        <row r="11656">
          <cell r="A11656" t="str">
            <v>2621ZQ57</v>
          </cell>
          <cell r="D11656" t="str">
            <v>KBP86</v>
          </cell>
          <cell r="E11656">
            <v>46184</v>
          </cell>
        </row>
        <row r="11657">
          <cell r="A11657" t="str">
            <v>2621DQ67</v>
          </cell>
          <cell r="D11657" t="str">
            <v>KBP86</v>
          </cell>
          <cell r="E11657">
            <v>46184</v>
          </cell>
        </row>
        <row r="11658">
          <cell r="A11658" t="str">
            <v>2622LN47</v>
          </cell>
          <cell r="D11658" t="str">
            <v>S706</v>
          </cell>
          <cell r="E11658">
            <v>46184</v>
          </cell>
        </row>
        <row r="11659">
          <cell r="A11659" t="str">
            <v>2621GT67</v>
          </cell>
          <cell r="D11659" t="str">
            <v>KBP76</v>
          </cell>
          <cell r="E11659">
            <v>46184</v>
          </cell>
        </row>
        <row r="11660">
          <cell r="A11660" t="str">
            <v>2622IZ27</v>
          </cell>
          <cell r="D11660" t="str">
            <v>FTW503</v>
          </cell>
          <cell r="E11660">
            <v>46184</v>
          </cell>
        </row>
        <row r="11661">
          <cell r="A11661" t="str">
            <v>2613GQ67</v>
          </cell>
          <cell r="D11661" t="str">
            <v>STA156KA</v>
          </cell>
          <cell r="E11661">
            <v>46184</v>
          </cell>
        </row>
        <row r="11662">
          <cell r="A11662" t="str">
            <v>2622OB37</v>
          </cell>
          <cell r="D11662" t="str">
            <v>KBP86</v>
          </cell>
          <cell r="E11662">
            <v>46184</v>
          </cell>
        </row>
        <row r="11663">
          <cell r="A11663" t="str">
            <v>2621OP47</v>
          </cell>
          <cell r="D11663" t="str">
            <v>KBP86</v>
          </cell>
          <cell r="E11663">
            <v>46184</v>
          </cell>
        </row>
        <row r="11664">
          <cell r="A11664" t="str">
            <v>2622P817</v>
          </cell>
          <cell r="D11664" t="str">
            <v>KBP86</v>
          </cell>
          <cell r="E11664">
            <v>46184</v>
          </cell>
        </row>
        <row r="11665">
          <cell r="A11665" t="str">
            <v>2622EE67</v>
          </cell>
          <cell r="D11665" t="str">
            <v>TTS80</v>
          </cell>
          <cell r="E11665">
            <v>46184</v>
          </cell>
        </row>
        <row r="11666">
          <cell r="A11666" t="str">
            <v>2622HX27</v>
          </cell>
          <cell r="D11666" t="str">
            <v>KBP76</v>
          </cell>
          <cell r="E11666">
            <v>46184</v>
          </cell>
        </row>
        <row r="11667">
          <cell r="A11667" t="str">
            <v>2622UY47</v>
          </cell>
          <cell r="D11667" t="str">
            <v>TTS50</v>
          </cell>
          <cell r="E11667">
            <v>46184</v>
          </cell>
        </row>
        <row r="11668">
          <cell r="A11668" t="str">
            <v>2621WB57</v>
          </cell>
          <cell r="D11668" t="str">
            <v>FTP150</v>
          </cell>
          <cell r="E11668">
            <v>46184</v>
          </cell>
        </row>
        <row r="11669">
          <cell r="A11669" t="str">
            <v>2606FG57</v>
          </cell>
          <cell r="D11669" t="str">
            <v>KBP52</v>
          </cell>
          <cell r="E11669">
            <v>46184</v>
          </cell>
        </row>
        <row r="11670">
          <cell r="A11670" t="str">
            <v>2622IN27</v>
          </cell>
          <cell r="D11670" t="str">
            <v>FTW503</v>
          </cell>
          <cell r="E11670">
            <v>46184</v>
          </cell>
        </row>
        <row r="11671">
          <cell r="A11671" t="str">
            <v>2622IS27</v>
          </cell>
          <cell r="D11671" t="str">
            <v>FTW503</v>
          </cell>
          <cell r="E11671">
            <v>46184</v>
          </cell>
        </row>
        <row r="11672">
          <cell r="A11672" t="str">
            <v>2622PT27</v>
          </cell>
          <cell r="D11672" t="str">
            <v>KBP76</v>
          </cell>
          <cell r="E11672">
            <v>46184</v>
          </cell>
        </row>
        <row r="11673">
          <cell r="A11673" t="str">
            <v>2622KN17</v>
          </cell>
          <cell r="D11673" t="str">
            <v>KBP86</v>
          </cell>
          <cell r="E11673">
            <v>46184</v>
          </cell>
        </row>
        <row r="11674">
          <cell r="A11674" t="str">
            <v>2620WL57</v>
          </cell>
          <cell r="D11674" t="str">
            <v>FTW121KE</v>
          </cell>
          <cell r="E11674">
            <v>46184</v>
          </cell>
        </row>
        <row r="11675">
          <cell r="A11675" t="str">
            <v>2622S437</v>
          </cell>
          <cell r="D11675" t="str">
            <v>KBP55</v>
          </cell>
          <cell r="E11675">
            <v>46184</v>
          </cell>
        </row>
        <row r="11676">
          <cell r="A11676" t="str">
            <v>2622K227</v>
          </cell>
          <cell r="D11676" t="str">
            <v>FTW121KE</v>
          </cell>
          <cell r="E11676">
            <v>46184</v>
          </cell>
        </row>
        <row r="11677">
          <cell r="A11677" t="str">
            <v>2622LB37</v>
          </cell>
          <cell r="D11677" t="str">
            <v>FTW121KE</v>
          </cell>
          <cell r="E11677">
            <v>46184</v>
          </cell>
        </row>
        <row r="11678">
          <cell r="A11678" t="str">
            <v>2622KY37</v>
          </cell>
          <cell r="D11678" t="str">
            <v>FTW121KE</v>
          </cell>
          <cell r="E11678">
            <v>46184</v>
          </cell>
        </row>
        <row r="11679">
          <cell r="A11679" t="str">
            <v>2619YG57</v>
          </cell>
          <cell r="D11679" t="str">
            <v>KBP86</v>
          </cell>
          <cell r="E11679">
            <v>46184</v>
          </cell>
        </row>
        <row r="11680">
          <cell r="A11680" t="str">
            <v>2622LT27</v>
          </cell>
          <cell r="D11680" t="str">
            <v>KBP86</v>
          </cell>
          <cell r="E11680">
            <v>46184</v>
          </cell>
        </row>
        <row r="11681">
          <cell r="A11681" t="str">
            <v>2622CU27</v>
          </cell>
          <cell r="D11681" t="str">
            <v>S15MB</v>
          </cell>
          <cell r="E11681">
            <v>46184</v>
          </cell>
        </row>
        <row r="11682">
          <cell r="A11682" t="str">
            <v>2622IH27</v>
          </cell>
          <cell r="D11682" t="str">
            <v>FTW503</v>
          </cell>
          <cell r="E11682">
            <v>46184</v>
          </cell>
        </row>
        <row r="11683">
          <cell r="A11683" t="str">
            <v>2622UR47</v>
          </cell>
          <cell r="D11683" t="str">
            <v>TTS50</v>
          </cell>
          <cell r="E11683">
            <v>46184</v>
          </cell>
        </row>
        <row r="11684">
          <cell r="A11684" t="str">
            <v>2609I737</v>
          </cell>
          <cell r="D11684" t="str">
            <v>FTP150</v>
          </cell>
          <cell r="E11684">
            <v>46184</v>
          </cell>
        </row>
        <row r="11685">
          <cell r="A11685" t="str">
            <v>2622LU47</v>
          </cell>
          <cell r="D11685" t="str">
            <v>S706</v>
          </cell>
          <cell r="E11685">
            <v>46184</v>
          </cell>
        </row>
        <row r="11686">
          <cell r="A11686" t="str">
            <v>2622QK27</v>
          </cell>
          <cell r="D11686" t="str">
            <v>FTP200</v>
          </cell>
          <cell r="E11686">
            <v>46184</v>
          </cell>
        </row>
        <row r="11687">
          <cell r="A11687" t="str">
            <v>2622DC57</v>
          </cell>
          <cell r="D11687" t="str">
            <v>FTW700</v>
          </cell>
          <cell r="E11687">
            <v>46184</v>
          </cell>
        </row>
        <row r="11688">
          <cell r="A11688" t="str">
            <v>2622KU47</v>
          </cell>
          <cell r="D11688" t="str">
            <v>KBP86</v>
          </cell>
          <cell r="E11688">
            <v>46184</v>
          </cell>
        </row>
        <row r="11689">
          <cell r="A11689" t="str">
            <v>2619Y857</v>
          </cell>
          <cell r="D11689" t="str">
            <v>KBP86</v>
          </cell>
          <cell r="E11689">
            <v>46184</v>
          </cell>
        </row>
        <row r="11690">
          <cell r="A11690" t="str">
            <v>2622DJ57</v>
          </cell>
          <cell r="D11690" t="str">
            <v>KBP74</v>
          </cell>
          <cell r="E11690">
            <v>46184</v>
          </cell>
        </row>
        <row r="11691">
          <cell r="A11691" t="str">
            <v>2622O637</v>
          </cell>
          <cell r="D11691" t="str">
            <v>KBP86</v>
          </cell>
          <cell r="E11691">
            <v>46184</v>
          </cell>
        </row>
        <row r="11692">
          <cell r="A11692" t="str">
            <v>2622QT37</v>
          </cell>
          <cell r="D11692" t="str">
            <v>KBP76</v>
          </cell>
          <cell r="E11692">
            <v>46184</v>
          </cell>
        </row>
        <row r="11693">
          <cell r="A11693" t="str">
            <v>2622PW27</v>
          </cell>
          <cell r="D11693" t="str">
            <v>KBP76</v>
          </cell>
          <cell r="E11693">
            <v>46184</v>
          </cell>
        </row>
        <row r="11694">
          <cell r="A11694" t="str">
            <v>2622EU37</v>
          </cell>
          <cell r="D11694" t="str">
            <v>KBP86</v>
          </cell>
          <cell r="E11694">
            <v>46184</v>
          </cell>
        </row>
        <row r="11695">
          <cell r="A11695" t="str">
            <v>2622U747</v>
          </cell>
          <cell r="D11695" t="str">
            <v>KBP86</v>
          </cell>
          <cell r="E11695">
            <v>46184</v>
          </cell>
        </row>
        <row r="11696">
          <cell r="A11696" t="str">
            <v>2622PA37</v>
          </cell>
          <cell r="D11696" t="str">
            <v>KBP86</v>
          </cell>
          <cell r="E11696">
            <v>46184</v>
          </cell>
        </row>
        <row r="11697">
          <cell r="A11697" t="str">
            <v>2615AB27</v>
          </cell>
          <cell r="D11697" t="str">
            <v>FTP150</v>
          </cell>
          <cell r="E11697">
            <v>46184</v>
          </cell>
        </row>
        <row r="11698">
          <cell r="A11698" t="str">
            <v>2621OF37</v>
          </cell>
          <cell r="D11698" t="str">
            <v>KBP55</v>
          </cell>
          <cell r="E11698">
            <v>46184</v>
          </cell>
        </row>
        <row r="11699">
          <cell r="A11699" t="str">
            <v>2622CV27</v>
          </cell>
          <cell r="D11699" t="str">
            <v>S15MB</v>
          </cell>
          <cell r="E11699">
            <v>46184</v>
          </cell>
        </row>
        <row r="11700">
          <cell r="A11700" t="str">
            <v>2620IA57</v>
          </cell>
          <cell r="D11700" t="str">
            <v>KBP86</v>
          </cell>
          <cell r="E11700">
            <v>46184</v>
          </cell>
        </row>
        <row r="11701">
          <cell r="A11701" t="str">
            <v>2621QA47</v>
          </cell>
          <cell r="D11701" t="str">
            <v>TTS80</v>
          </cell>
          <cell r="E11701">
            <v>46184</v>
          </cell>
        </row>
        <row r="11702">
          <cell r="A11702" t="str">
            <v>2622OC17</v>
          </cell>
          <cell r="D11702" t="str">
            <v>FTW121KE</v>
          </cell>
          <cell r="E11702">
            <v>46184</v>
          </cell>
        </row>
        <row r="11703">
          <cell r="A11703" t="str">
            <v>2620E547</v>
          </cell>
          <cell r="D11703" t="str">
            <v>TTS50</v>
          </cell>
          <cell r="E11703">
            <v>46184</v>
          </cell>
        </row>
        <row r="11704">
          <cell r="A11704" t="str">
            <v>2622P837</v>
          </cell>
          <cell r="D11704" t="str">
            <v>KBP86</v>
          </cell>
          <cell r="E11704">
            <v>46184</v>
          </cell>
        </row>
        <row r="11705">
          <cell r="A11705" t="str">
            <v>2621VX57</v>
          </cell>
          <cell r="D11705" t="str">
            <v>KBP76</v>
          </cell>
          <cell r="E11705">
            <v>46184</v>
          </cell>
        </row>
        <row r="11706">
          <cell r="A11706" t="str">
            <v>2621PC47</v>
          </cell>
          <cell r="D11706" t="str">
            <v>TTS50</v>
          </cell>
          <cell r="E11706">
            <v>46184</v>
          </cell>
        </row>
        <row r="11707">
          <cell r="A11707" t="str">
            <v>2622IQ27</v>
          </cell>
          <cell r="D11707" t="str">
            <v>FTW503</v>
          </cell>
          <cell r="E11707">
            <v>46184</v>
          </cell>
        </row>
        <row r="11708">
          <cell r="A11708" t="str">
            <v>2620IN57</v>
          </cell>
          <cell r="D11708" t="str">
            <v>FTP200</v>
          </cell>
          <cell r="E11708">
            <v>46184</v>
          </cell>
        </row>
        <row r="11709">
          <cell r="A11709" t="str">
            <v>2621I927</v>
          </cell>
          <cell r="D11709" t="str">
            <v>FTW121KE</v>
          </cell>
          <cell r="E11709">
            <v>46184</v>
          </cell>
        </row>
        <row r="11710">
          <cell r="A11710" t="str">
            <v>2622DI57</v>
          </cell>
          <cell r="D11710" t="str">
            <v>FTW700</v>
          </cell>
          <cell r="E11710">
            <v>46184</v>
          </cell>
        </row>
        <row r="11711">
          <cell r="A11711" t="str">
            <v>2622KT47</v>
          </cell>
          <cell r="D11711" t="str">
            <v>KBP86</v>
          </cell>
          <cell r="E11711">
            <v>46184</v>
          </cell>
        </row>
        <row r="11712">
          <cell r="A11712" t="str">
            <v>2622SL47</v>
          </cell>
          <cell r="D11712" t="str">
            <v>KBP52</v>
          </cell>
          <cell r="E11712">
            <v>46184</v>
          </cell>
        </row>
        <row r="11713">
          <cell r="A11713" t="str">
            <v>2621QN27</v>
          </cell>
          <cell r="D11713" t="str">
            <v>KBP86</v>
          </cell>
          <cell r="E11713">
            <v>46184</v>
          </cell>
        </row>
        <row r="11714">
          <cell r="A11714" t="str">
            <v>2613HJ37</v>
          </cell>
          <cell r="D11714" t="str">
            <v>FTW102K</v>
          </cell>
          <cell r="E11714">
            <v>46184</v>
          </cell>
        </row>
        <row r="11715">
          <cell r="A11715" t="str">
            <v>2622VF47</v>
          </cell>
          <cell r="D11715" t="str">
            <v>KBP76</v>
          </cell>
          <cell r="E11715">
            <v>46184</v>
          </cell>
        </row>
        <row r="11716">
          <cell r="A11716" t="str">
            <v>2622D337</v>
          </cell>
          <cell r="D11716" t="str">
            <v>S15MB</v>
          </cell>
          <cell r="E11716">
            <v>46184</v>
          </cell>
        </row>
        <row r="11717">
          <cell r="A11717" t="str">
            <v>2622HV27</v>
          </cell>
          <cell r="D11717" t="str">
            <v>KBP76</v>
          </cell>
          <cell r="E11717">
            <v>46184</v>
          </cell>
        </row>
        <row r="11718">
          <cell r="A11718" t="str">
            <v>2620EJ70</v>
          </cell>
          <cell r="D11718" t="str">
            <v>TTS125</v>
          </cell>
          <cell r="E11718">
            <v>46184</v>
          </cell>
        </row>
        <row r="11719">
          <cell r="A11719" t="str">
            <v>2621HT67</v>
          </cell>
          <cell r="D11719" t="str">
            <v>KBP55</v>
          </cell>
          <cell r="E11719">
            <v>46184</v>
          </cell>
        </row>
        <row r="11720">
          <cell r="A11720" t="str">
            <v>2622KT27</v>
          </cell>
          <cell r="D11720" t="str">
            <v>FTW121KR</v>
          </cell>
          <cell r="E11720">
            <v>46184</v>
          </cell>
        </row>
        <row r="11721">
          <cell r="A11721" t="str">
            <v>2622SU17</v>
          </cell>
          <cell r="D11721" t="str">
            <v>TTS80</v>
          </cell>
          <cell r="E11721">
            <v>46184</v>
          </cell>
        </row>
        <row r="11722">
          <cell r="A11722" t="str">
            <v>2622Q347</v>
          </cell>
          <cell r="D11722" t="str">
            <v>FTW121KR</v>
          </cell>
          <cell r="E11722">
            <v>46184</v>
          </cell>
        </row>
        <row r="11723">
          <cell r="A11723" t="str">
            <v>2622HW27</v>
          </cell>
          <cell r="D11723" t="str">
            <v>KBP76</v>
          </cell>
          <cell r="E11723">
            <v>46184</v>
          </cell>
        </row>
        <row r="11724">
          <cell r="A11724" t="str">
            <v>2621UH17</v>
          </cell>
          <cell r="D11724" t="str">
            <v>KBP86</v>
          </cell>
          <cell r="E11724">
            <v>46184</v>
          </cell>
        </row>
        <row r="11725">
          <cell r="A11725" t="str">
            <v>2621UD17</v>
          </cell>
          <cell r="D11725" t="str">
            <v>KBP86</v>
          </cell>
          <cell r="E11725">
            <v>46184</v>
          </cell>
        </row>
        <row r="11726">
          <cell r="A11726" t="str">
            <v>2622JX37</v>
          </cell>
          <cell r="D11726" t="str">
            <v>FTW503</v>
          </cell>
          <cell r="E11726">
            <v>46184</v>
          </cell>
        </row>
        <row r="11727">
          <cell r="A11727" t="str">
            <v>2621S317</v>
          </cell>
          <cell r="D11727" t="str">
            <v>KBP86</v>
          </cell>
          <cell r="E11727">
            <v>46184</v>
          </cell>
        </row>
        <row r="11728">
          <cell r="A11728" t="str">
            <v>2616FO57</v>
          </cell>
          <cell r="D11728" t="str">
            <v>FTP200</v>
          </cell>
          <cell r="E11728">
            <v>46184</v>
          </cell>
        </row>
        <row r="11729">
          <cell r="A11729" t="str">
            <v>2622C257</v>
          </cell>
          <cell r="D11729" t="str">
            <v>KBP86</v>
          </cell>
          <cell r="E11729">
            <v>46184</v>
          </cell>
        </row>
        <row r="11730">
          <cell r="A11730" t="str">
            <v>2622QE47</v>
          </cell>
          <cell r="D11730" t="str">
            <v>FTW121KR</v>
          </cell>
          <cell r="E11730">
            <v>46184</v>
          </cell>
        </row>
        <row r="11731">
          <cell r="A11731" t="str">
            <v>2621IW67</v>
          </cell>
          <cell r="D11731" t="str">
            <v>TTS80</v>
          </cell>
          <cell r="E11731">
            <v>46184</v>
          </cell>
        </row>
        <row r="11732">
          <cell r="A11732" t="str">
            <v>2622X357</v>
          </cell>
          <cell r="D11732" t="str">
            <v>FTW121KR</v>
          </cell>
          <cell r="E11732">
            <v>46184</v>
          </cell>
        </row>
        <row r="11733">
          <cell r="A11733" t="str">
            <v>2622QY17</v>
          </cell>
          <cell r="D11733" t="str">
            <v>KBP76</v>
          </cell>
          <cell r="E11733">
            <v>46184</v>
          </cell>
        </row>
        <row r="11734">
          <cell r="A11734" t="str">
            <v>2622DG57</v>
          </cell>
          <cell r="D11734" t="str">
            <v>FTW700</v>
          </cell>
          <cell r="E11734">
            <v>46184</v>
          </cell>
        </row>
        <row r="11735">
          <cell r="A11735" t="str">
            <v>2620O237</v>
          </cell>
          <cell r="D11735" t="str">
            <v>KBP86</v>
          </cell>
          <cell r="E11735">
            <v>46184</v>
          </cell>
        </row>
        <row r="11736">
          <cell r="A11736" t="str">
            <v>2621DP67</v>
          </cell>
          <cell r="D11736" t="str">
            <v>KBP86</v>
          </cell>
          <cell r="E11736">
            <v>46184</v>
          </cell>
        </row>
        <row r="11737">
          <cell r="A11737" t="str">
            <v>2610AS67</v>
          </cell>
          <cell r="D11737" t="str">
            <v>FTW102K</v>
          </cell>
          <cell r="E11737">
            <v>46184</v>
          </cell>
        </row>
        <row r="11738">
          <cell r="A11738" t="str">
            <v>2622II27</v>
          </cell>
          <cell r="D11738" t="str">
            <v>FTW503</v>
          </cell>
          <cell r="E11738">
            <v>46184</v>
          </cell>
        </row>
        <row r="11739">
          <cell r="A11739" t="str">
            <v>2622WM57</v>
          </cell>
          <cell r="D11739" t="str">
            <v>FTW700</v>
          </cell>
          <cell r="E11739">
            <v>46184</v>
          </cell>
        </row>
        <row r="11740">
          <cell r="A11740" t="str">
            <v>2621FX27</v>
          </cell>
          <cell r="D11740" t="str">
            <v>KBP86</v>
          </cell>
          <cell r="E11740">
            <v>46184</v>
          </cell>
        </row>
        <row r="11741">
          <cell r="A11741" t="str">
            <v>2617GE57</v>
          </cell>
          <cell r="D11741" t="str">
            <v>FTP200</v>
          </cell>
          <cell r="E11741">
            <v>46184</v>
          </cell>
        </row>
        <row r="11742">
          <cell r="A11742" t="str">
            <v>2622K727</v>
          </cell>
          <cell r="D11742" t="str">
            <v>FTW121KE</v>
          </cell>
          <cell r="E11742">
            <v>46184</v>
          </cell>
        </row>
        <row r="11743">
          <cell r="A11743" t="str">
            <v>2621CL67</v>
          </cell>
          <cell r="D11743" t="str">
            <v>KBP86</v>
          </cell>
          <cell r="E11743">
            <v>46184</v>
          </cell>
        </row>
        <row r="11744">
          <cell r="A11744" t="str">
            <v>2621ZX57</v>
          </cell>
          <cell r="D11744" t="str">
            <v>KBP86</v>
          </cell>
          <cell r="E11744">
            <v>46184</v>
          </cell>
        </row>
        <row r="11745">
          <cell r="A11745" t="str">
            <v>2622D257</v>
          </cell>
          <cell r="D11745" t="str">
            <v>KBP76</v>
          </cell>
          <cell r="E11745">
            <v>46184</v>
          </cell>
        </row>
        <row r="11746">
          <cell r="A11746" t="str">
            <v>2622OH47</v>
          </cell>
          <cell r="D11746" t="str">
            <v>FTW503</v>
          </cell>
          <cell r="E11746">
            <v>46184</v>
          </cell>
        </row>
        <row r="11747">
          <cell r="A11747" t="str">
            <v>2621SP17</v>
          </cell>
          <cell r="D11747" t="str">
            <v>KBP55</v>
          </cell>
          <cell r="E11747">
            <v>46184</v>
          </cell>
        </row>
        <row r="11748">
          <cell r="A11748" t="str">
            <v>2622Q727</v>
          </cell>
          <cell r="D11748" t="str">
            <v>FTP200</v>
          </cell>
          <cell r="E11748">
            <v>46184</v>
          </cell>
        </row>
        <row r="11749">
          <cell r="A11749" t="str">
            <v>2515O537</v>
          </cell>
          <cell r="D11749" t="str">
            <v>KBP52</v>
          </cell>
          <cell r="E11749">
            <v>46184</v>
          </cell>
        </row>
        <row r="11750">
          <cell r="A11750" t="str">
            <v>2622VH47</v>
          </cell>
          <cell r="D11750" t="str">
            <v>KBP76</v>
          </cell>
          <cell r="E11750">
            <v>46184</v>
          </cell>
        </row>
        <row r="11751">
          <cell r="A11751" t="str">
            <v>2613HS37</v>
          </cell>
          <cell r="D11751" t="str">
            <v>FTW102K</v>
          </cell>
          <cell r="E11751">
            <v>46184</v>
          </cell>
        </row>
        <row r="11752">
          <cell r="A11752" t="str">
            <v>2606LB47</v>
          </cell>
          <cell r="D11752" t="str">
            <v>KBP52</v>
          </cell>
          <cell r="E11752">
            <v>46184</v>
          </cell>
        </row>
        <row r="11753">
          <cell r="A11753" t="str">
            <v>2621D157</v>
          </cell>
          <cell r="D11753" t="str">
            <v>S706</v>
          </cell>
          <cell r="E11753">
            <v>46184</v>
          </cell>
        </row>
        <row r="11754">
          <cell r="A11754" t="str">
            <v>2609AW47</v>
          </cell>
          <cell r="D11754" t="str">
            <v>FTP150</v>
          </cell>
          <cell r="E11754">
            <v>46184</v>
          </cell>
        </row>
        <row r="11755">
          <cell r="A11755" t="str">
            <v>2622OH57</v>
          </cell>
          <cell r="D11755" t="str">
            <v>KBP76</v>
          </cell>
          <cell r="E11755">
            <v>46184</v>
          </cell>
        </row>
        <row r="11756">
          <cell r="A11756" t="str">
            <v>2620PO37</v>
          </cell>
          <cell r="D11756" t="str">
            <v>TTS50</v>
          </cell>
          <cell r="E11756">
            <v>46184</v>
          </cell>
        </row>
        <row r="11757">
          <cell r="A11757" t="str">
            <v>2622HU27</v>
          </cell>
          <cell r="D11757" t="str">
            <v>KBP76</v>
          </cell>
          <cell r="E11757">
            <v>46184</v>
          </cell>
        </row>
        <row r="11758">
          <cell r="A11758" t="str">
            <v>2622EQ67</v>
          </cell>
          <cell r="D11758" t="str">
            <v>TTS80</v>
          </cell>
          <cell r="E11758">
            <v>46184</v>
          </cell>
        </row>
        <row r="11759">
          <cell r="A11759" t="str">
            <v>2621KX17</v>
          </cell>
          <cell r="D11759" t="str">
            <v>KBP86</v>
          </cell>
          <cell r="E11759">
            <v>46184</v>
          </cell>
        </row>
        <row r="11760">
          <cell r="A11760" t="str">
            <v>2622SN47</v>
          </cell>
          <cell r="D11760" t="str">
            <v>KBP52</v>
          </cell>
          <cell r="E11760">
            <v>46184</v>
          </cell>
        </row>
        <row r="11761">
          <cell r="A11761" t="str">
            <v>2622PU27</v>
          </cell>
          <cell r="D11761" t="str">
            <v>KBP76</v>
          </cell>
          <cell r="E11761">
            <v>46184</v>
          </cell>
        </row>
        <row r="11762">
          <cell r="A11762" t="str">
            <v>2612V957</v>
          </cell>
          <cell r="D11762" t="str">
            <v>FTW102K</v>
          </cell>
          <cell r="E11762">
            <v>46184</v>
          </cell>
        </row>
        <row r="11763">
          <cell r="A11763" t="str">
            <v>2611Q257</v>
          </cell>
          <cell r="D11763" t="str">
            <v>FTW102K</v>
          </cell>
          <cell r="E11763">
            <v>46184</v>
          </cell>
        </row>
        <row r="11764">
          <cell r="A11764" t="str">
            <v>2622L627</v>
          </cell>
          <cell r="D11764" t="str">
            <v>KBP86</v>
          </cell>
          <cell r="E11764">
            <v>46184</v>
          </cell>
        </row>
        <row r="11765">
          <cell r="A11765" t="str">
            <v>2622OR47</v>
          </cell>
          <cell r="D11765" t="str">
            <v>FTW503</v>
          </cell>
          <cell r="E11765">
            <v>46184</v>
          </cell>
        </row>
        <row r="11766">
          <cell r="A11766" t="str">
            <v>2606FE57</v>
          </cell>
          <cell r="D11766" t="str">
            <v>KBP52</v>
          </cell>
          <cell r="E11766">
            <v>46184</v>
          </cell>
        </row>
        <row r="11767">
          <cell r="A11767" t="str">
            <v>2620CU47</v>
          </cell>
          <cell r="D11767" t="str">
            <v>KBP86</v>
          </cell>
          <cell r="E11767">
            <v>46184</v>
          </cell>
        </row>
        <row r="11768">
          <cell r="A11768" t="str">
            <v>2622VA47</v>
          </cell>
          <cell r="D11768" t="str">
            <v>TTS50</v>
          </cell>
          <cell r="E11768">
            <v>46184</v>
          </cell>
        </row>
        <row r="11769">
          <cell r="A11769" t="str">
            <v>2622VC47</v>
          </cell>
          <cell r="D11769" t="str">
            <v>TTS50</v>
          </cell>
          <cell r="E11769">
            <v>46184</v>
          </cell>
        </row>
        <row r="11770">
          <cell r="A11770" t="str">
            <v>2621LC37</v>
          </cell>
          <cell r="D11770" t="str">
            <v>KBP86</v>
          </cell>
          <cell r="E11770">
            <v>46184</v>
          </cell>
        </row>
        <row r="11771">
          <cell r="A11771" t="str">
            <v>2622UT47</v>
          </cell>
          <cell r="D11771" t="str">
            <v>TTS50</v>
          </cell>
          <cell r="E11771">
            <v>46184</v>
          </cell>
        </row>
        <row r="11772">
          <cell r="A11772" t="str">
            <v>2622IZ37</v>
          </cell>
          <cell r="D11772" t="str">
            <v>S706</v>
          </cell>
          <cell r="E11772">
            <v>46184</v>
          </cell>
        </row>
        <row r="11773">
          <cell r="A11773" t="str">
            <v>2622LT47</v>
          </cell>
          <cell r="D11773" t="str">
            <v>S706</v>
          </cell>
          <cell r="E11773">
            <v>46184</v>
          </cell>
        </row>
        <row r="11774">
          <cell r="A11774" t="str">
            <v>2621UB17</v>
          </cell>
          <cell r="D11774" t="str">
            <v>KBP86</v>
          </cell>
          <cell r="E11774">
            <v>46184</v>
          </cell>
        </row>
        <row r="11775">
          <cell r="A11775" t="str">
            <v>2622IL27</v>
          </cell>
          <cell r="D11775" t="str">
            <v>FTW503</v>
          </cell>
          <cell r="E11775">
            <v>46184</v>
          </cell>
        </row>
        <row r="11776">
          <cell r="A11776" t="str">
            <v>2621KD37</v>
          </cell>
          <cell r="D11776" t="str">
            <v>KBP86</v>
          </cell>
          <cell r="E11776">
            <v>46184</v>
          </cell>
        </row>
        <row r="11777">
          <cell r="A11777" t="str">
            <v>2622C557</v>
          </cell>
          <cell r="D11777" t="str">
            <v>KBP86</v>
          </cell>
          <cell r="E11777">
            <v>46184</v>
          </cell>
        </row>
        <row r="11778">
          <cell r="A11778" t="str">
            <v>2621OK47</v>
          </cell>
          <cell r="D11778" t="str">
            <v>KBP86</v>
          </cell>
          <cell r="E11778">
            <v>46184</v>
          </cell>
        </row>
        <row r="11779">
          <cell r="A11779" t="str">
            <v>2621Q647</v>
          </cell>
          <cell r="D11779" t="str">
            <v>KBP55</v>
          </cell>
          <cell r="E11779">
            <v>46184</v>
          </cell>
        </row>
        <row r="11780">
          <cell r="A11780" t="str">
            <v>2620CP67</v>
          </cell>
          <cell r="D11780" t="str">
            <v>FTP200</v>
          </cell>
          <cell r="E11780">
            <v>46184</v>
          </cell>
        </row>
        <row r="11781">
          <cell r="A11781" t="str">
            <v>2612VI57</v>
          </cell>
          <cell r="D11781" t="str">
            <v>FTW102K</v>
          </cell>
          <cell r="E11781">
            <v>46184</v>
          </cell>
        </row>
        <row r="11782">
          <cell r="A11782" t="str">
            <v>2620WX57</v>
          </cell>
          <cell r="D11782" t="str">
            <v>FTW121KE</v>
          </cell>
          <cell r="E11782">
            <v>46184</v>
          </cell>
        </row>
        <row r="11783">
          <cell r="A11783" t="str">
            <v>2622HV47</v>
          </cell>
          <cell r="D11783" t="str">
            <v>KBP86</v>
          </cell>
          <cell r="E11783">
            <v>46184</v>
          </cell>
        </row>
        <row r="11784">
          <cell r="A11784" t="str">
            <v>2622V557</v>
          </cell>
          <cell r="D11784" t="str">
            <v>KBP86</v>
          </cell>
          <cell r="E11784">
            <v>46184</v>
          </cell>
        </row>
        <row r="11785">
          <cell r="A11785" t="str">
            <v>2622KG27</v>
          </cell>
          <cell r="D11785" t="str">
            <v>FTW121KE</v>
          </cell>
          <cell r="E11785">
            <v>46184</v>
          </cell>
        </row>
        <row r="11786">
          <cell r="A11786" t="str">
            <v>2621O817</v>
          </cell>
          <cell r="D11786" t="str">
            <v>FTW121KE</v>
          </cell>
          <cell r="E11786">
            <v>46184</v>
          </cell>
        </row>
        <row r="11787">
          <cell r="A11787" t="str">
            <v>2622QA47</v>
          </cell>
          <cell r="D11787" t="str">
            <v>FTW121KE</v>
          </cell>
          <cell r="E11787">
            <v>46184</v>
          </cell>
        </row>
        <row r="11788">
          <cell r="A11788" t="str">
            <v>2622L437</v>
          </cell>
          <cell r="D11788" t="str">
            <v>FTW121KE</v>
          </cell>
          <cell r="E11788">
            <v>46184</v>
          </cell>
        </row>
        <row r="11789">
          <cell r="A11789" t="str">
            <v>2621XK57</v>
          </cell>
          <cell r="D11789" t="str">
            <v>FTW121KE</v>
          </cell>
          <cell r="E11789">
            <v>46184</v>
          </cell>
        </row>
        <row r="11790">
          <cell r="A11790" t="str">
            <v>2621OR17</v>
          </cell>
          <cell r="D11790" t="str">
            <v>FTW121KE</v>
          </cell>
          <cell r="E11790">
            <v>46184</v>
          </cell>
        </row>
        <row r="11791">
          <cell r="A11791" t="str">
            <v>2620IU57</v>
          </cell>
          <cell r="D11791" t="str">
            <v>HV80</v>
          </cell>
          <cell r="E11791">
            <v>46184</v>
          </cell>
        </row>
        <row r="11792">
          <cell r="A11792" t="str">
            <v>2622Q217</v>
          </cell>
          <cell r="D11792" t="str">
            <v>HV80</v>
          </cell>
          <cell r="E11792">
            <v>46184</v>
          </cell>
        </row>
        <row r="11793">
          <cell r="A11793" t="str">
            <v>2621EG67</v>
          </cell>
          <cell r="D11793" t="str">
            <v>HV80</v>
          </cell>
          <cell r="E11793">
            <v>46184</v>
          </cell>
        </row>
        <row r="11794">
          <cell r="A11794" t="str">
            <v>2622OF27</v>
          </cell>
          <cell r="D11794" t="str">
            <v>HV80</v>
          </cell>
          <cell r="E11794">
            <v>46184</v>
          </cell>
        </row>
        <row r="11795">
          <cell r="A11795" t="str">
            <v>2622O827</v>
          </cell>
          <cell r="D11795" t="str">
            <v>HV80</v>
          </cell>
          <cell r="E11795">
            <v>46184</v>
          </cell>
        </row>
        <row r="11796">
          <cell r="A11796" t="str">
            <v>2619OM17</v>
          </cell>
          <cell r="D11796" t="str">
            <v>HV80</v>
          </cell>
          <cell r="E11796">
            <v>46184</v>
          </cell>
        </row>
        <row r="11797">
          <cell r="A11797" t="str">
            <v>2622PR37</v>
          </cell>
          <cell r="D11797" t="str">
            <v>HV80</v>
          </cell>
          <cell r="E11797">
            <v>46184</v>
          </cell>
        </row>
        <row r="11798">
          <cell r="A11798" t="str">
            <v>2622PX17</v>
          </cell>
          <cell r="D11798" t="str">
            <v>HV80</v>
          </cell>
          <cell r="E11798">
            <v>46184</v>
          </cell>
        </row>
        <row r="11799">
          <cell r="A11799" t="str">
            <v>2622CC67</v>
          </cell>
          <cell r="D11799" t="str">
            <v>HV80</v>
          </cell>
          <cell r="E11799">
            <v>46184</v>
          </cell>
        </row>
        <row r="11800">
          <cell r="A11800" t="str">
            <v>2622PO37</v>
          </cell>
          <cell r="D11800" t="str">
            <v>HV80</v>
          </cell>
          <cell r="E11800">
            <v>46184</v>
          </cell>
        </row>
        <row r="11801">
          <cell r="A11801" t="str">
            <v>2620GK57</v>
          </cell>
          <cell r="D11801" t="str">
            <v>FTW121KE</v>
          </cell>
          <cell r="E11801">
            <v>46184</v>
          </cell>
        </row>
        <row r="11802">
          <cell r="A11802" t="str">
            <v>2620GO57</v>
          </cell>
          <cell r="D11802" t="str">
            <v>FTW121KE</v>
          </cell>
          <cell r="E11802">
            <v>46184</v>
          </cell>
        </row>
        <row r="11803">
          <cell r="A11803" t="str">
            <v>2622KZ37</v>
          </cell>
          <cell r="D11803" t="str">
            <v>FTW121KE</v>
          </cell>
          <cell r="E11803">
            <v>46184</v>
          </cell>
        </row>
        <row r="11804">
          <cell r="A11804" t="str">
            <v>2614Z627</v>
          </cell>
          <cell r="D11804" t="str">
            <v>KBP74</v>
          </cell>
          <cell r="E11804">
            <v>46183</v>
          </cell>
        </row>
        <row r="11805">
          <cell r="A11805" t="str">
            <v>2621DT57</v>
          </cell>
          <cell r="D11805" t="str">
            <v>FTW121KE</v>
          </cell>
          <cell r="E11805">
            <v>46183</v>
          </cell>
        </row>
        <row r="11806">
          <cell r="A11806" t="str">
            <v>2610Z547</v>
          </cell>
          <cell r="D11806" t="str">
            <v>KBP76</v>
          </cell>
          <cell r="E11806">
            <v>46183</v>
          </cell>
        </row>
        <row r="11807">
          <cell r="A11807" t="str">
            <v>2621LO27</v>
          </cell>
          <cell r="D11807" t="str">
            <v>HV80</v>
          </cell>
          <cell r="E11807">
            <v>46183</v>
          </cell>
        </row>
        <row r="11808">
          <cell r="A11808" t="str">
            <v>2614Z727</v>
          </cell>
          <cell r="D11808" t="str">
            <v>KBP74</v>
          </cell>
          <cell r="E11808">
            <v>46183</v>
          </cell>
        </row>
        <row r="11809">
          <cell r="A11809" t="str">
            <v>2622LI17</v>
          </cell>
          <cell r="D11809" t="str">
            <v>FTW700</v>
          </cell>
          <cell r="E11809">
            <v>46183</v>
          </cell>
        </row>
        <row r="11810">
          <cell r="A11810" t="str">
            <v>2614Z827</v>
          </cell>
          <cell r="D11810" t="str">
            <v>KBP74</v>
          </cell>
          <cell r="E11810">
            <v>46183</v>
          </cell>
        </row>
        <row r="11811">
          <cell r="A11811" t="str">
            <v>2621AZ67</v>
          </cell>
          <cell r="D11811" t="str">
            <v>KBP86</v>
          </cell>
          <cell r="E11811">
            <v>46183</v>
          </cell>
        </row>
        <row r="11812">
          <cell r="A11812" t="str">
            <v>2622LI17</v>
          </cell>
          <cell r="D11812" t="str">
            <v>FTW700</v>
          </cell>
          <cell r="E11812">
            <v>46183</v>
          </cell>
        </row>
        <row r="11813">
          <cell r="A11813" t="str">
            <v>2621EH67</v>
          </cell>
          <cell r="D11813" t="str">
            <v>HV80</v>
          </cell>
          <cell r="E11813">
            <v>46183</v>
          </cell>
        </row>
        <row r="11814">
          <cell r="A11814" t="str">
            <v>2622LW17</v>
          </cell>
          <cell r="D11814" t="str">
            <v>FTW700</v>
          </cell>
          <cell r="E11814">
            <v>46183</v>
          </cell>
        </row>
        <row r="11815">
          <cell r="A11815" t="str">
            <v>2621AZ67</v>
          </cell>
          <cell r="D11815" t="str">
            <v>KBP86S</v>
          </cell>
          <cell r="E11815">
            <v>46183</v>
          </cell>
        </row>
        <row r="11816">
          <cell r="A11816" t="str">
            <v>2622KE17</v>
          </cell>
          <cell r="D11816" t="str">
            <v>KBP86</v>
          </cell>
          <cell r="E11816">
            <v>46183</v>
          </cell>
        </row>
        <row r="11817">
          <cell r="A11817" t="str">
            <v>2621E667</v>
          </cell>
          <cell r="D11817" t="str">
            <v>HV80</v>
          </cell>
          <cell r="E11817">
            <v>46183</v>
          </cell>
        </row>
        <row r="11818">
          <cell r="A11818" t="str">
            <v>2621D267</v>
          </cell>
          <cell r="D11818" t="str">
            <v>KBP86</v>
          </cell>
          <cell r="E11818">
            <v>46183</v>
          </cell>
        </row>
        <row r="11819">
          <cell r="A11819" t="str">
            <v>2622PP17</v>
          </cell>
          <cell r="D11819" t="str">
            <v>HV80</v>
          </cell>
          <cell r="E11819">
            <v>46183</v>
          </cell>
        </row>
        <row r="11820">
          <cell r="A11820" t="str">
            <v>2621ZN57</v>
          </cell>
          <cell r="D11820" t="str">
            <v>KBP86</v>
          </cell>
          <cell r="E11820">
            <v>46183</v>
          </cell>
        </row>
        <row r="11821">
          <cell r="A11821" t="str">
            <v>2622PW17</v>
          </cell>
          <cell r="D11821" t="str">
            <v>HV80</v>
          </cell>
          <cell r="E11821">
            <v>46183</v>
          </cell>
        </row>
        <row r="11822">
          <cell r="A11822" t="str">
            <v>2621U757</v>
          </cell>
          <cell r="D11822" t="str">
            <v>S15MB</v>
          </cell>
          <cell r="E11822">
            <v>46183</v>
          </cell>
        </row>
        <row r="11823">
          <cell r="A11823" t="str">
            <v>2622LE27</v>
          </cell>
          <cell r="D11823" t="str">
            <v>KBP86</v>
          </cell>
          <cell r="E11823">
            <v>46183</v>
          </cell>
        </row>
        <row r="11824">
          <cell r="A11824" t="str">
            <v>2622OY17</v>
          </cell>
          <cell r="D11824" t="str">
            <v>KBP86</v>
          </cell>
          <cell r="E11824">
            <v>46183</v>
          </cell>
        </row>
        <row r="11825">
          <cell r="A11825" t="str">
            <v>2621OB37</v>
          </cell>
          <cell r="D11825" t="str">
            <v>KBP55</v>
          </cell>
          <cell r="E11825">
            <v>46183</v>
          </cell>
        </row>
        <row r="11826">
          <cell r="A11826" t="str">
            <v>2618BN57</v>
          </cell>
          <cell r="D11826" t="str">
            <v>KBP52</v>
          </cell>
          <cell r="E11826">
            <v>46183</v>
          </cell>
        </row>
        <row r="11827">
          <cell r="A11827" t="str">
            <v>2621WI57</v>
          </cell>
          <cell r="D11827" t="str">
            <v>TTS50</v>
          </cell>
          <cell r="E11827">
            <v>46183</v>
          </cell>
        </row>
        <row r="11828">
          <cell r="A11828" t="str">
            <v>2621I967</v>
          </cell>
          <cell r="D11828" t="str">
            <v>FTP200</v>
          </cell>
          <cell r="E11828">
            <v>46183</v>
          </cell>
        </row>
        <row r="11829">
          <cell r="A11829" t="str">
            <v>2622L737</v>
          </cell>
          <cell r="D11829" t="str">
            <v>FTW121KE</v>
          </cell>
          <cell r="E11829">
            <v>46183</v>
          </cell>
        </row>
        <row r="11830">
          <cell r="A11830" t="str">
            <v>2621O947</v>
          </cell>
          <cell r="D11830" t="str">
            <v>KBP86</v>
          </cell>
          <cell r="E11830">
            <v>46183</v>
          </cell>
        </row>
        <row r="11831">
          <cell r="A11831" t="str">
            <v>2622P217</v>
          </cell>
          <cell r="D11831" t="str">
            <v>KBP86</v>
          </cell>
          <cell r="E11831">
            <v>46183</v>
          </cell>
        </row>
        <row r="11832">
          <cell r="A11832" t="str">
            <v>2622P937</v>
          </cell>
          <cell r="D11832" t="str">
            <v>KBP86</v>
          </cell>
          <cell r="E11832">
            <v>46183</v>
          </cell>
        </row>
        <row r="11833">
          <cell r="A11833" t="str">
            <v>2617OK57</v>
          </cell>
          <cell r="D11833" t="str">
            <v>FTW503</v>
          </cell>
          <cell r="E11833">
            <v>46183</v>
          </cell>
        </row>
        <row r="11834">
          <cell r="A11834" t="str">
            <v>2622S247</v>
          </cell>
          <cell r="D11834" t="str">
            <v>KBP86</v>
          </cell>
          <cell r="E11834">
            <v>46183</v>
          </cell>
        </row>
        <row r="11835">
          <cell r="A11835" t="str">
            <v>2621DY67</v>
          </cell>
          <cell r="D11835" t="str">
            <v>HV80</v>
          </cell>
          <cell r="E11835">
            <v>46183</v>
          </cell>
        </row>
        <row r="11836">
          <cell r="A11836" t="str">
            <v>2621LO27</v>
          </cell>
          <cell r="D11836" t="str">
            <v>HV80</v>
          </cell>
          <cell r="E11836">
            <v>46183</v>
          </cell>
        </row>
        <row r="11837">
          <cell r="A11837" t="str">
            <v>2622PT17</v>
          </cell>
          <cell r="D11837" t="str">
            <v>HV80</v>
          </cell>
          <cell r="E11837">
            <v>46183</v>
          </cell>
        </row>
        <row r="11838">
          <cell r="A11838" t="str">
            <v>2621E667</v>
          </cell>
          <cell r="D11838" t="str">
            <v>HV80</v>
          </cell>
          <cell r="E11838">
            <v>46183</v>
          </cell>
        </row>
        <row r="11839">
          <cell r="A11839" t="str">
            <v>2621DX67</v>
          </cell>
          <cell r="D11839" t="str">
            <v>HV80</v>
          </cell>
          <cell r="E11839">
            <v>46183</v>
          </cell>
        </row>
        <row r="11840">
          <cell r="A11840" t="str">
            <v>2621EH67</v>
          </cell>
          <cell r="D11840" t="str">
            <v>HV80</v>
          </cell>
          <cell r="E11840">
            <v>46183</v>
          </cell>
        </row>
        <row r="11841">
          <cell r="A11841" t="str">
            <v>2620P337</v>
          </cell>
          <cell r="D11841" t="str">
            <v>HV80</v>
          </cell>
          <cell r="E11841">
            <v>46183</v>
          </cell>
        </row>
        <row r="11842">
          <cell r="A11842" t="str">
            <v>2622PP17</v>
          </cell>
          <cell r="D11842" t="str">
            <v>HV80</v>
          </cell>
          <cell r="E11842">
            <v>46183</v>
          </cell>
        </row>
        <row r="11843">
          <cell r="A11843" t="str">
            <v>2621E467</v>
          </cell>
          <cell r="D11843" t="str">
            <v>HV80</v>
          </cell>
          <cell r="E11843">
            <v>46183</v>
          </cell>
        </row>
        <row r="11844">
          <cell r="A11844" t="str">
            <v>2622PW17</v>
          </cell>
          <cell r="D11844" t="str">
            <v>HV80</v>
          </cell>
          <cell r="E11844">
            <v>46183</v>
          </cell>
        </row>
        <row r="11845">
          <cell r="A11845" t="str">
            <v>2622HZ37</v>
          </cell>
          <cell r="D11845" t="str">
            <v>KBP76</v>
          </cell>
          <cell r="E11845">
            <v>46183</v>
          </cell>
        </row>
        <row r="11846">
          <cell r="A11846" t="str">
            <v>2622I137</v>
          </cell>
          <cell r="D11846" t="str">
            <v>KBP76</v>
          </cell>
          <cell r="E11846">
            <v>46183</v>
          </cell>
        </row>
        <row r="11847">
          <cell r="A11847" t="str">
            <v>2622OV27</v>
          </cell>
          <cell r="D11847" t="str">
            <v>S706</v>
          </cell>
          <cell r="E11847">
            <v>46183</v>
          </cell>
        </row>
        <row r="11848">
          <cell r="A11848" t="str">
            <v>2622PZ37</v>
          </cell>
          <cell r="D11848" t="str">
            <v>S706</v>
          </cell>
          <cell r="E11848">
            <v>46183</v>
          </cell>
        </row>
        <row r="11849">
          <cell r="A11849" t="str">
            <v>2622Q137</v>
          </cell>
          <cell r="D11849" t="str">
            <v>S706</v>
          </cell>
          <cell r="E11849">
            <v>46183</v>
          </cell>
        </row>
        <row r="11850">
          <cell r="A11850" t="str">
            <v>2622P127</v>
          </cell>
          <cell r="D11850" t="str">
            <v>S706</v>
          </cell>
          <cell r="E11850">
            <v>46183</v>
          </cell>
        </row>
        <row r="11851">
          <cell r="A11851" t="str">
            <v>2622PS37</v>
          </cell>
          <cell r="D11851" t="str">
            <v>S706</v>
          </cell>
          <cell r="E11851">
            <v>46183</v>
          </cell>
        </row>
        <row r="11852">
          <cell r="A11852" t="str">
            <v>2622PT37</v>
          </cell>
          <cell r="D11852" t="str">
            <v>S706</v>
          </cell>
          <cell r="E11852">
            <v>46183</v>
          </cell>
        </row>
        <row r="11853">
          <cell r="A11853" t="str">
            <v>2622PW37</v>
          </cell>
          <cell r="D11853" t="str">
            <v>S706</v>
          </cell>
          <cell r="E11853">
            <v>46183</v>
          </cell>
        </row>
        <row r="11854">
          <cell r="A11854" t="str">
            <v>2620E647</v>
          </cell>
          <cell r="D11854" t="str">
            <v>TTS50</v>
          </cell>
          <cell r="E11854">
            <v>46183</v>
          </cell>
        </row>
        <row r="11855">
          <cell r="A11855" t="str">
            <v>2549ZR27</v>
          </cell>
          <cell r="D11855" t="str">
            <v>FTW121KE</v>
          </cell>
          <cell r="E11855">
            <v>46183</v>
          </cell>
        </row>
        <row r="11856">
          <cell r="A11856" t="str">
            <v>2622LT37</v>
          </cell>
          <cell r="D11856" t="str">
            <v>FTW121KR</v>
          </cell>
          <cell r="E11856">
            <v>46183</v>
          </cell>
        </row>
        <row r="11857">
          <cell r="A11857" t="str">
            <v>2622PY27</v>
          </cell>
          <cell r="D11857" t="str">
            <v>KBP76</v>
          </cell>
          <cell r="E11857">
            <v>46183</v>
          </cell>
        </row>
        <row r="11858">
          <cell r="A11858" t="str">
            <v>2622OG17</v>
          </cell>
          <cell r="D11858" t="str">
            <v>FTW121KE</v>
          </cell>
          <cell r="E11858">
            <v>46183</v>
          </cell>
        </row>
        <row r="11859">
          <cell r="A11859" t="str">
            <v>2622IX37</v>
          </cell>
          <cell r="D11859" t="str">
            <v>S706</v>
          </cell>
          <cell r="E11859">
            <v>46183</v>
          </cell>
        </row>
        <row r="11860">
          <cell r="A11860" t="str">
            <v>2622QX37</v>
          </cell>
          <cell r="D11860" t="str">
            <v>KBP76</v>
          </cell>
          <cell r="E11860">
            <v>46183</v>
          </cell>
        </row>
        <row r="11861">
          <cell r="A11861" t="str">
            <v>2621PX47</v>
          </cell>
          <cell r="D11861" t="str">
            <v>KBP55</v>
          </cell>
          <cell r="E11861">
            <v>46183</v>
          </cell>
        </row>
        <row r="11862">
          <cell r="A11862" t="str">
            <v>2618K217</v>
          </cell>
          <cell r="D11862" t="str">
            <v>FTP200</v>
          </cell>
          <cell r="E11862">
            <v>46183</v>
          </cell>
        </row>
        <row r="11863">
          <cell r="A11863" t="str">
            <v>2621KD47</v>
          </cell>
          <cell r="D11863" t="str">
            <v>TTS50</v>
          </cell>
          <cell r="E11863">
            <v>46183</v>
          </cell>
        </row>
        <row r="11864">
          <cell r="A11864" t="str">
            <v>2606FH57</v>
          </cell>
          <cell r="D11864" t="str">
            <v>KBP52</v>
          </cell>
          <cell r="E11864">
            <v>46183</v>
          </cell>
        </row>
        <row r="11865">
          <cell r="A11865" t="str">
            <v>2620X657</v>
          </cell>
          <cell r="D11865" t="str">
            <v>KBP52</v>
          </cell>
          <cell r="E11865">
            <v>46183</v>
          </cell>
        </row>
        <row r="11866">
          <cell r="A11866" t="str">
            <v>2622K917</v>
          </cell>
          <cell r="D11866" t="str">
            <v>S15MB</v>
          </cell>
          <cell r="E11866">
            <v>46183</v>
          </cell>
        </row>
        <row r="11867">
          <cell r="A11867" t="str">
            <v>2622KG17</v>
          </cell>
          <cell r="D11867" t="str">
            <v>KBP86</v>
          </cell>
          <cell r="E11867">
            <v>46183</v>
          </cell>
        </row>
        <row r="11868">
          <cell r="A11868" t="str">
            <v>2622LN27</v>
          </cell>
          <cell r="D11868" t="str">
            <v>KBP52</v>
          </cell>
          <cell r="E11868">
            <v>46183</v>
          </cell>
        </row>
        <row r="11869">
          <cell r="A11869" t="str">
            <v>2621D767</v>
          </cell>
          <cell r="D11869" t="str">
            <v>KBP52</v>
          </cell>
          <cell r="E11869">
            <v>46183</v>
          </cell>
        </row>
        <row r="11870">
          <cell r="A11870" t="str">
            <v>2621Q617</v>
          </cell>
          <cell r="D11870" t="str">
            <v>KBP86</v>
          </cell>
          <cell r="E11870">
            <v>46183</v>
          </cell>
        </row>
        <row r="11871">
          <cell r="A11871" t="str">
            <v>2616OU57</v>
          </cell>
          <cell r="D11871" t="str">
            <v>FTW503</v>
          </cell>
          <cell r="E11871">
            <v>46183</v>
          </cell>
        </row>
        <row r="11872">
          <cell r="A11872" t="str">
            <v>2613BF27</v>
          </cell>
          <cell r="D11872" t="str">
            <v>FTW503</v>
          </cell>
          <cell r="E11872">
            <v>46183</v>
          </cell>
        </row>
        <row r="11873">
          <cell r="A11873" t="str">
            <v>2621U857</v>
          </cell>
          <cell r="D11873" t="str">
            <v>S15MB</v>
          </cell>
          <cell r="E11873">
            <v>46183</v>
          </cell>
        </row>
        <row r="11874">
          <cell r="A11874" t="str">
            <v>2614OS27</v>
          </cell>
          <cell r="D11874" t="str">
            <v>STA156KA</v>
          </cell>
          <cell r="E11874">
            <v>46183</v>
          </cell>
        </row>
        <row r="11875">
          <cell r="A11875" t="str">
            <v>2617L117</v>
          </cell>
          <cell r="D11875" t="str">
            <v>FTP200</v>
          </cell>
          <cell r="E11875">
            <v>46183</v>
          </cell>
        </row>
        <row r="11876">
          <cell r="A11876" t="str">
            <v>2621QP27</v>
          </cell>
          <cell r="D11876" t="str">
            <v>KBP86</v>
          </cell>
          <cell r="E11876">
            <v>46183</v>
          </cell>
        </row>
        <row r="11877">
          <cell r="A11877" t="str">
            <v>2621J537</v>
          </cell>
          <cell r="D11877" t="str">
            <v>TTS50</v>
          </cell>
          <cell r="E11877">
            <v>46183</v>
          </cell>
        </row>
        <row r="11878">
          <cell r="A11878" t="str">
            <v>2622LY47</v>
          </cell>
          <cell r="D11878" t="str">
            <v>S706</v>
          </cell>
          <cell r="E11878">
            <v>46183</v>
          </cell>
        </row>
        <row r="11879">
          <cell r="A11879" t="str">
            <v>2622H327</v>
          </cell>
          <cell r="D11879" t="str">
            <v>KBP86</v>
          </cell>
          <cell r="E11879">
            <v>46183</v>
          </cell>
        </row>
        <row r="11880">
          <cell r="A11880" t="str">
            <v>2622KC27</v>
          </cell>
          <cell r="D11880" t="str">
            <v>FTW121KE</v>
          </cell>
          <cell r="E11880">
            <v>46183</v>
          </cell>
        </row>
        <row r="11881">
          <cell r="A11881" t="str">
            <v>2613CA27</v>
          </cell>
          <cell r="D11881" t="str">
            <v>FTW503</v>
          </cell>
          <cell r="E11881">
            <v>46183</v>
          </cell>
        </row>
        <row r="11882">
          <cell r="A11882" t="str">
            <v>2618GR27</v>
          </cell>
          <cell r="D11882" t="str">
            <v>FTW503</v>
          </cell>
          <cell r="E11882">
            <v>46183</v>
          </cell>
        </row>
        <row r="11883">
          <cell r="A11883" t="str">
            <v>2620J757</v>
          </cell>
          <cell r="D11883" t="str">
            <v>TTS80</v>
          </cell>
          <cell r="E11883">
            <v>46183</v>
          </cell>
        </row>
        <row r="11884">
          <cell r="A11884" t="str">
            <v>2622HM27</v>
          </cell>
          <cell r="D11884" t="str">
            <v>KBP76</v>
          </cell>
          <cell r="E11884">
            <v>46183</v>
          </cell>
        </row>
        <row r="11885">
          <cell r="A11885" t="str">
            <v>2622EW37</v>
          </cell>
          <cell r="D11885" t="str">
            <v>KBP86</v>
          </cell>
          <cell r="E11885">
            <v>46183</v>
          </cell>
        </row>
        <row r="11886">
          <cell r="A11886" t="str">
            <v>2621AZ67</v>
          </cell>
          <cell r="D11886" t="str">
            <v>KBP86</v>
          </cell>
          <cell r="E11886">
            <v>46183</v>
          </cell>
        </row>
        <row r="11887">
          <cell r="A11887" t="str">
            <v>2620EH67</v>
          </cell>
          <cell r="D11887" t="str">
            <v>KBP86</v>
          </cell>
          <cell r="E11887">
            <v>46183</v>
          </cell>
        </row>
        <row r="11888">
          <cell r="A11888" t="str">
            <v>2621IJ37</v>
          </cell>
          <cell r="D11888" t="str">
            <v>KBP86</v>
          </cell>
          <cell r="E11888">
            <v>46183</v>
          </cell>
        </row>
        <row r="11889">
          <cell r="A11889" t="str">
            <v>2621Q627</v>
          </cell>
          <cell r="D11889" t="str">
            <v>KBP55</v>
          </cell>
          <cell r="E11889">
            <v>46183</v>
          </cell>
        </row>
        <row r="11890">
          <cell r="A11890" t="str">
            <v>2621U657</v>
          </cell>
          <cell r="D11890" t="str">
            <v>S15MB</v>
          </cell>
          <cell r="E11890">
            <v>46183</v>
          </cell>
        </row>
        <row r="11891">
          <cell r="A11891" t="str">
            <v>2617KY27</v>
          </cell>
          <cell r="D11891" t="str">
            <v>FTW503</v>
          </cell>
          <cell r="E11891">
            <v>46183</v>
          </cell>
        </row>
        <row r="11892">
          <cell r="A11892" t="str">
            <v>2620DR67</v>
          </cell>
          <cell r="D11892" t="str">
            <v>KBP86</v>
          </cell>
          <cell r="E11892">
            <v>46183</v>
          </cell>
        </row>
        <row r="11893">
          <cell r="A11893" t="str">
            <v>2621L217</v>
          </cell>
          <cell r="D11893" t="str">
            <v>KBP86</v>
          </cell>
          <cell r="E11893">
            <v>46183</v>
          </cell>
        </row>
        <row r="11894">
          <cell r="A11894" t="str">
            <v>2622EJ27</v>
          </cell>
          <cell r="D11894" t="str">
            <v>KBP86</v>
          </cell>
          <cell r="E11894">
            <v>46183</v>
          </cell>
        </row>
        <row r="11895">
          <cell r="A11895" t="str">
            <v>2621OE47</v>
          </cell>
          <cell r="D11895" t="str">
            <v>KBP86</v>
          </cell>
          <cell r="E11895">
            <v>46183</v>
          </cell>
        </row>
        <row r="11896">
          <cell r="A11896" t="str">
            <v>2622AN67</v>
          </cell>
          <cell r="D11896" t="str">
            <v>KBP86</v>
          </cell>
          <cell r="E11896">
            <v>46183</v>
          </cell>
        </row>
        <row r="11897">
          <cell r="A11897" t="str">
            <v>2621DV67</v>
          </cell>
          <cell r="D11897" t="str">
            <v>KBP52</v>
          </cell>
          <cell r="E11897">
            <v>46183</v>
          </cell>
        </row>
        <row r="11898">
          <cell r="A11898" t="str">
            <v>2621IQ67</v>
          </cell>
          <cell r="D11898" t="str">
            <v>TTS80</v>
          </cell>
          <cell r="E11898">
            <v>46183</v>
          </cell>
        </row>
        <row r="11899">
          <cell r="A11899" t="str">
            <v>2622L517</v>
          </cell>
          <cell r="D11899" t="str">
            <v>FTP150</v>
          </cell>
          <cell r="E11899">
            <v>46183</v>
          </cell>
        </row>
        <row r="11900">
          <cell r="A11900" t="str">
            <v>2622QT17</v>
          </cell>
          <cell r="D11900" t="str">
            <v>KBP76</v>
          </cell>
          <cell r="E11900">
            <v>46183</v>
          </cell>
        </row>
        <row r="11901">
          <cell r="A11901" t="str">
            <v>2622IQ37</v>
          </cell>
          <cell r="D11901" t="str">
            <v>S706</v>
          </cell>
          <cell r="E11901">
            <v>46183</v>
          </cell>
        </row>
        <row r="11902">
          <cell r="A11902" t="str">
            <v>2622ON17</v>
          </cell>
          <cell r="D11902" t="str">
            <v>FTW121KE</v>
          </cell>
          <cell r="E11902">
            <v>46183</v>
          </cell>
        </row>
        <row r="11903">
          <cell r="A11903" t="str">
            <v>2622OX37</v>
          </cell>
          <cell r="D11903" t="str">
            <v>KBP52</v>
          </cell>
          <cell r="E11903">
            <v>46183</v>
          </cell>
        </row>
        <row r="11904">
          <cell r="A11904" t="str">
            <v>2619FZ67</v>
          </cell>
          <cell r="D11904" t="str">
            <v>FTP200</v>
          </cell>
          <cell r="E11904">
            <v>46183</v>
          </cell>
        </row>
        <row r="11905">
          <cell r="A11905" t="str">
            <v>2621WG57</v>
          </cell>
          <cell r="D11905" t="str">
            <v>TTS50</v>
          </cell>
          <cell r="E11905">
            <v>46183</v>
          </cell>
        </row>
        <row r="11906">
          <cell r="A11906" t="str">
            <v>2622K427</v>
          </cell>
          <cell r="D11906" t="str">
            <v>FTW121KE</v>
          </cell>
          <cell r="E11906">
            <v>46183</v>
          </cell>
        </row>
        <row r="11907">
          <cell r="A11907" t="str">
            <v>2622H527</v>
          </cell>
          <cell r="D11907" t="str">
            <v>KBP86</v>
          </cell>
          <cell r="E11907">
            <v>46183</v>
          </cell>
        </row>
        <row r="11908">
          <cell r="A11908" t="str">
            <v>2621CV57</v>
          </cell>
          <cell r="D11908" t="str">
            <v>KBP76</v>
          </cell>
          <cell r="E11908">
            <v>46183</v>
          </cell>
        </row>
        <row r="11909">
          <cell r="A11909" t="str">
            <v>2622H827</v>
          </cell>
          <cell r="D11909" t="str">
            <v>KBP86</v>
          </cell>
          <cell r="E11909">
            <v>46183</v>
          </cell>
        </row>
        <row r="11910">
          <cell r="A11910" t="str">
            <v>2621WJ57</v>
          </cell>
          <cell r="D11910" t="str">
            <v>TTS50</v>
          </cell>
          <cell r="E11910">
            <v>46183</v>
          </cell>
        </row>
        <row r="11911">
          <cell r="A11911" t="str">
            <v>2621U957</v>
          </cell>
          <cell r="D11911" t="str">
            <v>S15MB</v>
          </cell>
          <cell r="E11911">
            <v>46183</v>
          </cell>
        </row>
        <row r="11912">
          <cell r="A11912" t="str">
            <v>2622SR17</v>
          </cell>
          <cell r="D11912" t="str">
            <v>TTS80</v>
          </cell>
          <cell r="E11912">
            <v>46183</v>
          </cell>
        </row>
        <row r="11913">
          <cell r="A11913" t="str">
            <v>2622OV17</v>
          </cell>
          <cell r="D11913" t="str">
            <v>KBP86</v>
          </cell>
          <cell r="E11913">
            <v>46183</v>
          </cell>
        </row>
        <row r="11914">
          <cell r="A11914" t="str">
            <v>2617IZ47</v>
          </cell>
          <cell r="D11914" t="str">
            <v>FTW503</v>
          </cell>
          <cell r="E11914">
            <v>46183</v>
          </cell>
        </row>
        <row r="11915">
          <cell r="A11915" t="str">
            <v>2621GF67</v>
          </cell>
          <cell r="D11915" t="str">
            <v>KBP76</v>
          </cell>
          <cell r="E11915">
            <v>46183</v>
          </cell>
        </row>
        <row r="11916">
          <cell r="A11916" t="str">
            <v>2622LS17</v>
          </cell>
          <cell r="D11916" t="str">
            <v>FTW700</v>
          </cell>
          <cell r="E11916">
            <v>46183</v>
          </cell>
        </row>
        <row r="11917">
          <cell r="A11917" t="str">
            <v>2622LM27</v>
          </cell>
          <cell r="D11917" t="str">
            <v>KBP52</v>
          </cell>
          <cell r="E11917">
            <v>46183</v>
          </cell>
        </row>
        <row r="11918">
          <cell r="A11918" t="str">
            <v>2621KQ37</v>
          </cell>
          <cell r="D11918" t="str">
            <v>KBP86</v>
          </cell>
          <cell r="E11918">
            <v>46183</v>
          </cell>
        </row>
        <row r="11919">
          <cell r="A11919" t="str">
            <v>2621JM27</v>
          </cell>
          <cell r="D11919" t="str">
            <v>KBP86</v>
          </cell>
          <cell r="E11919">
            <v>46183</v>
          </cell>
        </row>
        <row r="11920">
          <cell r="A11920" t="str">
            <v>2622LS47</v>
          </cell>
          <cell r="D11920" t="str">
            <v>S706</v>
          </cell>
          <cell r="E11920">
            <v>46183</v>
          </cell>
        </row>
        <row r="11921">
          <cell r="A11921" t="str">
            <v>2621ZS57</v>
          </cell>
          <cell r="D11921" t="str">
            <v>KBP86</v>
          </cell>
          <cell r="E11921">
            <v>46183</v>
          </cell>
        </row>
        <row r="11922">
          <cell r="A11922" t="str">
            <v>2621UG17</v>
          </cell>
          <cell r="D11922" t="str">
            <v>KBP86</v>
          </cell>
          <cell r="E11922">
            <v>46183</v>
          </cell>
        </row>
        <row r="11923">
          <cell r="A11923" t="str">
            <v>2622QS37</v>
          </cell>
          <cell r="D11923" t="str">
            <v>KBP76</v>
          </cell>
          <cell r="E11923">
            <v>46183</v>
          </cell>
        </row>
        <row r="11924">
          <cell r="A11924" t="str">
            <v>2622O717</v>
          </cell>
          <cell r="D11924" t="str">
            <v>FTW121KE</v>
          </cell>
          <cell r="E11924">
            <v>46183</v>
          </cell>
        </row>
        <row r="11925">
          <cell r="A11925" t="str">
            <v>2620JC57</v>
          </cell>
          <cell r="D11925" t="str">
            <v>KBP55</v>
          </cell>
          <cell r="E11925">
            <v>46183</v>
          </cell>
        </row>
        <row r="11926">
          <cell r="A11926" t="str">
            <v>2622ID27</v>
          </cell>
          <cell r="D11926" t="str">
            <v>FTP150</v>
          </cell>
          <cell r="E11926">
            <v>46183</v>
          </cell>
        </row>
        <row r="11927">
          <cell r="A11927" t="str">
            <v>2617IR17</v>
          </cell>
          <cell r="D11927" t="str">
            <v>FTW503</v>
          </cell>
          <cell r="E11927">
            <v>46183</v>
          </cell>
        </row>
        <row r="11928">
          <cell r="A11928" t="str">
            <v>2622LW17</v>
          </cell>
          <cell r="D11928" t="str">
            <v>FTW700</v>
          </cell>
          <cell r="E11928">
            <v>46183</v>
          </cell>
        </row>
        <row r="11929">
          <cell r="A11929" t="str">
            <v>2621IU67</v>
          </cell>
          <cell r="D11929" t="str">
            <v>TTS80</v>
          </cell>
          <cell r="E11929">
            <v>46183</v>
          </cell>
        </row>
        <row r="11930">
          <cell r="A11930" t="str">
            <v>2622I427</v>
          </cell>
          <cell r="D11930" t="str">
            <v>S706</v>
          </cell>
          <cell r="E11930">
            <v>46183</v>
          </cell>
        </row>
        <row r="11931">
          <cell r="A11931" t="str">
            <v>2622IV37</v>
          </cell>
          <cell r="D11931" t="str">
            <v>S706</v>
          </cell>
          <cell r="E11931">
            <v>46183</v>
          </cell>
        </row>
        <row r="11932">
          <cell r="A11932" t="str">
            <v>2613C327</v>
          </cell>
          <cell r="D11932" t="str">
            <v>FTW503</v>
          </cell>
          <cell r="E11932">
            <v>46183</v>
          </cell>
        </row>
        <row r="11933">
          <cell r="A11933" t="str">
            <v>2622JW27</v>
          </cell>
          <cell r="D11933" t="str">
            <v>FTW102K</v>
          </cell>
          <cell r="E11933">
            <v>46183</v>
          </cell>
        </row>
        <row r="11934">
          <cell r="A11934" t="str">
            <v>2621LW47</v>
          </cell>
          <cell r="D11934" t="str">
            <v>KBP86</v>
          </cell>
          <cell r="E11934">
            <v>46183</v>
          </cell>
        </row>
        <row r="11935">
          <cell r="A11935" t="str">
            <v>2621L647</v>
          </cell>
          <cell r="D11935" t="str">
            <v>FTW121KE</v>
          </cell>
          <cell r="E11935">
            <v>46183</v>
          </cell>
        </row>
        <row r="11936">
          <cell r="A11936" t="str">
            <v>2622H227</v>
          </cell>
          <cell r="D11936" t="str">
            <v>KBP86</v>
          </cell>
          <cell r="E11936">
            <v>46183</v>
          </cell>
        </row>
        <row r="11937">
          <cell r="A11937" t="str">
            <v>2622QS17</v>
          </cell>
          <cell r="D11937" t="str">
            <v>KBP76</v>
          </cell>
          <cell r="E11937">
            <v>46183</v>
          </cell>
        </row>
        <row r="11938">
          <cell r="A11938" t="str">
            <v>2621UA57</v>
          </cell>
          <cell r="D11938" t="str">
            <v>S15MB</v>
          </cell>
          <cell r="E11938">
            <v>46183</v>
          </cell>
        </row>
        <row r="11939">
          <cell r="A11939" t="str">
            <v>2621JI27</v>
          </cell>
          <cell r="D11939" t="str">
            <v>KBP86</v>
          </cell>
          <cell r="E11939">
            <v>46183</v>
          </cell>
        </row>
        <row r="11940">
          <cell r="A11940" t="str">
            <v>2622SW17</v>
          </cell>
          <cell r="D11940" t="str">
            <v>TTS80</v>
          </cell>
          <cell r="E11940">
            <v>46183</v>
          </cell>
        </row>
        <row r="11941">
          <cell r="A11941" t="str">
            <v>2621DB67</v>
          </cell>
          <cell r="D11941" t="str">
            <v>KBP52</v>
          </cell>
          <cell r="E11941">
            <v>46183</v>
          </cell>
        </row>
        <row r="11942">
          <cell r="A11942" t="str">
            <v>2621K947</v>
          </cell>
          <cell r="D11942" t="str">
            <v>FTW503</v>
          </cell>
          <cell r="E11942">
            <v>46183</v>
          </cell>
        </row>
        <row r="11943">
          <cell r="A11943" t="str">
            <v>2622I127</v>
          </cell>
          <cell r="D11943" t="str">
            <v>S706</v>
          </cell>
          <cell r="E11943">
            <v>46183</v>
          </cell>
        </row>
        <row r="11944">
          <cell r="A11944" t="str">
            <v>2622O937</v>
          </cell>
          <cell r="D11944" t="str">
            <v>KBP86</v>
          </cell>
          <cell r="E11944">
            <v>46183</v>
          </cell>
        </row>
        <row r="11945">
          <cell r="A11945" t="str">
            <v>2622V547</v>
          </cell>
          <cell r="D11945" t="str">
            <v>TTS50</v>
          </cell>
          <cell r="E11945">
            <v>46183</v>
          </cell>
        </row>
        <row r="11946">
          <cell r="A11946" t="str">
            <v>2619AF57</v>
          </cell>
          <cell r="D11946" t="str">
            <v>FTW102K</v>
          </cell>
          <cell r="E11946">
            <v>46183</v>
          </cell>
        </row>
        <row r="11947">
          <cell r="A11947" t="str">
            <v>2622CS27</v>
          </cell>
          <cell r="D11947" t="str">
            <v>S15MB</v>
          </cell>
          <cell r="E11947">
            <v>46183</v>
          </cell>
        </row>
        <row r="11948">
          <cell r="A11948" t="str">
            <v>2621ZZ57</v>
          </cell>
          <cell r="D11948" t="str">
            <v>KBP86</v>
          </cell>
          <cell r="E11948">
            <v>46183</v>
          </cell>
        </row>
        <row r="11949">
          <cell r="A11949" t="str">
            <v>2604ZU37</v>
          </cell>
          <cell r="D11949" t="str">
            <v>KBP52</v>
          </cell>
          <cell r="E11949">
            <v>46183</v>
          </cell>
        </row>
        <row r="11950">
          <cell r="A11950" t="str">
            <v>2622PF17</v>
          </cell>
          <cell r="D11950" t="str">
            <v>KBP52</v>
          </cell>
          <cell r="E11950">
            <v>46183</v>
          </cell>
        </row>
        <row r="11951">
          <cell r="A11951" t="str">
            <v>2621PD47</v>
          </cell>
          <cell r="D11951" t="str">
            <v>TTS50</v>
          </cell>
          <cell r="E11951">
            <v>46183</v>
          </cell>
        </row>
        <row r="11952">
          <cell r="A11952" t="str">
            <v>2622L237</v>
          </cell>
          <cell r="D11952" t="str">
            <v>FTW121KE</v>
          </cell>
          <cell r="E11952">
            <v>46183</v>
          </cell>
        </row>
        <row r="11953">
          <cell r="A11953" t="str">
            <v>2622DE57</v>
          </cell>
          <cell r="D11953" t="str">
            <v>FTW700</v>
          </cell>
          <cell r="E11953">
            <v>46183</v>
          </cell>
        </row>
        <row r="11954">
          <cell r="A11954" t="str">
            <v>2621VW57</v>
          </cell>
          <cell r="D11954" t="str">
            <v>KBP76</v>
          </cell>
          <cell r="E11954">
            <v>46183</v>
          </cell>
        </row>
        <row r="11955">
          <cell r="A11955" t="str">
            <v>2621CX67</v>
          </cell>
          <cell r="D11955" t="str">
            <v>KBP86</v>
          </cell>
          <cell r="E11955">
            <v>46183</v>
          </cell>
        </row>
        <row r="11956">
          <cell r="A11956" t="str">
            <v>2622QP27</v>
          </cell>
          <cell r="D11956" t="str">
            <v>TTS80</v>
          </cell>
          <cell r="E11956">
            <v>46183</v>
          </cell>
        </row>
        <row r="11957">
          <cell r="A11957" t="str">
            <v>2622OW17</v>
          </cell>
          <cell r="D11957" t="str">
            <v>KBP86</v>
          </cell>
          <cell r="E11957">
            <v>46183</v>
          </cell>
        </row>
        <row r="11958">
          <cell r="A11958" t="str">
            <v>2621PY47</v>
          </cell>
          <cell r="D11958" t="str">
            <v>KBP55</v>
          </cell>
          <cell r="E11958">
            <v>46183</v>
          </cell>
        </row>
        <row r="11959">
          <cell r="A11959" t="str">
            <v>2621PQ47</v>
          </cell>
          <cell r="D11959" t="str">
            <v>KBP76</v>
          </cell>
          <cell r="E11959">
            <v>46183</v>
          </cell>
        </row>
        <row r="11960">
          <cell r="A11960" t="str">
            <v>2614DD50</v>
          </cell>
          <cell r="D11960" t="str">
            <v>TTS125</v>
          </cell>
          <cell r="E11960">
            <v>46183</v>
          </cell>
        </row>
        <row r="11961">
          <cell r="A11961" t="str">
            <v>2622KI17</v>
          </cell>
          <cell r="D11961" t="str">
            <v>KBP86</v>
          </cell>
          <cell r="E11961">
            <v>46183</v>
          </cell>
        </row>
        <row r="11962">
          <cell r="A11962" t="str">
            <v>2622O617</v>
          </cell>
          <cell r="D11962" t="str">
            <v>FTW121KE</v>
          </cell>
          <cell r="E11962">
            <v>46183</v>
          </cell>
        </row>
        <row r="11963">
          <cell r="A11963" t="str">
            <v>2622KX37</v>
          </cell>
          <cell r="D11963" t="str">
            <v>FTW121KE</v>
          </cell>
          <cell r="E11963">
            <v>46183</v>
          </cell>
        </row>
        <row r="11964">
          <cell r="A11964" t="str">
            <v>2622LP37</v>
          </cell>
          <cell r="D11964" t="str">
            <v>FTW121KE</v>
          </cell>
          <cell r="E11964">
            <v>46183</v>
          </cell>
        </row>
        <row r="11965">
          <cell r="A11965" t="str">
            <v>2622OL17</v>
          </cell>
          <cell r="D11965" t="str">
            <v>FTW121KE</v>
          </cell>
          <cell r="E11965">
            <v>46183</v>
          </cell>
        </row>
        <row r="11966">
          <cell r="A11966" t="str">
            <v>2622QO17</v>
          </cell>
          <cell r="D11966" t="str">
            <v>KBP76</v>
          </cell>
          <cell r="E11966">
            <v>46183</v>
          </cell>
        </row>
        <row r="11967">
          <cell r="A11967" t="str">
            <v>2622PW47</v>
          </cell>
          <cell r="D11967" t="str">
            <v>FTW121KE</v>
          </cell>
          <cell r="E11967">
            <v>46183</v>
          </cell>
        </row>
        <row r="11968">
          <cell r="A11968" t="str">
            <v>2622KU17</v>
          </cell>
          <cell r="D11968" t="str">
            <v>S706</v>
          </cell>
          <cell r="E11968">
            <v>46183</v>
          </cell>
        </row>
        <row r="11969">
          <cell r="A11969" t="str">
            <v>2621F857</v>
          </cell>
          <cell r="D11969" t="str">
            <v>KBP55</v>
          </cell>
          <cell r="E11969">
            <v>46183</v>
          </cell>
        </row>
        <row r="11970">
          <cell r="A11970" t="str">
            <v>2622LX37</v>
          </cell>
          <cell r="D11970" t="str">
            <v>FTW121KE</v>
          </cell>
          <cell r="E11970">
            <v>46183</v>
          </cell>
        </row>
        <row r="11971">
          <cell r="A11971" t="str">
            <v>2621D857</v>
          </cell>
          <cell r="D11971" t="str">
            <v>FTP150</v>
          </cell>
          <cell r="E11971">
            <v>46183</v>
          </cell>
        </row>
        <row r="11972">
          <cell r="A11972" t="str">
            <v>2617PQ57</v>
          </cell>
          <cell r="D11972" t="str">
            <v>FTP200</v>
          </cell>
          <cell r="E11972">
            <v>46183</v>
          </cell>
        </row>
        <row r="11973">
          <cell r="A11973" t="str">
            <v>2622CT27</v>
          </cell>
          <cell r="D11973" t="str">
            <v>S15MB</v>
          </cell>
          <cell r="E11973">
            <v>46183</v>
          </cell>
        </row>
        <row r="11974">
          <cell r="A11974" t="str">
            <v>2621X657</v>
          </cell>
          <cell r="D11974" t="str">
            <v>FTW121KE</v>
          </cell>
          <cell r="E11974">
            <v>46183</v>
          </cell>
        </row>
        <row r="11975">
          <cell r="A11975" t="str">
            <v>2621XN57</v>
          </cell>
          <cell r="D11975" t="str">
            <v>FTW121KR</v>
          </cell>
          <cell r="E11975">
            <v>46183</v>
          </cell>
        </row>
        <row r="11976">
          <cell r="A11976" t="str">
            <v>2622QW17</v>
          </cell>
          <cell r="D11976" t="str">
            <v>KBP76</v>
          </cell>
          <cell r="E11976">
            <v>46183</v>
          </cell>
        </row>
        <row r="11977">
          <cell r="A11977" t="str">
            <v>2617IV17</v>
          </cell>
          <cell r="D11977" t="str">
            <v>FTW503</v>
          </cell>
          <cell r="E11977">
            <v>46183</v>
          </cell>
        </row>
        <row r="11978">
          <cell r="A11978" t="str">
            <v>2619IK37</v>
          </cell>
          <cell r="D11978" t="str">
            <v>TTS50</v>
          </cell>
          <cell r="E11978">
            <v>46183</v>
          </cell>
        </row>
        <row r="11979">
          <cell r="A11979" t="str">
            <v>2622LL37</v>
          </cell>
          <cell r="D11979" t="str">
            <v>FTW121KR</v>
          </cell>
          <cell r="E11979">
            <v>46183</v>
          </cell>
        </row>
        <row r="11980">
          <cell r="A11980" t="str">
            <v>2621A267</v>
          </cell>
          <cell r="D11980" t="str">
            <v>FTW121KR</v>
          </cell>
          <cell r="E11980">
            <v>46183</v>
          </cell>
        </row>
        <row r="11981">
          <cell r="A11981" t="str">
            <v>2621DU67</v>
          </cell>
          <cell r="D11981" t="str">
            <v>KBP52</v>
          </cell>
          <cell r="E11981">
            <v>46183</v>
          </cell>
        </row>
        <row r="11982">
          <cell r="A11982" t="str">
            <v>2620XK57</v>
          </cell>
          <cell r="D11982" t="str">
            <v>KBP86</v>
          </cell>
          <cell r="E11982">
            <v>46183</v>
          </cell>
        </row>
        <row r="11983">
          <cell r="A11983" t="str">
            <v>2622OW57</v>
          </cell>
          <cell r="D11983" t="str">
            <v>KBP86</v>
          </cell>
          <cell r="E11983">
            <v>46183</v>
          </cell>
        </row>
        <row r="11984">
          <cell r="A11984" t="str">
            <v>2622QO37</v>
          </cell>
          <cell r="D11984" t="str">
            <v>KBP76</v>
          </cell>
          <cell r="E11984">
            <v>46183</v>
          </cell>
        </row>
        <row r="11985">
          <cell r="A11985" t="str">
            <v>2621CN67</v>
          </cell>
          <cell r="D11985" t="str">
            <v>KBP86</v>
          </cell>
          <cell r="E11985">
            <v>46183</v>
          </cell>
        </row>
        <row r="11986">
          <cell r="A11986" t="str">
            <v>2621XB57</v>
          </cell>
          <cell r="D11986" t="str">
            <v>FTW121KR</v>
          </cell>
          <cell r="E11986">
            <v>46183</v>
          </cell>
        </row>
        <row r="11987">
          <cell r="A11987" t="str">
            <v>2621IN67</v>
          </cell>
          <cell r="D11987" t="str">
            <v>TTS80</v>
          </cell>
          <cell r="E11987">
            <v>46183</v>
          </cell>
        </row>
        <row r="11988">
          <cell r="A11988" t="str">
            <v>2620L117</v>
          </cell>
          <cell r="D11988" t="str">
            <v>TTS50</v>
          </cell>
          <cell r="E11988">
            <v>46183</v>
          </cell>
        </row>
        <row r="11989">
          <cell r="A11989" t="str">
            <v>2622OO17</v>
          </cell>
          <cell r="D11989" t="str">
            <v>FTW121KR</v>
          </cell>
          <cell r="E11989">
            <v>46183</v>
          </cell>
        </row>
        <row r="11990">
          <cell r="A11990" t="str">
            <v>2622IU37</v>
          </cell>
          <cell r="D11990" t="str">
            <v>S706</v>
          </cell>
          <cell r="E11990">
            <v>46182</v>
          </cell>
        </row>
        <row r="11991">
          <cell r="A11991" t="str">
            <v>2622PV17</v>
          </cell>
          <cell r="D11991" t="str">
            <v>HV80</v>
          </cell>
          <cell r="E11991">
            <v>46182</v>
          </cell>
        </row>
        <row r="11992">
          <cell r="A11992" t="str">
            <v>2614YD27</v>
          </cell>
          <cell r="D11992" t="str">
            <v>KBP74</v>
          </cell>
          <cell r="E11992">
            <v>46182</v>
          </cell>
        </row>
        <row r="11993">
          <cell r="A11993" t="str">
            <v>2621PF47</v>
          </cell>
          <cell r="D11993" t="str">
            <v>TTS50</v>
          </cell>
          <cell r="E11993">
            <v>46182</v>
          </cell>
        </row>
        <row r="11994">
          <cell r="A11994" t="str">
            <v>2622KV17</v>
          </cell>
          <cell r="D11994" t="str">
            <v>S706</v>
          </cell>
          <cell r="E11994">
            <v>46182</v>
          </cell>
        </row>
        <row r="11995">
          <cell r="A11995" t="str">
            <v>2622IU37</v>
          </cell>
          <cell r="D11995" t="str">
            <v>S706</v>
          </cell>
          <cell r="E11995">
            <v>46182</v>
          </cell>
        </row>
        <row r="11996">
          <cell r="A11996" t="str">
            <v>2614Z527</v>
          </cell>
          <cell r="D11996" t="str">
            <v>KBP74</v>
          </cell>
          <cell r="E11996">
            <v>46182</v>
          </cell>
        </row>
        <row r="11997">
          <cell r="A11997" t="str">
            <v>2622I327</v>
          </cell>
          <cell r="D11997" t="str">
            <v>S706</v>
          </cell>
          <cell r="E11997">
            <v>46182</v>
          </cell>
        </row>
        <row r="11998">
          <cell r="A11998" t="str">
            <v>2622IT37</v>
          </cell>
          <cell r="D11998" t="str">
            <v>S706</v>
          </cell>
          <cell r="E11998">
            <v>46182</v>
          </cell>
        </row>
        <row r="11999">
          <cell r="A11999" t="str">
            <v>2621E867</v>
          </cell>
          <cell r="D11999" t="str">
            <v>HV80</v>
          </cell>
          <cell r="E11999">
            <v>46182</v>
          </cell>
        </row>
        <row r="12000">
          <cell r="A12000" t="str">
            <v>2614Y437</v>
          </cell>
          <cell r="D12000" t="str">
            <v>KBP74</v>
          </cell>
          <cell r="E12000">
            <v>46182</v>
          </cell>
        </row>
        <row r="12001">
          <cell r="A12001" t="str">
            <v>2622PV27</v>
          </cell>
          <cell r="D12001" t="str">
            <v>KBP76</v>
          </cell>
          <cell r="E12001">
            <v>46182</v>
          </cell>
        </row>
        <row r="12002">
          <cell r="A12002" t="str">
            <v>2622IU37</v>
          </cell>
          <cell r="D12002" t="str">
            <v>S706</v>
          </cell>
          <cell r="E12002">
            <v>46182</v>
          </cell>
        </row>
        <row r="12003">
          <cell r="A12003" t="str">
            <v>2622KV17</v>
          </cell>
          <cell r="D12003" t="str">
            <v>S706</v>
          </cell>
          <cell r="E12003">
            <v>46182</v>
          </cell>
        </row>
        <row r="12004">
          <cell r="A12004" t="str">
            <v>2622KV17</v>
          </cell>
          <cell r="D12004" t="str">
            <v>S706</v>
          </cell>
          <cell r="E12004">
            <v>46182</v>
          </cell>
        </row>
        <row r="12005">
          <cell r="A12005" t="str">
            <v>2621OD37</v>
          </cell>
          <cell r="D12005" t="str">
            <v>KBP55</v>
          </cell>
          <cell r="E12005">
            <v>46182</v>
          </cell>
        </row>
        <row r="12006">
          <cell r="A12006" t="str">
            <v>2622IT37</v>
          </cell>
          <cell r="D12006" t="str">
            <v>S706</v>
          </cell>
          <cell r="E12006">
            <v>46182</v>
          </cell>
        </row>
        <row r="12007">
          <cell r="A12007" t="str">
            <v>2622IT37</v>
          </cell>
          <cell r="D12007" t="str">
            <v>S706</v>
          </cell>
          <cell r="E12007">
            <v>46182</v>
          </cell>
        </row>
        <row r="12008">
          <cell r="A12008" t="str">
            <v>2610Z447</v>
          </cell>
          <cell r="D12008" t="str">
            <v>KBP76</v>
          </cell>
          <cell r="E12008">
            <v>46182</v>
          </cell>
        </row>
        <row r="12009">
          <cell r="A12009" t="str">
            <v>2621PY27</v>
          </cell>
          <cell r="D12009" t="str">
            <v>KBP55</v>
          </cell>
          <cell r="E12009">
            <v>46182</v>
          </cell>
        </row>
        <row r="12010">
          <cell r="A12010" t="str">
            <v>2621WM57</v>
          </cell>
          <cell r="D12010" t="str">
            <v>FTW700</v>
          </cell>
          <cell r="E12010">
            <v>46182</v>
          </cell>
        </row>
        <row r="12011">
          <cell r="A12011" t="str">
            <v>2622I227</v>
          </cell>
          <cell r="D12011" t="str">
            <v>S706</v>
          </cell>
          <cell r="E12011">
            <v>46182</v>
          </cell>
        </row>
        <row r="12012">
          <cell r="A12012" t="str">
            <v>2621E557</v>
          </cell>
          <cell r="D12012" t="str">
            <v>FTW121KE</v>
          </cell>
          <cell r="E12012">
            <v>46182</v>
          </cell>
        </row>
        <row r="12013">
          <cell r="A12013" t="str">
            <v>2622IT37</v>
          </cell>
          <cell r="D12013" t="str">
            <v>S706</v>
          </cell>
          <cell r="E12013">
            <v>46182</v>
          </cell>
        </row>
        <row r="12014">
          <cell r="A12014" t="str">
            <v>2621WM57</v>
          </cell>
          <cell r="D12014" t="str">
            <v>FTW700</v>
          </cell>
          <cell r="E12014">
            <v>46182</v>
          </cell>
        </row>
        <row r="12015">
          <cell r="A12015" t="str">
            <v>2621F257</v>
          </cell>
          <cell r="D12015" t="str">
            <v>TTS50</v>
          </cell>
          <cell r="E12015">
            <v>46182</v>
          </cell>
        </row>
        <row r="12016">
          <cell r="A12016" t="str">
            <v>2619ZB47</v>
          </cell>
          <cell r="D12016" t="str">
            <v>KBP76</v>
          </cell>
          <cell r="E12016">
            <v>46182</v>
          </cell>
        </row>
        <row r="12017">
          <cell r="A12017" t="str">
            <v>2622EH27</v>
          </cell>
          <cell r="D12017" t="str">
            <v>KBP86</v>
          </cell>
          <cell r="E12017">
            <v>46182</v>
          </cell>
        </row>
        <row r="12018">
          <cell r="A12018" t="str">
            <v>2621DE67</v>
          </cell>
          <cell r="D12018" t="str">
            <v>KBP52</v>
          </cell>
          <cell r="E12018">
            <v>46182</v>
          </cell>
        </row>
        <row r="12019">
          <cell r="A12019" t="str">
            <v>2621LY27</v>
          </cell>
          <cell r="D12019" t="str">
            <v>TTS50</v>
          </cell>
          <cell r="E12019">
            <v>46182</v>
          </cell>
        </row>
        <row r="12020">
          <cell r="A12020" t="str">
            <v>2622S317</v>
          </cell>
          <cell r="D12020" t="str">
            <v>KBP44</v>
          </cell>
          <cell r="E12020">
            <v>46182</v>
          </cell>
        </row>
        <row r="12021">
          <cell r="A12021" t="str">
            <v>2621PF17</v>
          </cell>
          <cell r="D12021" t="str">
            <v>KBP86</v>
          </cell>
          <cell r="E12021">
            <v>46182</v>
          </cell>
        </row>
        <row r="12022">
          <cell r="A12022" t="str">
            <v>2620SR57</v>
          </cell>
          <cell r="D12022" t="str">
            <v>KBP126</v>
          </cell>
          <cell r="E12022">
            <v>46182</v>
          </cell>
        </row>
        <row r="12023">
          <cell r="A12023" t="str">
            <v>2621KI37</v>
          </cell>
          <cell r="D12023" t="str">
            <v>KBP86</v>
          </cell>
          <cell r="E12023">
            <v>46182</v>
          </cell>
        </row>
        <row r="12024">
          <cell r="A12024" t="str">
            <v>2622LL27</v>
          </cell>
          <cell r="D12024" t="str">
            <v>KBP52</v>
          </cell>
          <cell r="E12024">
            <v>46182</v>
          </cell>
        </row>
        <row r="12025">
          <cell r="A12025" t="str">
            <v>2622P237</v>
          </cell>
          <cell r="D12025" t="str">
            <v>KBP52</v>
          </cell>
          <cell r="E12025">
            <v>46182</v>
          </cell>
        </row>
        <row r="12026">
          <cell r="A12026" t="str">
            <v>2622KF17</v>
          </cell>
          <cell r="D12026" t="str">
            <v>KBP86</v>
          </cell>
          <cell r="E12026">
            <v>46182</v>
          </cell>
        </row>
        <row r="12027">
          <cell r="A12027" t="str">
            <v>2622QQ37</v>
          </cell>
          <cell r="D12027" t="str">
            <v>KBP76</v>
          </cell>
          <cell r="E12027">
            <v>46182</v>
          </cell>
        </row>
        <row r="12028">
          <cell r="A12028" t="str">
            <v>2622OU37</v>
          </cell>
          <cell r="D12028" t="str">
            <v>FTW102K</v>
          </cell>
          <cell r="E12028">
            <v>46182</v>
          </cell>
        </row>
        <row r="12029">
          <cell r="A12029" t="str">
            <v>2621F157</v>
          </cell>
          <cell r="D12029" t="str">
            <v>TTS50</v>
          </cell>
          <cell r="E12029">
            <v>46182</v>
          </cell>
        </row>
        <row r="12030">
          <cell r="A12030" t="str">
            <v>2622IF27</v>
          </cell>
          <cell r="D12030" t="str">
            <v>FTP150</v>
          </cell>
          <cell r="E12030">
            <v>46182</v>
          </cell>
        </row>
        <row r="12031">
          <cell r="A12031" t="str">
            <v>2622IM37</v>
          </cell>
          <cell r="D12031" t="str">
            <v>KBP86</v>
          </cell>
          <cell r="E12031">
            <v>46182</v>
          </cell>
        </row>
        <row r="12032">
          <cell r="A12032" t="str">
            <v>2622LF17</v>
          </cell>
          <cell r="D12032" t="str">
            <v>FTW503</v>
          </cell>
          <cell r="E12032">
            <v>46182</v>
          </cell>
        </row>
        <row r="12033">
          <cell r="A12033" t="str">
            <v>2621C867</v>
          </cell>
          <cell r="D12033" t="str">
            <v>FTW503</v>
          </cell>
          <cell r="E12033">
            <v>46182</v>
          </cell>
        </row>
        <row r="12034">
          <cell r="A12034" t="str">
            <v>2621DI57</v>
          </cell>
          <cell r="D12034" t="str">
            <v>FTW503</v>
          </cell>
          <cell r="E12034">
            <v>46182</v>
          </cell>
        </row>
        <row r="12035">
          <cell r="A12035" t="str">
            <v>2622OS37</v>
          </cell>
          <cell r="D12035" t="str">
            <v>FTW102K</v>
          </cell>
          <cell r="E12035">
            <v>46182</v>
          </cell>
        </row>
        <row r="12036">
          <cell r="A12036" t="str">
            <v>2622OR37</v>
          </cell>
          <cell r="D12036" t="str">
            <v>FTW102K</v>
          </cell>
          <cell r="E12036">
            <v>46182</v>
          </cell>
        </row>
        <row r="12037">
          <cell r="A12037" t="str">
            <v>2621KY37</v>
          </cell>
          <cell r="D12037" t="str">
            <v>KBP86</v>
          </cell>
          <cell r="E12037">
            <v>46182</v>
          </cell>
        </row>
        <row r="12038">
          <cell r="A12038" t="str">
            <v>2622QO27</v>
          </cell>
          <cell r="D12038" t="str">
            <v>TTS80</v>
          </cell>
          <cell r="E12038">
            <v>46182</v>
          </cell>
        </row>
        <row r="12039">
          <cell r="A12039" t="str">
            <v>2622S447</v>
          </cell>
          <cell r="D12039" t="str">
            <v>KBP86</v>
          </cell>
          <cell r="E12039">
            <v>46182</v>
          </cell>
        </row>
        <row r="12040">
          <cell r="A12040" t="str">
            <v>2621PR17</v>
          </cell>
          <cell r="D12040" t="str">
            <v>KBP86</v>
          </cell>
          <cell r="E12040">
            <v>46182</v>
          </cell>
        </row>
        <row r="12041">
          <cell r="A12041" t="str">
            <v>2622KO17</v>
          </cell>
          <cell r="D12041" t="str">
            <v>KBP86</v>
          </cell>
          <cell r="E12041">
            <v>46182</v>
          </cell>
        </row>
        <row r="12042">
          <cell r="A12042" t="str">
            <v>2622CZ27</v>
          </cell>
          <cell r="D12042" t="str">
            <v>STA156KA</v>
          </cell>
          <cell r="E12042">
            <v>46182</v>
          </cell>
        </row>
        <row r="12043">
          <cell r="A12043" t="str">
            <v>2620X357</v>
          </cell>
          <cell r="D12043" t="str">
            <v>KBP52</v>
          </cell>
          <cell r="E12043">
            <v>46182</v>
          </cell>
        </row>
        <row r="12044">
          <cell r="A12044" t="str">
            <v>2621IK37</v>
          </cell>
          <cell r="D12044" t="str">
            <v>KBP86</v>
          </cell>
          <cell r="E12044">
            <v>46182</v>
          </cell>
        </row>
        <row r="12045">
          <cell r="A12045" t="str">
            <v>2621JV47</v>
          </cell>
          <cell r="D12045" t="str">
            <v>KBP76</v>
          </cell>
          <cell r="E12045">
            <v>46182</v>
          </cell>
        </row>
        <row r="12046">
          <cell r="A12046" t="str">
            <v>2620JC37</v>
          </cell>
          <cell r="D12046" t="str">
            <v>S805</v>
          </cell>
          <cell r="E12046">
            <v>46182</v>
          </cell>
        </row>
        <row r="12047">
          <cell r="A12047" t="str">
            <v>2619IJ17</v>
          </cell>
          <cell r="D12047" t="str">
            <v>TTS50</v>
          </cell>
          <cell r="E12047">
            <v>46182</v>
          </cell>
        </row>
        <row r="12048">
          <cell r="A12048" t="str">
            <v>2622JP27</v>
          </cell>
          <cell r="D12048" t="str">
            <v>FTW700</v>
          </cell>
          <cell r="E12048">
            <v>46182</v>
          </cell>
        </row>
        <row r="12049">
          <cell r="A12049" t="str">
            <v>2621WH57</v>
          </cell>
          <cell r="D12049" t="str">
            <v>TTS50</v>
          </cell>
          <cell r="E12049">
            <v>46182</v>
          </cell>
        </row>
        <row r="12050">
          <cell r="A12050" t="str">
            <v>2622QD27</v>
          </cell>
          <cell r="D12050" t="str">
            <v>KBP55</v>
          </cell>
          <cell r="E12050">
            <v>46182</v>
          </cell>
        </row>
        <row r="12051">
          <cell r="A12051" t="str">
            <v>2621O237</v>
          </cell>
          <cell r="D12051" t="str">
            <v>KBP76</v>
          </cell>
          <cell r="E12051">
            <v>46182</v>
          </cell>
        </row>
        <row r="12052">
          <cell r="A12052" t="str">
            <v>2621CZ67</v>
          </cell>
          <cell r="D12052" t="str">
            <v>KBP86</v>
          </cell>
          <cell r="E12052">
            <v>46182</v>
          </cell>
        </row>
        <row r="12053">
          <cell r="A12053" t="str">
            <v>2616PA37</v>
          </cell>
          <cell r="D12053" t="str">
            <v>KBP76</v>
          </cell>
          <cell r="E12053">
            <v>46182</v>
          </cell>
        </row>
        <row r="12054">
          <cell r="A12054" t="str">
            <v>2622O317</v>
          </cell>
          <cell r="D12054" t="str">
            <v>FTW121KE</v>
          </cell>
          <cell r="E12054">
            <v>46182</v>
          </cell>
        </row>
        <row r="12055">
          <cell r="A12055" t="str">
            <v>2622LO27</v>
          </cell>
          <cell r="D12055" t="str">
            <v>KBP52</v>
          </cell>
          <cell r="E12055">
            <v>46182</v>
          </cell>
        </row>
        <row r="12056">
          <cell r="A12056" t="str">
            <v>2621AK67</v>
          </cell>
          <cell r="D12056" t="str">
            <v>FTW121KE</v>
          </cell>
          <cell r="E12056">
            <v>46182</v>
          </cell>
        </row>
        <row r="12057">
          <cell r="A12057" t="str">
            <v>2622SO17</v>
          </cell>
          <cell r="D12057" t="str">
            <v>FTP200</v>
          </cell>
          <cell r="E12057">
            <v>46182</v>
          </cell>
        </row>
        <row r="12058">
          <cell r="A12058" t="str">
            <v>2619EF50</v>
          </cell>
          <cell r="D12058" t="str">
            <v>TTS125</v>
          </cell>
          <cell r="E12058">
            <v>46182</v>
          </cell>
        </row>
        <row r="12059">
          <cell r="A12059" t="str">
            <v>2622KW47</v>
          </cell>
          <cell r="D12059" t="str">
            <v>KBP86</v>
          </cell>
          <cell r="E12059">
            <v>46182</v>
          </cell>
        </row>
        <row r="12060">
          <cell r="A12060" t="str">
            <v>2621ID37</v>
          </cell>
          <cell r="D12060" t="str">
            <v>KBP86</v>
          </cell>
          <cell r="E12060">
            <v>46182</v>
          </cell>
        </row>
        <row r="12061">
          <cell r="A12061" t="str">
            <v>2609C547</v>
          </cell>
          <cell r="D12061" t="str">
            <v>KBP52</v>
          </cell>
          <cell r="E12061">
            <v>46182</v>
          </cell>
        </row>
        <row r="12062">
          <cell r="A12062" t="str">
            <v>2622HL27</v>
          </cell>
          <cell r="D12062" t="str">
            <v>KBP76</v>
          </cell>
          <cell r="E12062">
            <v>46182</v>
          </cell>
        </row>
        <row r="12063">
          <cell r="A12063" t="str">
            <v>2621IL67</v>
          </cell>
          <cell r="D12063" t="str">
            <v>TTS80</v>
          </cell>
          <cell r="E12063">
            <v>46182</v>
          </cell>
        </row>
        <row r="12064">
          <cell r="A12064" t="str">
            <v>2622CX27</v>
          </cell>
          <cell r="D12064" t="str">
            <v>STA156KA</v>
          </cell>
          <cell r="E12064">
            <v>46182</v>
          </cell>
        </row>
        <row r="12065">
          <cell r="A12065" t="str">
            <v>2622Q117</v>
          </cell>
          <cell r="D12065" t="str">
            <v>HV80</v>
          </cell>
          <cell r="E12065">
            <v>46182</v>
          </cell>
        </row>
        <row r="12066">
          <cell r="A12066" t="str">
            <v>2622SP37</v>
          </cell>
          <cell r="D12066" t="str">
            <v>TTS80</v>
          </cell>
          <cell r="E12066">
            <v>46182</v>
          </cell>
        </row>
        <row r="12067">
          <cell r="A12067" t="str">
            <v>2621W957</v>
          </cell>
          <cell r="D12067" t="str">
            <v>S805</v>
          </cell>
          <cell r="E12067">
            <v>46182</v>
          </cell>
        </row>
        <row r="12068">
          <cell r="A12068" t="str">
            <v>2622KH17</v>
          </cell>
          <cell r="D12068" t="str">
            <v>KBP86</v>
          </cell>
          <cell r="E12068">
            <v>46182</v>
          </cell>
        </row>
        <row r="12069">
          <cell r="A12069" t="str">
            <v>2621U917</v>
          </cell>
          <cell r="D12069" t="str">
            <v>KBP86</v>
          </cell>
          <cell r="E12069">
            <v>46182</v>
          </cell>
        </row>
        <row r="12070">
          <cell r="A12070" t="str">
            <v>2622LA17</v>
          </cell>
          <cell r="D12070" t="str">
            <v>FTW503</v>
          </cell>
          <cell r="E12070">
            <v>46182</v>
          </cell>
        </row>
        <row r="12071">
          <cell r="A12071" t="str">
            <v>2621DZ57</v>
          </cell>
          <cell r="D12071" t="str">
            <v>FTW121KE</v>
          </cell>
          <cell r="E12071">
            <v>46182</v>
          </cell>
        </row>
        <row r="12072">
          <cell r="A12072" t="str">
            <v>2622I537</v>
          </cell>
          <cell r="D12072" t="str">
            <v>KBP126</v>
          </cell>
          <cell r="E12072">
            <v>46182</v>
          </cell>
        </row>
        <row r="12073">
          <cell r="A12073" t="str">
            <v>2621HW67</v>
          </cell>
          <cell r="D12073" t="str">
            <v>KBP55</v>
          </cell>
          <cell r="E12073">
            <v>46182</v>
          </cell>
        </row>
        <row r="12074">
          <cell r="A12074" t="str">
            <v>2622P617</v>
          </cell>
          <cell r="D12074" t="str">
            <v>KBP86</v>
          </cell>
          <cell r="E12074">
            <v>46182</v>
          </cell>
        </row>
        <row r="12075">
          <cell r="A12075" t="str">
            <v>2622H427</v>
          </cell>
          <cell r="D12075" t="str">
            <v>KBP86</v>
          </cell>
          <cell r="E12075">
            <v>46182</v>
          </cell>
        </row>
        <row r="12076">
          <cell r="A12076" t="str">
            <v>2621K427</v>
          </cell>
          <cell r="D12076" t="str">
            <v>FTW102K</v>
          </cell>
          <cell r="E12076">
            <v>46182</v>
          </cell>
        </row>
        <row r="12077">
          <cell r="A12077" t="str">
            <v>2621DA57</v>
          </cell>
          <cell r="D12077" t="str">
            <v>FTP150</v>
          </cell>
          <cell r="E12077">
            <v>46182</v>
          </cell>
        </row>
        <row r="12078">
          <cell r="A12078" t="str">
            <v>2622LJ37</v>
          </cell>
          <cell r="D12078" t="str">
            <v>FTW121KE</v>
          </cell>
          <cell r="E12078">
            <v>46182</v>
          </cell>
        </row>
        <row r="12079">
          <cell r="A12079" t="str">
            <v>2621IM27</v>
          </cell>
          <cell r="D12079" t="str">
            <v>KBP52</v>
          </cell>
          <cell r="E12079">
            <v>46182</v>
          </cell>
        </row>
        <row r="12080">
          <cell r="A12080" t="str">
            <v>2622QV37</v>
          </cell>
          <cell r="D12080" t="str">
            <v>KBP76</v>
          </cell>
          <cell r="E12080">
            <v>46182</v>
          </cell>
        </row>
        <row r="12081">
          <cell r="A12081" t="str">
            <v>2622OR17</v>
          </cell>
          <cell r="D12081" t="str">
            <v>FTW121KE</v>
          </cell>
          <cell r="E12081">
            <v>46182</v>
          </cell>
        </row>
        <row r="12082">
          <cell r="A12082" t="str">
            <v>2622OH17</v>
          </cell>
          <cell r="D12082" t="str">
            <v>FTW121KE</v>
          </cell>
          <cell r="E12082">
            <v>46182</v>
          </cell>
        </row>
        <row r="12083">
          <cell r="A12083" t="str">
            <v>2621K747</v>
          </cell>
          <cell r="D12083" t="str">
            <v>FTW503</v>
          </cell>
          <cell r="E12083">
            <v>46182</v>
          </cell>
        </row>
        <row r="12084">
          <cell r="A12084" t="str">
            <v>2622LM37</v>
          </cell>
          <cell r="D12084" t="str">
            <v>FTW121KE</v>
          </cell>
          <cell r="E12084">
            <v>46182</v>
          </cell>
        </row>
        <row r="12085">
          <cell r="A12085" t="str">
            <v>2621J467</v>
          </cell>
          <cell r="D12085" t="str">
            <v>KBP86</v>
          </cell>
          <cell r="E12085">
            <v>46182</v>
          </cell>
        </row>
        <row r="12086">
          <cell r="A12086" t="str">
            <v>2618QD17</v>
          </cell>
          <cell r="D12086" t="str">
            <v>KBP52</v>
          </cell>
          <cell r="E12086">
            <v>46182</v>
          </cell>
        </row>
        <row r="12087">
          <cell r="A12087" t="str">
            <v>2622P917</v>
          </cell>
          <cell r="D12087" t="str">
            <v>KBP86</v>
          </cell>
          <cell r="E12087">
            <v>46182</v>
          </cell>
        </row>
        <row r="12088">
          <cell r="A12088" t="str">
            <v>2621KQ17</v>
          </cell>
          <cell r="D12088" t="str">
            <v>KBP86</v>
          </cell>
          <cell r="E12088">
            <v>46182</v>
          </cell>
        </row>
        <row r="12089">
          <cell r="A12089" t="str">
            <v>2619DK37</v>
          </cell>
          <cell r="D12089" t="str">
            <v>TTS50</v>
          </cell>
          <cell r="E12089">
            <v>46182</v>
          </cell>
        </row>
        <row r="12090">
          <cell r="A12090" t="str">
            <v>2622O517</v>
          </cell>
          <cell r="D12090" t="str">
            <v>FTW121KE</v>
          </cell>
          <cell r="E12090">
            <v>46182</v>
          </cell>
        </row>
        <row r="12091">
          <cell r="A12091" t="str">
            <v>2622OD17</v>
          </cell>
          <cell r="D12091" t="str">
            <v>FTW121KE</v>
          </cell>
          <cell r="E12091">
            <v>46182</v>
          </cell>
        </row>
        <row r="12092">
          <cell r="A12092" t="str">
            <v>2622SM17</v>
          </cell>
          <cell r="D12092" t="str">
            <v>FTP200</v>
          </cell>
          <cell r="E12092">
            <v>46182</v>
          </cell>
        </row>
        <row r="12093">
          <cell r="A12093" t="str">
            <v>2621Q347</v>
          </cell>
          <cell r="D12093" t="str">
            <v>KBP55</v>
          </cell>
          <cell r="E12093">
            <v>46182</v>
          </cell>
        </row>
        <row r="12094">
          <cell r="A12094" t="str">
            <v>2622KQ17</v>
          </cell>
          <cell r="D12094" t="str">
            <v>KBP76</v>
          </cell>
          <cell r="E12094">
            <v>46182</v>
          </cell>
        </row>
        <row r="12095">
          <cell r="A12095" t="str">
            <v>2621GW67</v>
          </cell>
          <cell r="D12095" t="str">
            <v>KBP76</v>
          </cell>
          <cell r="E12095">
            <v>46182</v>
          </cell>
        </row>
        <row r="12096">
          <cell r="A12096" t="str">
            <v>2620DJ47</v>
          </cell>
          <cell r="D12096" t="str">
            <v>KBP52</v>
          </cell>
          <cell r="E12096">
            <v>46182</v>
          </cell>
        </row>
        <row r="12097">
          <cell r="A12097" t="str">
            <v>2622IY37</v>
          </cell>
          <cell r="D12097" t="str">
            <v>S706</v>
          </cell>
          <cell r="E12097">
            <v>46182</v>
          </cell>
        </row>
        <row r="12098">
          <cell r="A12098" t="str">
            <v>2618OK27</v>
          </cell>
          <cell r="D12098" t="str">
            <v>KBP86</v>
          </cell>
          <cell r="E12098">
            <v>46182</v>
          </cell>
        </row>
        <row r="12099">
          <cell r="A12099" t="str">
            <v>2621FU27</v>
          </cell>
          <cell r="D12099" t="str">
            <v>KBP86</v>
          </cell>
          <cell r="E12099">
            <v>46182</v>
          </cell>
        </row>
        <row r="12100">
          <cell r="A12100" t="str">
            <v>2621IO67</v>
          </cell>
          <cell r="D12100" t="str">
            <v>TTS80</v>
          </cell>
          <cell r="E12100">
            <v>46182</v>
          </cell>
        </row>
        <row r="12101">
          <cell r="A12101" t="str">
            <v>2621KE47</v>
          </cell>
          <cell r="D12101" t="str">
            <v>TTS50</v>
          </cell>
          <cell r="E12101">
            <v>46182</v>
          </cell>
        </row>
        <row r="12102">
          <cell r="A12102" t="str">
            <v>2622SG17</v>
          </cell>
          <cell r="D12102" t="str">
            <v>KBP55</v>
          </cell>
          <cell r="E12102">
            <v>46182</v>
          </cell>
        </row>
        <row r="12103">
          <cell r="A12103" t="str">
            <v>2622L817</v>
          </cell>
          <cell r="D12103" t="str">
            <v>FTW503</v>
          </cell>
          <cell r="E12103">
            <v>46182</v>
          </cell>
        </row>
        <row r="12104">
          <cell r="A12104" t="str">
            <v>2621GE27</v>
          </cell>
          <cell r="D12104" t="str">
            <v>KBP76</v>
          </cell>
          <cell r="E12104">
            <v>46182</v>
          </cell>
        </row>
        <row r="12105">
          <cell r="A12105" t="str">
            <v>2618QA17</v>
          </cell>
          <cell r="D12105" t="str">
            <v>KBP52</v>
          </cell>
          <cell r="E12105">
            <v>46182</v>
          </cell>
        </row>
        <row r="12106">
          <cell r="A12106" t="str">
            <v>2622EK27</v>
          </cell>
          <cell r="D12106" t="str">
            <v>KBP86</v>
          </cell>
          <cell r="E12106">
            <v>46182</v>
          </cell>
        </row>
        <row r="12107">
          <cell r="A12107" t="str">
            <v>2620UT57</v>
          </cell>
          <cell r="D12107" t="str">
            <v>S805</v>
          </cell>
          <cell r="E12107">
            <v>46182</v>
          </cell>
        </row>
        <row r="12108">
          <cell r="A12108" t="str">
            <v>2613HH37</v>
          </cell>
          <cell r="D12108" t="str">
            <v>FTW102K</v>
          </cell>
          <cell r="E12108">
            <v>46182</v>
          </cell>
        </row>
        <row r="12109">
          <cell r="A12109" t="str">
            <v>2622OT37</v>
          </cell>
          <cell r="D12109" t="str">
            <v>FTW102K</v>
          </cell>
          <cell r="E12109">
            <v>46182</v>
          </cell>
        </row>
        <row r="12110">
          <cell r="A12110" t="str">
            <v>2621AA67</v>
          </cell>
          <cell r="D12110" t="str">
            <v>FTW121KE</v>
          </cell>
          <cell r="E12110">
            <v>46182</v>
          </cell>
        </row>
        <row r="12111">
          <cell r="A12111" t="str">
            <v>2622IU37</v>
          </cell>
          <cell r="D12111" t="str">
            <v>S706</v>
          </cell>
          <cell r="E12111">
            <v>46182</v>
          </cell>
        </row>
        <row r="12112">
          <cell r="A12112" t="str">
            <v>2621Q427</v>
          </cell>
          <cell r="D12112" t="str">
            <v>KBP55</v>
          </cell>
          <cell r="E12112">
            <v>46182</v>
          </cell>
        </row>
        <row r="12113">
          <cell r="A12113" t="str">
            <v>2622H927</v>
          </cell>
          <cell r="D12113" t="str">
            <v>KBP86</v>
          </cell>
          <cell r="E12113">
            <v>46182</v>
          </cell>
        </row>
        <row r="12114">
          <cell r="A12114" t="str">
            <v>2620E667</v>
          </cell>
          <cell r="D12114" t="str">
            <v>KBP86</v>
          </cell>
          <cell r="E12114">
            <v>46182</v>
          </cell>
        </row>
        <row r="12115">
          <cell r="A12115" t="str">
            <v>2621GD67</v>
          </cell>
          <cell r="D12115" t="str">
            <v>KBP76</v>
          </cell>
          <cell r="E12115">
            <v>46182</v>
          </cell>
        </row>
        <row r="12116">
          <cell r="A12116" t="str">
            <v>2622OU17</v>
          </cell>
          <cell r="D12116" t="str">
            <v>KBP86</v>
          </cell>
          <cell r="E12116">
            <v>46182</v>
          </cell>
        </row>
        <row r="12117">
          <cell r="A12117" t="str">
            <v>2622IP27</v>
          </cell>
          <cell r="D12117" t="str">
            <v>FTW503</v>
          </cell>
          <cell r="E12117">
            <v>46182</v>
          </cell>
        </row>
        <row r="12118">
          <cell r="A12118" t="str">
            <v>2621WC57</v>
          </cell>
          <cell r="D12118" t="str">
            <v>FTW503</v>
          </cell>
          <cell r="E12118">
            <v>46182</v>
          </cell>
        </row>
        <row r="12119">
          <cell r="A12119" t="str">
            <v>2621DE57</v>
          </cell>
          <cell r="D12119" t="str">
            <v>FTP150</v>
          </cell>
          <cell r="E12119">
            <v>46182</v>
          </cell>
        </row>
        <row r="12120">
          <cell r="A12120" t="str">
            <v>2622KR17</v>
          </cell>
          <cell r="D12120" t="str">
            <v>KBP76</v>
          </cell>
          <cell r="E12120">
            <v>46182</v>
          </cell>
        </row>
        <row r="12121">
          <cell r="A12121" t="str">
            <v>2621EP80</v>
          </cell>
          <cell r="D12121" t="str">
            <v>TTS125</v>
          </cell>
          <cell r="E12121">
            <v>46182</v>
          </cell>
        </row>
        <row r="12122">
          <cell r="A12122" t="str">
            <v>2621E367</v>
          </cell>
          <cell r="D12122" t="str">
            <v>HV80</v>
          </cell>
          <cell r="E12122">
            <v>46182</v>
          </cell>
        </row>
        <row r="12123">
          <cell r="A12123" t="str">
            <v>2621ER30</v>
          </cell>
          <cell r="D12123" t="str">
            <v>STA200KA</v>
          </cell>
          <cell r="E12123">
            <v>46182</v>
          </cell>
        </row>
        <row r="12124">
          <cell r="A12124" t="str">
            <v>2621GS67</v>
          </cell>
          <cell r="D12124" t="str">
            <v>KBP76</v>
          </cell>
          <cell r="E12124">
            <v>46182</v>
          </cell>
        </row>
        <row r="12125">
          <cell r="A12125" t="str">
            <v>2621EL57</v>
          </cell>
          <cell r="D12125" t="str">
            <v>KBP86</v>
          </cell>
          <cell r="E12125">
            <v>46182</v>
          </cell>
        </row>
        <row r="12126">
          <cell r="A12126" t="str">
            <v>2622KY17</v>
          </cell>
          <cell r="D12126" t="str">
            <v>S805</v>
          </cell>
          <cell r="E12126">
            <v>46182</v>
          </cell>
        </row>
        <row r="12127">
          <cell r="A12127" t="str">
            <v>2622EP67</v>
          </cell>
          <cell r="D12127" t="str">
            <v>TTS80</v>
          </cell>
          <cell r="E12127">
            <v>46182</v>
          </cell>
        </row>
        <row r="12128">
          <cell r="A12128" t="str">
            <v>2621C667</v>
          </cell>
          <cell r="D12128" t="str">
            <v>FTW503</v>
          </cell>
          <cell r="E12128">
            <v>46182</v>
          </cell>
        </row>
        <row r="12129">
          <cell r="A12129" t="str">
            <v>2620JL17</v>
          </cell>
          <cell r="D12129" t="str">
            <v>TTS50</v>
          </cell>
          <cell r="E12129">
            <v>46182</v>
          </cell>
        </row>
        <row r="12130">
          <cell r="A12130" t="str">
            <v>2622QV17</v>
          </cell>
          <cell r="D12130" t="str">
            <v>KBP76</v>
          </cell>
          <cell r="E12130">
            <v>46182</v>
          </cell>
        </row>
        <row r="12131">
          <cell r="A12131" t="str">
            <v>2622K927</v>
          </cell>
          <cell r="D12131" t="str">
            <v>FTW121KE</v>
          </cell>
          <cell r="E12131">
            <v>46182</v>
          </cell>
        </row>
        <row r="12132">
          <cell r="A12132" t="str">
            <v>2621W557</v>
          </cell>
          <cell r="D12132" t="str">
            <v>KBP76</v>
          </cell>
          <cell r="E12132">
            <v>46182</v>
          </cell>
        </row>
        <row r="12133">
          <cell r="A12133" t="str">
            <v>2622QL27</v>
          </cell>
          <cell r="D12133" t="str">
            <v>TTS80</v>
          </cell>
          <cell r="E12133">
            <v>46182</v>
          </cell>
        </row>
        <row r="12134">
          <cell r="A12134" t="str">
            <v>2621E957</v>
          </cell>
          <cell r="D12134" t="str">
            <v>FTW121KE</v>
          </cell>
          <cell r="E12134">
            <v>46182</v>
          </cell>
        </row>
        <row r="12135">
          <cell r="A12135" t="str">
            <v>2621XM57</v>
          </cell>
          <cell r="D12135" t="str">
            <v>FTW121KE</v>
          </cell>
          <cell r="E12135">
            <v>46182</v>
          </cell>
        </row>
        <row r="12136">
          <cell r="A12136" t="str">
            <v>2613GT67</v>
          </cell>
          <cell r="D12136" t="str">
            <v>STA156KA</v>
          </cell>
          <cell r="E12136">
            <v>46182</v>
          </cell>
        </row>
        <row r="12137">
          <cell r="A12137" t="str">
            <v>2621EP60</v>
          </cell>
          <cell r="D12137" t="str">
            <v>TTS125</v>
          </cell>
          <cell r="E12137">
            <v>46182</v>
          </cell>
        </row>
        <row r="12138">
          <cell r="A12138" t="str">
            <v>2620EN80</v>
          </cell>
          <cell r="D12138" t="str">
            <v>TTS125</v>
          </cell>
          <cell r="E12138">
            <v>46182</v>
          </cell>
        </row>
        <row r="12139">
          <cell r="A12139" t="str">
            <v>2621WO57</v>
          </cell>
          <cell r="D12139" t="str">
            <v>FTW700</v>
          </cell>
          <cell r="E12139">
            <v>46182</v>
          </cell>
        </row>
        <row r="12140">
          <cell r="A12140" t="str">
            <v>2622P117</v>
          </cell>
          <cell r="D12140" t="str">
            <v>KBP86</v>
          </cell>
          <cell r="E12140">
            <v>46182</v>
          </cell>
        </row>
        <row r="12141">
          <cell r="A12141" t="str">
            <v>2622D537</v>
          </cell>
          <cell r="D12141" t="str">
            <v>STA156KA</v>
          </cell>
          <cell r="E12141">
            <v>46182</v>
          </cell>
        </row>
        <row r="12142">
          <cell r="A12142" t="str">
            <v>2622OF37</v>
          </cell>
          <cell r="D12142" t="str">
            <v>KBP86</v>
          </cell>
          <cell r="E12142">
            <v>46182</v>
          </cell>
        </row>
        <row r="12143">
          <cell r="A12143" t="str">
            <v>2622OZ37</v>
          </cell>
          <cell r="D12143" t="str">
            <v>KBP52</v>
          </cell>
          <cell r="E12143">
            <v>46182</v>
          </cell>
        </row>
        <row r="12144">
          <cell r="A12144" t="str">
            <v>2622LO17</v>
          </cell>
          <cell r="D12144" t="str">
            <v>FTW700</v>
          </cell>
          <cell r="E12144">
            <v>46182</v>
          </cell>
        </row>
        <row r="12145">
          <cell r="A12145" t="str">
            <v>2620YL17</v>
          </cell>
          <cell r="D12145" t="str">
            <v>KBP86</v>
          </cell>
          <cell r="E12145">
            <v>46182</v>
          </cell>
        </row>
        <row r="12146">
          <cell r="A12146" t="str">
            <v>2622K127</v>
          </cell>
          <cell r="D12146" t="str">
            <v>FTW121KR</v>
          </cell>
          <cell r="E12146">
            <v>46182</v>
          </cell>
        </row>
        <row r="12147">
          <cell r="A12147" t="str">
            <v>2622K827</v>
          </cell>
          <cell r="D12147" t="str">
            <v>FTW121KR</v>
          </cell>
          <cell r="E12147">
            <v>46182</v>
          </cell>
        </row>
        <row r="12148">
          <cell r="A12148" t="str">
            <v>2622K627</v>
          </cell>
          <cell r="D12148" t="str">
            <v>FTW121KR</v>
          </cell>
          <cell r="E12148">
            <v>46182</v>
          </cell>
        </row>
        <row r="12149">
          <cell r="A12149" t="str">
            <v>2621GL67</v>
          </cell>
          <cell r="D12149" t="str">
            <v>KBP76</v>
          </cell>
          <cell r="E12149">
            <v>46182</v>
          </cell>
        </row>
        <row r="12150">
          <cell r="A12150" t="str">
            <v>2621I937</v>
          </cell>
          <cell r="D12150" t="str">
            <v>KBP86</v>
          </cell>
          <cell r="E12150">
            <v>46182</v>
          </cell>
        </row>
        <row r="12151">
          <cell r="A12151" t="str">
            <v>2622ZS37</v>
          </cell>
          <cell r="D12151" t="str">
            <v>S805</v>
          </cell>
          <cell r="E12151">
            <v>46182</v>
          </cell>
        </row>
        <row r="12152">
          <cell r="A12152" t="str">
            <v>2621X257</v>
          </cell>
          <cell r="D12152" t="str">
            <v>FTW121KR</v>
          </cell>
          <cell r="E12152">
            <v>46182</v>
          </cell>
        </row>
        <row r="12153">
          <cell r="A12153" t="str">
            <v>2518SP17</v>
          </cell>
          <cell r="D12153" t="str">
            <v>KBP86</v>
          </cell>
          <cell r="E12153">
            <v>46182</v>
          </cell>
        </row>
        <row r="12154">
          <cell r="A12154" t="str">
            <v>2622KS17</v>
          </cell>
          <cell r="D12154" t="str">
            <v>KBP76</v>
          </cell>
          <cell r="E12154">
            <v>46182</v>
          </cell>
        </row>
        <row r="12155">
          <cell r="A12155" t="str">
            <v>2622SF47</v>
          </cell>
          <cell r="D12155" t="str">
            <v>FTW102K</v>
          </cell>
          <cell r="E12155">
            <v>46182</v>
          </cell>
        </row>
        <row r="12156">
          <cell r="A12156" t="str">
            <v>2622IO37</v>
          </cell>
          <cell r="D12156" t="str">
            <v>S706</v>
          </cell>
          <cell r="E12156">
            <v>46182</v>
          </cell>
        </row>
        <row r="12157">
          <cell r="A12157" t="str">
            <v>2622KV17</v>
          </cell>
          <cell r="D12157" t="str">
            <v>S706</v>
          </cell>
          <cell r="E12157">
            <v>46182</v>
          </cell>
        </row>
        <row r="12158">
          <cell r="A12158" t="str">
            <v>2622QP47</v>
          </cell>
          <cell r="D12158" t="str">
            <v>FTW121KR</v>
          </cell>
          <cell r="E12158">
            <v>46182</v>
          </cell>
        </row>
        <row r="12159">
          <cell r="A12159" t="str">
            <v>2622S217</v>
          </cell>
          <cell r="D12159" t="str">
            <v>STA156KA</v>
          </cell>
          <cell r="E12159">
            <v>46182</v>
          </cell>
        </row>
        <row r="12160">
          <cell r="A12160" t="str">
            <v>2621ER40</v>
          </cell>
          <cell r="D12160" t="str">
            <v>STA200KA</v>
          </cell>
          <cell r="E12160">
            <v>46182</v>
          </cell>
        </row>
        <row r="12161">
          <cell r="A12161" t="str">
            <v>2621DC67</v>
          </cell>
          <cell r="D12161" t="str">
            <v>KBP52</v>
          </cell>
          <cell r="E12161">
            <v>46182</v>
          </cell>
        </row>
        <row r="12162">
          <cell r="A12162" t="str">
            <v>2549ZQ27</v>
          </cell>
          <cell r="D12162" t="str">
            <v>FTW121KE</v>
          </cell>
          <cell r="E12162">
            <v>46182</v>
          </cell>
        </row>
        <row r="12163">
          <cell r="A12163" t="str">
            <v>2619WP27</v>
          </cell>
          <cell r="D12163" t="str">
            <v>TTS50</v>
          </cell>
          <cell r="E12163">
            <v>46182</v>
          </cell>
        </row>
        <row r="12164">
          <cell r="A12164" t="str">
            <v>2621EQ20</v>
          </cell>
          <cell r="D12164" t="str">
            <v>S706</v>
          </cell>
          <cell r="E12164">
            <v>46182</v>
          </cell>
        </row>
        <row r="12165">
          <cell r="A12165" t="str">
            <v>2621ER80</v>
          </cell>
          <cell r="D12165" t="str">
            <v>S706</v>
          </cell>
          <cell r="E12165">
            <v>46182</v>
          </cell>
        </row>
        <row r="12166">
          <cell r="A12166" t="str">
            <v>2622Q917</v>
          </cell>
          <cell r="D12166" t="str">
            <v>S706</v>
          </cell>
          <cell r="E12166">
            <v>46182</v>
          </cell>
        </row>
        <row r="12167">
          <cell r="A12167" t="str">
            <v>2622QF17</v>
          </cell>
          <cell r="D12167" t="str">
            <v>S706</v>
          </cell>
          <cell r="E12167">
            <v>46182</v>
          </cell>
        </row>
        <row r="12168">
          <cell r="A12168" t="str">
            <v>2622QH17</v>
          </cell>
          <cell r="D12168" t="str">
            <v>S706</v>
          </cell>
          <cell r="E12168">
            <v>46182</v>
          </cell>
        </row>
        <row r="12169">
          <cell r="A12169" t="str">
            <v>2622OI27</v>
          </cell>
          <cell r="D12169" t="str">
            <v>S706</v>
          </cell>
          <cell r="E12169">
            <v>46182</v>
          </cell>
        </row>
        <row r="12170">
          <cell r="A12170" t="str">
            <v>2622ON27</v>
          </cell>
          <cell r="D12170" t="str">
            <v>S706</v>
          </cell>
          <cell r="E12170">
            <v>46182</v>
          </cell>
        </row>
        <row r="12171">
          <cell r="A12171" t="str">
            <v>2622OQ27</v>
          </cell>
          <cell r="D12171" t="str">
            <v>S706</v>
          </cell>
          <cell r="E12171">
            <v>46182</v>
          </cell>
        </row>
        <row r="12172">
          <cell r="A12172" t="str">
            <v>2622OR27</v>
          </cell>
          <cell r="D12172" t="str">
            <v>S706</v>
          </cell>
          <cell r="E12172">
            <v>46182</v>
          </cell>
        </row>
        <row r="12173">
          <cell r="A12173" t="str">
            <v>2622OU27</v>
          </cell>
          <cell r="D12173" t="str">
            <v>S706</v>
          </cell>
          <cell r="E12173">
            <v>46182</v>
          </cell>
        </row>
        <row r="12174">
          <cell r="A12174" t="str">
            <v>2621E867</v>
          </cell>
          <cell r="D12174" t="str">
            <v>HV80</v>
          </cell>
          <cell r="E12174">
            <v>46182</v>
          </cell>
        </row>
        <row r="12175">
          <cell r="A12175" t="str">
            <v>2621DZ67</v>
          </cell>
          <cell r="D12175" t="str">
            <v>HV80</v>
          </cell>
          <cell r="E12175">
            <v>46182</v>
          </cell>
        </row>
        <row r="12176">
          <cell r="A12176" t="str">
            <v>2622PU17</v>
          </cell>
          <cell r="D12176" t="str">
            <v>HV80</v>
          </cell>
          <cell r="E12176">
            <v>46182</v>
          </cell>
        </row>
        <row r="12177">
          <cell r="A12177" t="str">
            <v>2622PV17</v>
          </cell>
          <cell r="D12177" t="str">
            <v>HV80</v>
          </cell>
          <cell r="E12177">
            <v>46182</v>
          </cell>
        </row>
        <row r="12178">
          <cell r="A12178" t="str">
            <v>2622LV37</v>
          </cell>
          <cell r="D12178" t="str">
            <v>FTW121KE</v>
          </cell>
          <cell r="E12178">
            <v>46182</v>
          </cell>
        </row>
        <row r="12179">
          <cell r="A12179" t="str">
            <v>2622QD47</v>
          </cell>
          <cell r="D12179" t="str">
            <v>FTW121KE</v>
          </cell>
          <cell r="E12179">
            <v>46182</v>
          </cell>
        </row>
        <row r="12180">
          <cell r="A12180" t="str">
            <v>2620BK67</v>
          </cell>
          <cell r="D12180" t="str">
            <v>HV80</v>
          </cell>
          <cell r="E12180">
            <v>46181</v>
          </cell>
        </row>
        <row r="12181">
          <cell r="A12181" t="str">
            <v>2620IH17</v>
          </cell>
          <cell r="D12181" t="str">
            <v>KBP76S</v>
          </cell>
          <cell r="E12181">
            <v>46181</v>
          </cell>
        </row>
        <row r="12182">
          <cell r="A12182" t="str">
            <v>2621LG37</v>
          </cell>
          <cell r="D12182" t="str">
            <v>HV80</v>
          </cell>
          <cell r="E12182">
            <v>46181</v>
          </cell>
        </row>
        <row r="12183">
          <cell r="A12183" t="str">
            <v>2622Q337</v>
          </cell>
          <cell r="D12183" t="str">
            <v>S706</v>
          </cell>
          <cell r="E12183">
            <v>46181</v>
          </cell>
        </row>
        <row r="12184">
          <cell r="A12184" t="str">
            <v>2621EE67</v>
          </cell>
          <cell r="D12184" t="str">
            <v>HV80</v>
          </cell>
          <cell r="E12184">
            <v>46181</v>
          </cell>
        </row>
        <row r="12185">
          <cell r="A12185" t="str">
            <v>2621FV27</v>
          </cell>
          <cell r="D12185" t="str">
            <v>KBP86S</v>
          </cell>
          <cell r="E12185">
            <v>46181</v>
          </cell>
        </row>
        <row r="12186">
          <cell r="A12186" t="str">
            <v>2620IV57</v>
          </cell>
          <cell r="D12186" t="str">
            <v>HV80</v>
          </cell>
          <cell r="E12186">
            <v>46181</v>
          </cell>
        </row>
        <row r="12187">
          <cell r="A12187" t="str">
            <v>2622PU37</v>
          </cell>
          <cell r="D12187" t="str">
            <v>S706</v>
          </cell>
          <cell r="E12187">
            <v>46181</v>
          </cell>
        </row>
        <row r="12188">
          <cell r="A12188" t="str">
            <v>2621QJ17</v>
          </cell>
          <cell r="D12188" t="str">
            <v>HV80</v>
          </cell>
          <cell r="E12188">
            <v>46181</v>
          </cell>
        </row>
        <row r="12189">
          <cell r="A12189" t="str">
            <v>2620IV57</v>
          </cell>
          <cell r="D12189" t="str">
            <v>HV80</v>
          </cell>
          <cell r="E12189">
            <v>46181</v>
          </cell>
        </row>
        <row r="12190">
          <cell r="A12190" t="str">
            <v>2621LM37</v>
          </cell>
          <cell r="D12190" t="str">
            <v>HV80</v>
          </cell>
          <cell r="E12190">
            <v>46181</v>
          </cell>
        </row>
        <row r="12191">
          <cell r="A12191" t="str">
            <v>2622OP27</v>
          </cell>
          <cell r="D12191" t="str">
            <v>S706</v>
          </cell>
          <cell r="E12191">
            <v>46181</v>
          </cell>
        </row>
        <row r="12192">
          <cell r="A12192" t="str">
            <v>2620IW57</v>
          </cell>
          <cell r="D12192" t="str">
            <v>HV80</v>
          </cell>
          <cell r="E12192">
            <v>46181</v>
          </cell>
        </row>
        <row r="12193">
          <cell r="A12193" t="str">
            <v>2621LG37</v>
          </cell>
          <cell r="D12193" t="str">
            <v>HV80</v>
          </cell>
          <cell r="E12193">
            <v>46181</v>
          </cell>
        </row>
        <row r="12194">
          <cell r="A12194" t="str">
            <v>2621QI17</v>
          </cell>
          <cell r="D12194" t="str">
            <v>HV80</v>
          </cell>
          <cell r="E12194">
            <v>46181</v>
          </cell>
        </row>
        <row r="12195">
          <cell r="A12195" t="str">
            <v>2621F267</v>
          </cell>
          <cell r="D12195" t="str">
            <v>S706</v>
          </cell>
          <cell r="E12195">
            <v>46181</v>
          </cell>
        </row>
        <row r="12196">
          <cell r="A12196" t="str">
            <v>2621LT27</v>
          </cell>
          <cell r="D12196" t="str">
            <v>HV80</v>
          </cell>
          <cell r="E12196">
            <v>46181</v>
          </cell>
        </row>
        <row r="12197">
          <cell r="A12197" t="str">
            <v>2621LM37</v>
          </cell>
          <cell r="D12197" t="str">
            <v>HV80</v>
          </cell>
          <cell r="E12197">
            <v>46181</v>
          </cell>
        </row>
        <row r="12198">
          <cell r="A12198" t="str">
            <v>2621EI67</v>
          </cell>
          <cell r="D12198" t="str">
            <v>HV80</v>
          </cell>
          <cell r="E12198">
            <v>46181</v>
          </cell>
        </row>
        <row r="12199">
          <cell r="A12199" t="str">
            <v>2622OT27</v>
          </cell>
          <cell r="D12199" t="str">
            <v>S706</v>
          </cell>
          <cell r="E12199">
            <v>46181</v>
          </cell>
        </row>
        <row r="12200">
          <cell r="A12200" t="str">
            <v>2620O127</v>
          </cell>
          <cell r="D12200" t="str">
            <v>TTS50</v>
          </cell>
          <cell r="E12200">
            <v>46181</v>
          </cell>
        </row>
        <row r="12201">
          <cell r="A12201" t="str">
            <v>2621QI17</v>
          </cell>
          <cell r="D12201" t="str">
            <v>HV80</v>
          </cell>
          <cell r="E12201">
            <v>46181</v>
          </cell>
        </row>
        <row r="12202">
          <cell r="A12202" t="str">
            <v>2621J427</v>
          </cell>
          <cell r="D12202" t="str">
            <v>KBP86</v>
          </cell>
          <cell r="E12202">
            <v>46181</v>
          </cell>
        </row>
        <row r="12203">
          <cell r="A12203" t="str">
            <v>2622Q237</v>
          </cell>
          <cell r="D12203" t="str">
            <v>S706</v>
          </cell>
          <cell r="E12203">
            <v>46181</v>
          </cell>
        </row>
        <row r="12204">
          <cell r="A12204" t="str">
            <v>2621J367</v>
          </cell>
          <cell r="D12204" t="str">
            <v>KBP86</v>
          </cell>
          <cell r="E12204">
            <v>46181</v>
          </cell>
        </row>
        <row r="12205">
          <cell r="A12205" t="str">
            <v>2620QR37</v>
          </cell>
          <cell r="D12205" t="str">
            <v>TTS80</v>
          </cell>
          <cell r="E12205">
            <v>46181</v>
          </cell>
        </row>
        <row r="12206">
          <cell r="A12206" t="str">
            <v>2620G757</v>
          </cell>
          <cell r="D12206" t="str">
            <v>KBP76</v>
          </cell>
          <cell r="E12206">
            <v>46181</v>
          </cell>
        </row>
        <row r="12207">
          <cell r="A12207" t="str">
            <v>2620QJ37</v>
          </cell>
          <cell r="D12207" t="str">
            <v>TTS80</v>
          </cell>
          <cell r="E12207">
            <v>46181</v>
          </cell>
        </row>
        <row r="12208">
          <cell r="A12208" t="str">
            <v>2619QN17</v>
          </cell>
          <cell r="D12208" t="str">
            <v>TTS50</v>
          </cell>
          <cell r="E12208">
            <v>46181</v>
          </cell>
        </row>
        <row r="12209">
          <cell r="A12209" t="str">
            <v>2620P227</v>
          </cell>
          <cell r="D12209" t="str">
            <v>TTS80</v>
          </cell>
          <cell r="E12209">
            <v>46181</v>
          </cell>
        </row>
        <row r="12210">
          <cell r="A12210" t="str">
            <v>2621FV27</v>
          </cell>
          <cell r="D12210" t="str">
            <v>KBP86</v>
          </cell>
          <cell r="E12210">
            <v>46181</v>
          </cell>
        </row>
        <row r="12211">
          <cell r="A12211" t="str">
            <v>2620QM37</v>
          </cell>
          <cell r="D12211" t="str">
            <v>TTS80</v>
          </cell>
          <cell r="E12211">
            <v>46181</v>
          </cell>
        </row>
        <row r="12212">
          <cell r="A12212" t="str">
            <v>2620O537</v>
          </cell>
          <cell r="D12212" t="str">
            <v>KBP86</v>
          </cell>
          <cell r="E12212">
            <v>46181</v>
          </cell>
        </row>
        <row r="12213">
          <cell r="A12213" t="str">
            <v>2620F147</v>
          </cell>
          <cell r="D12213" t="str">
            <v>TTS80</v>
          </cell>
          <cell r="E12213">
            <v>46181</v>
          </cell>
        </row>
        <row r="12214">
          <cell r="A12214" t="str">
            <v>2615JV57</v>
          </cell>
          <cell r="D12214" t="str">
            <v>KBP76</v>
          </cell>
          <cell r="E12214">
            <v>46181</v>
          </cell>
        </row>
        <row r="12215">
          <cell r="A12215" t="str">
            <v>2621EI67</v>
          </cell>
          <cell r="D12215" t="str">
            <v>HV80</v>
          </cell>
          <cell r="E12215">
            <v>46181</v>
          </cell>
        </row>
        <row r="12216">
          <cell r="A12216" t="str">
            <v>2620YJ17</v>
          </cell>
          <cell r="D12216" t="str">
            <v>KBP86</v>
          </cell>
          <cell r="E12216">
            <v>46181</v>
          </cell>
        </row>
        <row r="12217">
          <cell r="A12217" t="str">
            <v>2621OF47</v>
          </cell>
          <cell r="D12217" t="str">
            <v>KBP86</v>
          </cell>
          <cell r="E12217">
            <v>46181</v>
          </cell>
        </row>
        <row r="12218">
          <cell r="A12218" t="str">
            <v>2621PZ47</v>
          </cell>
          <cell r="D12218" t="str">
            <v>KBP55</v>
          </cell>
          <cell r="E12218">
            <v>46181</v>
          </cell>
        </row>
        <row r="12219">
          <cell r="A12219" t="str">
            <v>2621B867</v>
          </cell>
          <cell r="D12219" t="str">
            <v>KBP126</v>
          </cell>
          <cell r="E12219">
            <v>46181</v>
          </cell>
        </row>
        <row r="12220">
          <cell r="A12220" t="str">
            <v>2607IL47</v>
          </cell>
          <cell r="D12220" t="str">
            <v>FTP150</v>
          </cell>
          <cell r="E12220">
            <v>46181</v>
          </cell>
        </row>
        <row r="12221">
          <cell r="A12221" t="str">
            <v>2621WP57</v>
          </cell>
          <cell r="D12221" t="str">
            <v>FTW700</v>
          </cell>
          <cell r="E12221">
            <v>46181</v>
          </cell>
        </row>
        <row r="12222">
          <cell r="A12222" t="str">
            <v>2620EF47</v>
          </cell>
          <cell r="D12222" t="str">
            <v>TTS50</v>
          </cell>
          <cell r="E12222">
            <v>46181</v>
          </cell>
        </row>
        <row r="12223">
          <cell r="A12223" t="str">
            <v>2622HZ27</v>
          </cell>
          <cell r="D12223" t="str">
            <v>S706</v>
          </cell>
          <cell r="E12223">
            <v>46181</v>
          </cell>
        </row>
        <row r="12224">
          <cell r="A12224" t="str">
            <v>2621KZ27</v>
          </cell>
          <cell r="D12224" t="str">
            <v>KBP52</v>
          </cell>
          <cell r="E12224">
            <v>46181</v>
          </cell>
        </row>
        <row r="12225">
          <cell r="A12225" t="str">
            <v>2620EN47</v>
          </cell>
          <cell r="D12225" t="str">
            <v>KBP76</v>
          </cell>
          <cell r="E12225">
            <v>46181</v>
          </cell>
        </row>
        <row r="12226">
          <cell r="A12226" t="str">
            <v>2620EG67</v>
          </cell>
          <cell r="D12226" t="str">
            <v>KBP86</v>
          </cell>
          <cell r="E12226">
            <v>46181</v>
          </cell>
        </row>
        <row r="12227">
          <cell r="A12227" t="str">
            <v>2620GL57</v>
          </cell>
          <cell r="D12227" t="str">
            <v>FTW121KE</v>
          </cell>
          <cell r="E12227">
            <v>46181</v>
          </cell>
        </row>
        <row r="12228">
          <cell r="A12228" t="str">
            <v>2621EE57</v>
          </cell>
          <cell r="D12228" t="str">
            <v>KBP86</v>
          </cell>
          <cell r="E12228">
            <v>46181</v>
          </cell>
        </row>
        <row r="12229">
          <cell r="A12229" t="str">
            <v>2620VT57</v>
          </cell>
          <cell r="D12229" t="str">
            <v>FTW121KE</v>
          </cell>
          <cell r="E12229">
            <v>46181</v>
          </cell>
        </row>
        <row r="12230">
          <cell r="A12230" t="str">
            <v>2621EI57</v>
          </cell>
          <cell r="D12230" t="str">
            <v>KBP86</v>
          </cell>
          <cell r="E12230">
            <v>46181</v>
          </cell>
        </row>
        <row r="12231">
          <cell r="A12231" t="str">
            <v>2621LD47</v>
          </cell>
          <cell r="D12231" t="str">
            <v>FTW121KE</v>
          </cell>
          <cell r="E12231">
            <v>46181</v>
          </cell>
        </row>
        <row r="12232">
          <cell r="A12232" t="str">
            <v>2621ZR57</v>
          </cell>
          <cell r="D12232" t="str">
            <v>KBP86</v>
          </cell>
          <cell r="E12232">
            <v>46181</v>
          </cell>
        </row>
        <row r="12233">
          <cell r="A12233" t="str">
            <v>2621AH67</v>
          </cell>
          <cell r="D12233" t="str">
            <v>FTW121KR</v>
          </cell>
          <cell r="E12233">
            <v>46181</v>
          </cell>
        </row>
        <row r="12234">
          <cell r="A12234" t="str">
            <v>2621O227</v>
          </cell>
          <cell r="D12234" t="str">
            <v>TTS50</v>
          </cell>
          <cell r="E12234">
            <v>46181</v>
          </cell>
        </row>
        <row r="12235">
          <cell r="A12235" t="str">
            <v>2620C747</v>
          </cell>
          <cell r="D12235" t="str">
            <v>FTW121KR</v>
          </cell>
          <cell r="E12235">
            <v>46181</v>
          </cell>
        </row>
        <row r="12236">
          <cell r="A12236" t="str">
            <v>2621Q527</v>
          </cell>
          <cell r="D12236" t="str">
            <v>KBP55</v>
          </cell>
          <cell r="E12236">
            <v>46181</v>
          </cell>
        </row>
        <row r="12237">
          <cell r="A12237" t="str">
            <v>2621DX57</v>
          </cell>
          <cell r="D12237" t="str">
            <v>FTW121KE</v>
          </cell>
          <cell r="E12237">
            <v>46181</v>
          </cell>
        </row>
        <row r="12238">
          <cell r="A12238" t="str">
            <v>2622JQ27</v>
          </cell>
          <cell r="D12238" t="str">
            <v>KBP126</v>
          </cell>
          <cell r="E12238">
            <v>46181</v>
          </cell>
        </row>
        <row r="12239">
          <cell r="A12239" t="str">
            <v>2621WZ57</v>
          </cell>
          <cell r="D12239" t="str">
            <v>FTW121KR</v>
          </cell>
          <cell r="E12239">
            <v>46181</v>
          </cell>
        </row>
        <row r="12240">
          <cell r="A12240" t="str">
            <v>2620PD57</v>
          </cell>
          <cell r="D12240" t="str">
            <v>STA156KA</v>
          </cell>
          <cell r="E12240">
            <v>46181</v>
          </cell>
        </row>
        <row r="12241">
          <cell r="A12241" t="str">
            <v>2621L247</v>
          </cell>
          <cell r="D12241" t="str">
            <v>FTW121KR</v>
          </cell>
          <cell r="E12241">
            <v>46181</v>
          </cell>
        </row>
        <row r="12242">
          <cell r="A12242" t="str">
            <v>2621UC17</v>
          </cell>
          <cell r="D12242" t="str">
            <v>KBP86</v>
          </cell>
          <cell r="E12242">
            <v>46181</v>
          </cell>
        </row>
        <row r="12243">
          <cell r="A12243" t="str">
            <v>2621XS57</v>
          </cell>
          <cell r="D12243" t="str">
            <v>FTW121KR</v>
          </cell>
          <cell r="E12243">
            <v>46181</v>
          </cell>
        </row>
        <row r="12244">
          <cell r="A12244" t="str">
            <v>2613GV37</v>
          </cell>
          <cell r="D12244" t="str">
            <v>FTW503</v>
          </cell>
          <cell r="E12244">
            <v>46181</v>
          </cell>
        </row>
        <row r="12245">
          <cell r="A12245" t="str">
            <v>2622OW27</v>
          </cell>
          <cell r="D12245" t="str">
            <v>S706</v>
          </cell>
          <cell r="E12245">
            <v>46181</v>
          </cell>
        </row>
        <row r="12246">
          <cell r="A12246" t="str">
            <v>2621S817</v>
          </cell>
          <cell r="D12246" t="str">
            <v>KBP76</v>
          </cell>
          <cell r="E12246">
            <v>46181</v>
          </cell>
        </row>
        <row r="12247">
          <cell r="A12247" t="str">
            <v>2622QG17</v>
          </cell>
          <cell r="D12247" t="str">
            <v>S706</v>
          </cell>
          <cell r="E12247">
            <v>46181</v>
          </cell>
        </row>
        <row r="12248">
          <cell r="A12248" t="str">
            <v>2619VD57</v>
          </cell>
          <cell r="D12248" t="str">
            <v>STA156KA</v>
          </cell>
          <cell r="E12248">
            <v>46181</v>
          </cell>
        </row>
        <row r="12249">
          <cell r="A12249" t="str">
            <v>2622OG27</v>
          </cell>
          <cell r="D12249" t="str">
            <v>S706</v>
          </cell>
          <cell r="E12249">
            <v>46181</v>
          </cell>
        </row>
        <row r="12250">
          <cell r="A12250" t="str">
            <v>2620CG47</v>
          </cell>
          <cell r="D12250" t="str">
            <v>KBP86</v>
          </cell>
          <cell r="E12250">
            <v>46181</v>
          </cell>
        </row>
        <row r="12251">
          <cell r="A12251" t="str">
            <v>2621XP57</v>
          </cell>
          <cell r="D12251" t="str">
            <v>FTW121KR</v>
          </cell>
          <cell r="E12251">
            <v>46181</v>
          </cell>
        </row>
        <row r="12252">
          <cell r="A12252" t="str">
            <v>2622J137</v>
          </cell>
          <cell r="D12252" t="str">
            <v>S706</v>
          </cell>
          <cell r="E12252">
            <v>46181</v>
          </cell>
        </row>
        <row r="12253">
          <cell r="A12253" t="str">
            <v>2622IP37</v>
          </cell>
          <cell r="D12253" t="str">
            <v>S706</v>
          </cell>
          <cell r="E12253">
            <v>46181</v>
          </cell>
        </row>
        <row r="12254">
          <cell r="A12254" t="str">
            <v>2622KC17</v>
          </cell>
          <cell r="D12254" t="str">
            <v>KBP86</v>
          </cell>
          <cell r="E12254">
            <v>46181</v>
          </cell>
        </row>
        <row r="12255">
          <cell r="A12255" t="str">
            <v>2622IN37</v>
          </cell>
          <cell r="D12255" t="str">
            <v>S706</v>
          </cell>
          <cell r="E12255">
            <v>46181</v>
          </cell>
        </row>
        <row r="12256">
          <cell r="A12256" t="str">
            <v>2622KT37</v>
          </cell>
          <cell r="D12256" t="str">
            <v>KBP126</v>
          </cell>
          <cell r="E12256">
            <v>46181</v>
          </cell>
        </row>
        <row r="12257">
          <cell r="A12257" t="str">
            <v>2613HO27</v>
          </cell>
          <cell r="D12257" t="str">
            <v>STA156KA</v>
          </cell>
          <cell r="E12257">
            <v>46181</v>
          </cell>
        </row>
        <row r="12258">
          <cell r="A12258" t="str">
            <v>2619Q657</v>
          </cell>
          <cell r="D12258" t="str">
            <v>KBP76</v>
          </cell>
          <cell r="E12258">
            <v>46181</v>
          </cell>
        </row>
        <row r="12259">
          <cell r="A12259" t="str">
            <v>2620CK47</v>
          </cell>
          <cell r="D12259" t="str">
            <v>KBP86</v>
          </cell>
          <cell r="E12259">
            <v>46181</v>
          </cell>
        </row>
        <row r="12260">
          <cell r="A12260" t="str">
            <v>2620II17</v>
          </cell>
          <cell r="D12260" t="str">
            <v>KBP76</v>
          </cell>
          <cell r="E12260">
            <v>46181</v>
          </cell>
        </row>
        <row r="12261">
          <cell r="A12261" t="str">
            <v>2613H737</v>
          </cell>
          <cell r="D12261" t="str">
            <v>FTW503</v>
          </cell>
          <cell r="E12261">
            <v>46181</v>
          </cell>
        </row>
        <row r="12262">
          <cell r="A12262" t="str">
            <v>2621JT47</v>
          </cell>
          <cell r="D12262" t="str">
            <v>KBP76</v>
          </cell>
          <cell r="E12262">
            <v>46181</v>
          </cell>
        </row>
        <row r="12263">
          <cell r="A12263" t="str">
            <v>2609VA57</v>
          </cell>
          <cell r="D12263" t="str">
            <v>KBP52</v>
          </cell>
          <cell r="E12263">
            <v>46181</v>
          </cell>
        </row>
        <row r="12264">
          <cell r="A12264" t="str">
            <v>2620OV37</v>
          </cell>
          <cell r="D12264" t="str">
            <v>KBP52</v>
          </cell>
          <cell r="E12264">
            <v>46181</v>
          </cell>
        </row>
        <row r="12265">
          <cell r="A12265" t="str">
            <v>2621I167</v>
          </cell>
          <cell r="D12265" t="str">
            <v>FTP200</v>
          </cell>
          <cell r="E12265">
            <v>46181</v>
          </cell>
        </row>
        <row r="12266">
          <cell r="A12266" t="str">
            <v>2619FN67</v>
          </cell>
          <cell r="D12266" t="str">
            <v>FTP200</v>
          </cell>
          <cell r="E12266">
            <v>46181</v>
          </cell>
        </row>
        <row r="12267">
          <cell r="A12267" t="str">
            <v>2613FB37</v>
          </cell>
          <cell r="D12267" t="str">
            <v>FTW503</v>
          </cell>
          <cell r="E12267">
            <v>46181</v>
          </cell>
        </row>
        <row r="12268">
          <cell r="A12268" t="str">
            <v>2622KB17</v>
          </cell>
          <cell r="D12268" t="str">
            <v>KBP86</v>
          </cell>
          <cell r="E12268">
            <v>46181</v>
          </cell>
        </row>
        <row r="12269">
          <cell r="A12269" t="str">
            <v>2622LM17</v>
          </cell>
          <cell r="D12269" t="str">
            <v>FTW700</v>
          </cell>
          <cell r="E12269">
            <v>46181</v>
          </cell>
        </row>
        <row r="12270">
          <cell r="A12270" t="str">
            <v>2621EB57</v>
          </cell>
          <cell r="D12270" t="str">
            <v>KBP86</v>
          </cell>
          <cell r="E12270">
            <v>46181</v>
          </cell>
        </row>
        <row r="12271">
          <cell r="A12271" t="str">
            <v>2621IO37</v>
          </cell>
          <cell r="D12271" t="str">
            <v>KBP76</v>
          </cell>
          <cell r="E12271">
            <v>46181</v>
          </cell>
        </row>
        <row r="12272">
          <cell r="A12272" t="str">
            <v>2620C367</v>
          </cell>
          <cell r="D12272" t="str">
            <v>KBP76</v>
          </cell>
          <cell r="E12272">
            <v>46181</v>
          </cell>
        </row>
        <row r="12273">
          <cell r="A12273" t="str">
            <v>2621LZ47</v>
          </cell>
          <cell r="D12273" t="str">
            <v>KBP86</v>
          </cell>
          <cell r="E12273">
            <v>46181</v>
          </cell>
        </row>
        <row r="12274">
          <cell r="A12274" t="str">
            <v>2613GM37</v>
          </cell>
          <cell r="D12274" t="str">
            <v>FTW503</v>
          </cell>
          <cell r="E12274">
            <v>46181</v>
          </cell>
        </row>
        <row r="12275">
          <cell r="A12275" t="str">
            <v>2621PX27</v>
          </cell>
          <cell r="D12275" t="str">
            <v>KBP55</v>
          </cell>
          <cell r="E12275">
            <v>46181</v>
          </cell>
        </row>
        <row r="12276">
          <cell r="A12276" t="str">
            <v>2613FH37</v>
          </cell>
          <cell r="D12276" t="str">
            <v>FTW503</v>
          </cell>
          <cell r="E12276">
            <v>46181</v>
          </cell>
        </row>
        <row r="12277">
          <cell r="A12277" t="str">
            <v>2621YC57</v>
          </cell>
          <cell r="D12277" t="str">
            <v>KBP86</v>
          </cell>
          <cell r="E12277">
            <v>46181</v>
          </cell>
        </row>
        <row r="12278">
          <cell r="A12278" t="str">
            <v>2621L427</v>
          </cell>
          <cell r="D12278" t="str">
            <v>KBP52</v>
          </cell>
          <cell r="E12278">
            <v>46181</v>
          </cell>
        </row>
        <row r="12279">
          <cell r="A12279" t="str">
            <v>2621GG67</v>
          </cell>
          <cell r="D12279" t="str">
            <v>KBP76</v>
          </cell>
          <cell r="E12279">
            <v>46181</v>
          </cell>
        </row>
        <row r="12280">
          <cell r="A12280" t="str">
            <v>2620HM57</v>
          </cell>
          <cell r="D12280" t="str">
            <v>KBP86</v>
          </cell>
          <cell r="E12280">
            <v>46181</v>
          </cell>
        </row>
        <row r="12281">
          <cell r="A12281" t="str">
            <v>2607LB17</v>
          </cell>
          <cell r="D12281" t="str">
            <v>KBP52</v>
          </cell>
          <cell r="E12281">
            <v>46181</v>
          </cell>
        </row>
        <row r="12282">
          <cell r="A12282" t="str">
            <v>2619S227</v>
          </cell>
          <cell r="D12282" t="str">
            <v>TTS50</v>
          </cell>
          <cell r="E12282">
            <v>46181</v>
          </cell>
        </row>
        <row r="12283">
          <cell r="A12283" t="str">
            <v>2617L147</v>
          </cell>
          <cell r="D12283" t="str">
            <v>FTP200</v>
          </cell>
          <cell r="E12283">
            <v>46181</v>
          </cell>
        </row>
        <row r="12284">
          <cell r="A12284" t="str">
            <v>2615LA57</v>
          </cell>
          <cell r="D12284" t="str">
            <v>TTS50</v>
          </cell>
          <cell r="E12284">
            <v>46181</v>
          </cell>
        </row>
        <row r="12285">
          <cell r="A12285" t="str">
            <v>2620KK27</v>
          </cell>
          <cell r="D12285" t="str">
            <v>KBP86</v>
          </cell>
          <cell r="E12285">
            <v>46181</v>
          </cell>
        </row>
        <row r="12286">
          <cell r="A12286" t="str">
            <v>2621KO17</v>
          </cell>
          <cell r="D12286" t="str">
            <v>KBP86</v>
          </cell>
          <cell r="E12286">
            <v>46181</v>
          </cell>
        </row>
        <row r="12287">
          <cell r="A12287" t="str">
            <v>2621L127</v>
          </cell>
          <cell r="D12287" t="str">
            <v>KBP52</v>
          </cell>
          <cell r="E12287">
            <v>46181</v>
          </cell>
        </row>
        <row r="12288">
          <cell r="A12288" t="str">
            <v>2617PK27</v>
          </cell>
          <cell r="D12288" t="str">
            <v>KBP52</v>
          </cell>
          <cell r="E12288">
            <v>46181</v>
          </cell>
        </row>
        <row r="12289">
          <cell r="A12289" t="str">
            <v>2619FR67</v>
          </cell>
          <cell r="D12289" t="str">
            <v>FTP200</v>
          </cell>
          <cell r="E12289">
            <v>46181</v>
          </cell>
        </row>
        <row r="12290">
          <cell r="A12290" t="str">
            <v>2620SE57</v>
          </cell>
          <cell r="D12290" t="str">
            <v>KBP86</v>
          </cell>
          <cell r="E12290">
            <v>46181</v>
          </cell>
        </row>
        <row r="12291">
          <cell r="A12291" t="str">
            <v>2621HW27</v>
          </cell>
          <cell r="D12291" t="str">
            <v>FTW121KE</v>
          </cell>
          <cell r="E12291">
            <v>46181</v>
          </cell>
        </row>
        <row r="12292">
          <cell r="A12292" t="str">
            <v>2619D537</v>
          </cell>
          <cell r="D12292" t="str">
            <v>TTS50</v>
          </cell>
          <cell r="E12292">
            <v>46181</v>
          </cell>
        </row>
        <row r="12293">
          <cell r="A12293" t="str">
            <v>2621AL67</v>
          </cell>
          <cell r="D12293" t="str">
            <v>FTW121KE</v>
          </cell>
          <cell r="E12293">
            <v>46181</v>
          </cell>
        </row>
        <row r="12294">
          <cell r="A12294" t="str">
            <v>2621KH47</v>
          </cell>
          <cell r="D12294" t="str">
            <v>FTW121KE</v>
          </cell>
          <cell r="E12294">
            <v>46181</v>
          </cell>
        </row>
        <row r="12295">
          <cell r="A12295" t="str">
            <v>2620AO67</v>
          </cell>
          <cell r="D12295" t="str">
            <v>KBP52</v>
          </cell>
          <cell r="E12295">
            <v>46181</v>
          </cell>
        </row>
        <row r="12296">
          <cell r="A12296" t="str">
            <v>2620QF37</v>
          </cell>
          <cell r="D12296" t="str">
            <v>FTP200</v>
          </cell>
          <cell r="E12296">
            <v>46181</v>
          </cell>
        </row>
        <row r="12297">
          <cell r="A12297" t="str">
            <v>2621WR57</v>
          </cell>
          <cell r="D12297" t="str">
            <v>FTW121KE</v>
          </cell>
          <cell r="E12297">
            <v>46181</v>
          </cell>
        </row>
        <row r="12298">
          <cell r="A12298" t="str">
            <v>2616FM57</v>
          </cell>
          <cell r="D12298" t="str">
            <v>FTP200</v>
          </cell>
          <cell r="E12298">
            <v>46181</v>
          </cell>
        </row>
        <row r="12299">
          <cell r="A12299" t="str">
            <v>2622EI27</v>
          </cell>
          <cell r="D12299" t="str">
            <v>KBP86</v>
          </cell>
          <cell r="E12299">
            <v>46181</v>
          </cell>
        </row>
        <row r="12300">
          <cell r="A12300" t="str">
            <v>2606KY37</v>
          </cell>
          <cell r="D12300" t="str">
            <v>KBP52</v>
          </cell>
          <cell r="E12300">
            <v>46181</v>
          </cell>
        </row>
        <row r="12301">
          <cell r="A12301" t="str">
            <v>2619Q357</v>
          </cell>
          <cell r="D12301" t="str">
            <v>KBP76</v>
          </cell>
          <cell r="E12301">
            <v>46181</v>
          </cell>
        </row>
        <row r="12302">
          <cell r="A12302" t="str">
            <v>2621EJ57</v>
          </cell>
          <cell r="D12302" t="str">
            <v>KBP86</v>
          </cell>
          <cell r="E12302">
            <v>46181</v>
          </cell>
        </row>
        <row r="12303">
          <cell r="A12303" t="str">
            <v>2621W157</v>
          </cell>
          <cell r="D12303" t="str">
            <v>KBP76</v>
          </cell>
          <cell r="E12303">
            <v>46181</v>
          </cell>
        </row>
        <row r="12304">
          <cell r="A12304" t="str">
            <v>2621OY27</v>
          </cell>
          <cell r="D12304" t="str">
            <v>KBP76</v>
          </cell>
          <cell r="E12304">
            <v>46181</v>
          </cell>
        </row>
        <row r="12305">
          <cell r="A12305" t="str">
            <v>2613GL37</v>
          </cell>
          <cell r="D12305" t="str">
            <v>FTW503</v>
          </cell>
          <cell r="E12305">
            <v>46181</v>
          </cell>
        </row>
        <row r="12306">
          <cell r="A12306" t="str">
            <v>2621GO67</v>
          </cell>
          <cell r="D12306" t="str">
            <v>KBP76</v>
          </cell>
          <cell r="E12306">
            <v>46181</v>
          </cell>
        </row>
        <row r="12307">
          <cell r="A12307" t="str">
            <v>2622A337</v>
          </cell>
          <cell r="D12307" t="str">
            <v>KBP76</v>
          </cell>
          <cell r="E12307">
            <v>46181</v>
          </cell>
        </row>
        <row r="12308">
          <cell r="A12308" t="str">
            <v>2621LA47</v>
          </cell>
          <cell r="D12308" t="str">
            <v>FTW121KE</v>
          </cell>
          <cell r="E12308">
            <v>46181</v>
          </cell>
        </row>
        <row r="12309">
          <cell r="A12309" t="str">
            <v>2622S117</v>
          </cell>
          <cell r="D12309" t="str">
            <v>STA156KA</v>
          </cell>
          <cell r="E12309">
            <v>46181</v>
          </cell>
        </row>
        <row r="12310">
          <cell r="A12310" t="str">
            <v>2613GY37</v>
          </cell>
          <cell r="D12310" t="str">
            <v>FTW503</v>
          </cell>
          <cell r="E12310">
            <v>46181</v>
          </cell>
        </row>
        <row r="12311">
          <cell r="A12311" t="str">
            <v>2620AJ67</v>
          </cell>
          <cell r="D12311" t="str">
            <v>KBP52</v>
          </cell>
          <cell r="E12311">
            <v>46181</v>
          </cell>
        </row>
        <row r="12312">
          <cell r="A12312" t="str">
            <v>2615L327</v>
          </cell>
          <cell r="D12312" t="str">
            <v>S15HV100</v>
          </cell>
          <cell r="E12312">
            <v>46181</v>
          </cell>
        </row>
        <row r="12313">
          <cell r="A12313" t="str">
            <v>2620AR67</v>
          </cell>
          <cell r="D12313" t="str">
            <v>KBP52</v>
          </cell>
          <cell r="E12313">
            <v>46181</v>
          </cell>
        </row>
        <row r="12314">
          <cell r="A12314" t="str">
            <v>2621L937</v>
          </cell>
          <cell r="D12314" t="str">
            <v>KBP52</v>
          </cell>
          <cell r="E12314">
            <v>46181</v>
          </cell>
        </row>
        <row r="12315">
          <cell r="A12315" t="str">
            <v>2621IV27</v>
          </cell>
          <cell r="D12315" t="str">
            <v>KBP86</v>
          </cell>
          <cell r="E12315">
            <v>46181</v>
          </cell>
        </row>
        <row r="12316">
          <cell r="A12316" t="str">
            <v>2620AI67</v>
          </cell>
          <cell r="D12316" t="str">
            <v>KBP52</v>
          </cell>
          <cell r="E12316">
            <v>46181</v>
          </cell>
        </row>
        <row r="12317">
          <cell r="A12317" t="str">
            <v>2621IJ27</v>
          </cell>
          <cell r="D12317" t="str">
            <v>FTW121KE</v>
          </cell>
          <cell r="E12317">
            <v>46181</v>
          </cell>
        </row>
        <row r="12318">
          <cell r="A12318" t="str">
            <v>2621VZ57</v>
          </cell>
          <cell r="D12318" t="str">
            <v>KBP76</v>
          </cell>
          <cell r="E12318">
            <v>46181</v>
          </cell>
        </row>
        <row r="12319">
          <cell r="A12319" t="str">
            <v>2621LG47</v>
          </cell>
          <cell r="D12319" t="str">
            <v>FTW121KE</v>
          </cell>
          <cell r="E12319">
            <v>46181</v>
          </cell>
        </row>
        <row r="12320">
          <cell r="A12320" t="str">
            <v>2620GM57</v>
          </cell>
          <cell r="D12320" t="str">
            <v>FTW121KE</v>
          </cell>
          <cell r="E12320">
            <v>46181</v>
          </cell>
        </row>
        <row r="12321">
          <cell r="A12321" t="str">
            <v>2622LY17</v>
          </cell>
          <cell r="D12321" t="str">
            <v>FTW121KE</v>
          </cell>
          <cell r="E12321">
            <v>46181</v>
          </cell>
        </row>
        <row r="12322">
          <cell r="A12322" t="str">
            <v>2621HI27</v>
          </cell>
          <cell r="D12322" t="str">
            <v>FTW121KE</v>
          </cell>
          <cell r="E12322">
            <v>46181</v>
          </cell>
        </row>
        <row r="12323">
          <cell r="A12323" t="str">
            <v>2619IO17</v>
          </cell>
          <cell r="D12323" t="str">
            <v>TTS50</v>
          </cell>
          <cell r="E12323">
            <v>46181</v>
          </cell>
        </row>
        <row r="12324">
          <cell r="A12324" t="str">
            <v>2621II27</v>
          </cell>
          <cell r="D12324" t="str">
            <v>FTW121KE</v>
          </cell>
          <cell r="E12324">
            <v>46181</v>
          </cell>
        </row>
        <row r="12325">
          <cell r="A12325" t="str">
            <v>2620HI57</v>
          </cell>
          <cell r="D12325" t="str">
            <v>KBP86</v>
          </cell>
          <cell r="E12325">
            <v>46181</v>
          </cell>
        </row>
        <row r="12326">
          <cell r="A12326" t="str">
            <v>2621CW67</v>
          </cell>
          <cell r="D12326" t="str">
            <v>KBP86</v>
          </cell>
          <cell r="E12326">
            <v>46181</v>
          </cell>
        </row>
        <row r="12327">
          <cell r="A12327" t="str">
            <v>2620XR57</v>
          </cell>
          <cell r="D12327" t="str">
            <v>KBP86</v>
          </cell>
          <cell r="E12327">
            <v>46181</v>
          </cell>
        </row>
        <row r="12328">
          <cell r="A12328" t="str">
            <v>2622Q837</v>
          </cell>
          <cell r="D12328" t="str">
            <v>KBP76</v>
          </cell>
          <cell r="E12328">
            <v>46181</v>
          </cell>
        </row>
        <row r="12329">
          <cell r="A12329" t="str">
            <v>2621KP17</v>
          </cell>
          <cell r="D12329" t="str">
            <v>KBP86</v>
          </cell>
          <cell r="E12329">
            <v>46181</v>
          </cell>
        </row>
        <row r="12330">
          <cell r="A12330" t="str">
            <v>2613GK37</v>
          </cell>
          <cell r="D12330" t="str">
            <v>FTW503</v>
          </cell>
          <cell r="E12330">
            <v>46181</v>
          </cell>
        </row>
        <row r="12331">
          <cell r="A12331" t="str">
            <v>2622EV37</v>
          </cell>
          <cell r="D12331" t="str">
            <v>KBP86</v>
          </cell>
          <cell r="E12331">
            <v>46181</v>
          </cell>
        </row>
        <row r="12332">
          <cell r="A12332" t="str">
            <v>2621W257</v>
          </cell>
          <cell r="D12332" t="str">
            <v>KBP76</v>
          </cell>
          <cell r="E12332">
            <v>46181</v>
          </cell>
        </row>
        <row r="12333">
          <cell r="A12333" t="str">
            <v>2620IH17</v>
          </cell>
          <cell r="D12333" t="str">
            <v>KBP76</v>
          </cell>
          <cell r="E12333">
            <v>46181</v>
          </cell>
        </row>
        <row r="12334">
          <cell r="A12334" t="str">
            <v>2621ZV57</v>
          </cell>
          <cell r="D12334" t="str">
            <v>KBP86</v>
          </cell>
          <cell r="E12334">
            <v>46181</v>
          </cell>
        </row>
        <row r="12335">
          <cell r="A12335" t="str">
            <v>2622LL17</v>
          </cell>
          <cell r="D12335" t="str">
            <v>FTW700</v>
          </cell>
          <cell r="E12335">
            <v>46181</v>
          </cell>
        </row>
        <row r="12336">
          <cell r="A12336" t="str">
            <v>2620G657</v>
          </cell>
          <cell r="D12336" t="str">
            <v>KBP76</v>
          </cell>
          <cell r="E12336">
            <v>46181</v>
          </cell>
        </row>
        <row r="12337">
          <cell r="A12337" t="str">
            <v>2622Q127</v>
          </cell>
          <cell r="D12337" t="str">
            <v>KBP76</v>
          </cell>
          <cell r="E12337">
            <v>46181</v>
          </cell>
        </row>
        <row r="12338">
          <cell r="A12338" t="str">
            <v>2621FZ27</v>
          </cell>
          <cell r="D12338" t="str">
            <v>KBP86</v>
          </cell>
          <cell r="E12338">
            <v>46181</v>
          </cell>
        </row>
        <row r="12339">
          <cell r="A12339" t="str">
            <v>2622KD17</v>
          </cell>
          <cell r="D12339" t="str">
            <v>KBP86</v>
          </cell>
          <cell r="E12339">
            <v>46181</v>
          </cell>
        </row>
        <row r="12340">
          <cell r="A12340" t="str">
            <v>2619AJ57</v>
          </cell>
          <cell r="D12340" t="str">
            <v>KBP86</v>
          </cell>
          <cell r="E12340">
            <v>46181</v>
          </cell>
        </row>
        <row r="12341">
          <cell r="A12341" t="str">
            <v>2621DS57</v>
          </cell>
          <cell r="D12341" t="str">
            <v>FTW121KE</v>
          </cell>
          <cell r="E12341">
            <v>46181</v>
          </cell>
        </row>
        <row r="12342">
          <cell r="A12342" t="str">
            <v>2620UE57</v>
          </cell>
          <cell r="D12342" t="str">
            <v>KBP76</v>
          </cell>
          <cell r="E12342">
            <v>46181</v>
          </cell>
        </row>
        <row r="12343">
          <cell r="A12343" t="str">
            <v>2621O637</v>
          </cell>
          <cell r="D12343" t="str">
            <v>KBP76</v>
          </cell>
          <cell r="E12343">
            <v>46181</v>
          </cell>
        </row>
        <row r="12344">
          <cell r="A12344" t="str">
            <v>2610HV37</v>
          </cell>
          <cell r="D12344" t="str">
            <v>FTP150</v>
          </cell>
          <cell r="E12344">
            <v>46181</v>
          </cell>
        </row>
        <row r="12345">
          <cell r="A12345" t="str">
            <v>2622J237</v>
          </cell>
          <cell r="D12345" t="str">
            <v>S706</v>
          </cell>
          <cell r="E12345">
            <v>46181</v>
          </cell>
        </row>
        <row r="12346">
          <cell r="A12346" t="str">
            <v>2619FP67</v>
          </cell>
          <cell r="D12346" t="str">
            <v>FTP200</v>
          </cell>
          <cell r="E12346">
            <v>46181</v>
          </cell>
        </row>
        <row r="12347">
          <cell r="A12347" t="str">
            <v>2622IW37</v>
          </cell>
          <cell r="D12347" t="str">
            <v>S706</v>
          </cell>
          <cell r="E12347">
            <v>46181</v>
          </cell>
        </row>
        <row r="12348">
          <cell r="A12348" t="str">
            <v>2621L617</v>
          </cell>
          <cell r="D12348" t="str">
            <v>KBP76</v>
          </cell>
          <cell r="E12348">
            <v>46181</v>
          </cell>
        </row>
        <row r="12349">
          <cell r="A12349" t="str">
            <v>2622IS37</v>
          </cell>
          <cell r="D12349" t="str">
            <v>S706</v>
          </cell>
          <cell r="E12349">
            <v>46181</v>
          </cell>
        </row>
        <row r="12350">
          <cell r="A12350" t="str">
            <v>2620XJ57</v>
          </cell>
          <cell r="D12350" t="str">
            <v>KBP86</v>
          </cell>
          <cell r="E12350">
            <v>46181</v>
          </cell>
        </row>
        <row r="12351">
          <cell r="A12351" t="str">
            <v>2622SV17</v>
          </cell>
          <cell r="D12351" t="str">
            <v>TTS80</v>
          </cell>
          <cell r="E12351">
            <v>46181</v>
          </cell>
        </row>
        <row r="12352">
          <cell r="A12352" t="str">
            <v>2621KT17</v>
          </cell>
          <cell r="D12352" t="str">
            <v>KBP86</v>
          </cell>
          <cell r="E12352">
            <v>46181</v>
          </cell>
        </row>
        <row r="12353">
          <cell r="A12353" t="str">
            <v>2621W357</v>
          </cell>
          <cell r="D12353" t="str">
            <v>KBP76</v>
          </cell>
          <cell r="E12353">
            <v>46181</v>
          </cell>
        </row>
        <row r="12354">
          <cell r="A12354" t="str">
            <v>2609H617</v>
          </cell>
          <cell r="D12354" t="str">
            <v>FTP150</v>
          </cell>
          <cell r="E12354">
            <v>46181</v>
          </cell>
        </row>
        <row r="12355">
          <cell r="A12355" t="str">
            <v>2620CT67</v>
          </cell>
          <cell r="D12355" t="str">
            <v>KBP55</v>
          </cell>
          <cell r="E12355">
            <v>46181</v>
          </cell>
        </row>
        <row r="12356">
          <cell r="A12356" t="str">
            <v>2613GI37</v>
          </cell>
          <cell r="D12356" t="str">
            <v>FTW503</v>
          </cell>
          <cell r="E12356">
            <v>46181</v>
          </cell>
        </row>
        <row r="12357">
          <cell r="A12357" t="str">
            <v>2616Z157</v>
          </cell>
          <cell r="D12357" t="str">
            <v>STA156KA</v>
          </cell>
          <cell r="E12357">
            <v>46180</v>
          </cell>
        </row>
        <row r="12358">
          <cell r="A12358" t="str">
            <v>2620OA17</v>
          </cell>
          <cell r="D12358" t="str">
            <v>TTS80</v>
          </cell>
          <cell r="E12358">
            <v>46180</v>
          </cell>
        </row>
        <row r="12359">
          <cell r="A12359" t="str">
            <v>2621DR57</v>
          </cell>
          <cell r="D12359" t="str">
            <v>FTW121KE</v>
          </cell>
          <cell r="E12359">
            <v>46180</v>
          </cell>
        </row>
        <row r="12360">
          <cell r="A12360" t="str">
            <v>2608CO47</v>
          </cell>
          <cell r="D12360" t="str">
            <v>KBP52</v>
          </cell>
          <cell r="E12360">
            <v>46180</v>
          </cell>
        </row>
        <row r="12361">
          <cell r="A12361" t="str">
            <v>2622LR17</v>
          </cell>
          <cell r="D12361" t="str">
            <v>FTW700</v>
          </cell>
          <cell r="E12361">
            <v>46180</v>
          </cell>
        </row>
        <row r="12362">
          <cell r="A12362" t="str">
            <v>2620C667</v>
          </cell>
          <cell r="D12362" t="str">
            <v>KBP76</v>
          </cell>
          <cell r="E12362">
            <v>46180</v>
          </cell>
        </row>
        <row r="12363">
          <cell r="A12363" t="str">
            <v>2602Z427</v>
          </cell>
          <cell r="D12363" t="str">
            <v>S805</v>
          </cell>
          <cell r="E12363">
            <v>46180</v>
          </cell>
        </row>
        <row r="12364">
          <cell r="A12364" t="str">
            <v>2620L917</v>
          </cell>
          <cell r="D12364" t="str">
            <v>TTS50</v>
          </cell>
          <cell r="E12364">
            <v>46180</v>
          </cell>
        </row>
        <row r="12365">
          <cell r="A12365" t="str">
            <v>2621L847</v>
          </cell>
          <cell r="D12365" t="str">
            <v>FTW121KE</v>
          </cell>
          <cell r="E12365">
            <v>46180</v>
          </cell>
        </row>
        <row r="12366">
          <cell r="A12366" t="str">
            <v>2620C667</v>
          </cell>
          <cell r="D12366" t="str">
            <v>KBP76</v>
          </cell>
          <cell r="E12366">
            <v>46180</v>
          </cell>
        </row>
        <row r="12367">
          <cell r="A12367" t="str">
            <v>2622EZ37</v>
          </cell>
          <cell r="D12367" t="str">
            <v>KBP86</v>
          </cell>
          <cell r="E12367">
            <v>46180</v>
          </cell>
        </row>
        <row r="12368">
          <cell r="A12368" t="str">
            <v>2620DP67</v>
          </cell>
          <cell r="D12368" t="str">
            <v>KBP86</v>
          </cell>
          <cell r="E12368">
            <v>46180</v>
          </cell>
        </row>
        <row r="12369">
          <cell r="A12369" t="str">
            <v>2621JL37</v>
          </cell>
          <cell r="D12369" t="str">
            <v>FTW121KE</v>
          </cell>
          <cell r="E12369">
            <v>46180</v>
          </cell>
        </row>
        <row r="12370">
          <cell r="A12370" t="str">
            <v>2621O547</v>
          </cell>
          <cell r="D12370" t="str">
            <v>KBP86</v>
          </cell>
          <cell r="E12370">
            <v>46180</v>
          </cell>
        </row>
        <row r="12371">
          <cell r="A12371" t="str">
            <v>2621DU57</v>
          </cell>
          <cell r="D12371" t="str">
            <v>FTW121KE</v>
          </cell>
          <cell r="E12371">
            <v>46180</v>
          </cell>
        </row>
        <row r="12372">
          <cell r="A12372" t="str">
            <v>2621JF37</v>
          </cell>
          <cell r="D12372" t="str">
            <v>FTW121KE</v>
          </cell>
          <cell r="E12372">
            <v>46180</v>
          </cell>
        </row>
        <row r="12373">
          <cell r="A12373" t="str">
            <v>2621AJ67</v>
          </cell>
          <cell r="D12373" t="str">
            <v>FTW121KE</v>
          </cell>
          <cell r="E12373">
            <v>46180</v>
          </cell>
        </row>
        <row r="12374">
          <cell r="A12374" t="str">
            <v>2619EI67</v>
          </cell>
          <cell r="D12374" t="str">
            <v>S805</v>
          </cell>
          <cell r="E12374">
            <v>46180</v>
          </cell>
        </row>
        <row r="12375">
          <cell r="A12375" t="str">
            <v>2622OJ17</v>
          </cell>
          <cell r="D12375" t="str">
            <v>FTW121KE</v>
          </cell>
          <cell r="E12375">
            <v>46180</v>
          </cell>
        </row>
        <row r="12376">
          <cell r="A12376" t="str">
            <v>2620IK17</v>
          </cell>
          <cell r="D12376" t="str">
            <v>S805</v>
          </cell>
          <cell r="E12376">
            <v>46180</v>
          </cell>
        </row>
        <row r="12377">
          <cell r="A12377" t="str">
            <v>2620P737</v>
          </cell>
          <cell r="D12377" t="str">
            <v>HV80</v>
          </cell>
          <cell r="E12377">
            <v>46180</v>
          </cell>
        </row>
        <row r="12378">
          <cell r="A12378" t="str">
            <v>2622I437</v>
          </cell>
          <cell r="D12378" t="str">
            <v>KBP126</v>
          </cell>
          <cell r="E12378">
            <v>46180</v>
          </cell>
        </row>
        <row r="12379">
          <cell r="A12379" t="str">
            <v>2621LH37</v>
          </cell>
          <cell r="D12379" t="str">
            <v>HV80</v>
          </cell>
          <cell r="E12379">
            <v>46180</v>
          </cell>
        </row>
        <row r="12380">
          <cell r="A12380" t="str">
            <v>2621IZ67</v>
          </cell>
          <cell r="D12380" t="str">
            <v>KBP86</v>
          </cell>
          <cell r="E12380">
            <v>46180</v>
          </cell>
        </row>
        <row r="12381">
          <cell r="A12381" t="str">
            <v>2620IQ57</v>
          </cell>
          <cell r="D12381" t="str">
            <v>HV80</v>
          </cell>
          <cell r="E12381">
            <v>46180</v>
          </cell>
        </row>
        <row r="12382">
          <cell r="A12382" t="str">
            <v>2622LJ17</v>
          </cell>
          <cell r="D12382" t="str">
            <v>FTW700</v>
          </cell>
          <cell r="E12382">
            <v>46180</v>
          </cell>
        </row>
        <row r="12383">
          <cell r="A12383" t="str">
            <v>2621EM67</v>
          </cell>
          <cell r="D12383" t="str">
            <v>HV80</v>
          </cell>
          <cell r="E12383">
            <v>46180</v>
          </cell>
        </row>
        <row r="12384">
          <cell r="A12384" t="str">
            <v>2620HH57</v>
          </cell>
          <cell r="D12384" t="str">
            <v>KBP86</v>
          </cell>
          <cell r="E12384">
            <v>46180</v>
          </cell>
        </row>
        <row r="12385">
          <cell r="A12385" t="str">
            <v>2620BG67</v>
          </cell>
          <cell r="D12385" t="str">
            <v>HV80</v>
          </cell>
          <cell r="E12385">
            <v>46180</v>
          </cell>
        </row>
        <row r="12386">
          <cell r="A12386" t="str">
            <v>2620CP47</v>
          </cell>
          <cell r="D12386" t="str">
            <v>KBP86</v>
          </cell>
          <cell r="E12386">
            <v>46180</v>
          </cell>
        </row>
        <row r="12387">
          <cell r="A12387" t="str">
            <v>2621EC67</v>
          </cell>
          <cell r="D12387" t="str">
            <v>HV80</v>
          </cell>
          <cell r="E12387">
            <v>46180</v>
          </cell>
        </row>
        <row r="12388">
          <cell r="A12388" t="str">
            <v>2620C767</v>
          </cell>
          <cell r="D12388" t="str">
            <v>KBP76</v>
          </cell>
          <cell r="E12388">
            <v>46180</v>
          </cell>
        </row>
        <row r="12389">
          <cell r="A12389" t="str">
            <v>2620LI27</v>
          </cell>
          <cell r="D12389" t="str">
            <v>HV80</v>
          </cell>
          <cell r="E12389">
            <v>46180</v>
          </cell>
        </row>
        <row r="12390">
          <cell r="A12390" t="str">
            <v>2622OB17</v>
          </cell>
          <cell r="D12390" t="str">
            <v>FTW121KE</v>
          </cell>
          <cell r="E12390">
            <v>46180</v>
          </cell>
        </row>
        <row r="12391">
          <cell r="A12391" t="str">
            <v>2620LJ27</v>
          </cell>
          <cell r="D12391" t="str">
            <v>HV80</v>
          </cell>
          <cell r="E12391">
            <v>46180</v>
          </cell>
        </row>
        <row r="12392">
          <cell r="A12392" t="str">
            <v>2621DI67</v>
          </cell>
          <cell r="D12392" t="str">
            <v>KBP52</v>
          </cell>
          <cell r="E12392">
            <v>46180</v>
          </cell>
        </row>
        <row r="12393">
          <cell r="A12393" t="str">
            <v>2620LQ27</v>
          </cell>
          <cell r="D12393" t="str">
            <v>HV80</v>
          </cell>
          <cell r="E12393">
            <v>46180</v>
          </cell>
        </row>
        <row r="12394">
          <cell r="A12394" t="str">
            <v>2620YK17</v>
          </cell>
          <cell r="D12394" t="str">
            <v>KBP86</v>
          </cell>
          <cell r="E12394">
            <v>46180</v>
          </cell>
        </row>
        <row r="12395">
          <cell r="A12395" t="str">
            <v>2621LL37</v>
          </cell>
          <cell r="D12395" t="str">
            <v>HV80</v>
          </cell>
          <cell r="E12395">
            <v>46180</v>
          </cell>
        </row>
        <row r="12396">
          <cell r="A12396" t="str">
            <v>2620I957</v>
          </cell>
          <cell r="D12396" t="str">
            <v>KBP86</v>
          </cell>
          <cell r="E12396">
            <v>46180</v>
          </cell>
        </row>
        <row r="12397">
          <cell r="A12397" t="str">
            <v>2620O437</v>
          </cell>
          <cell r="D12397" t="str">
            <v>KBP86</v>
          </cell>
          <cell r="E12397">
            <v>46180</v>
          </cell>
        </row>
        <row r="12398">
          <cell r="A12398" t="str">
            <v>2613EV37</v>
          </cell>
          <cell r="D12398" t="str">
            <v>FTW503</v>
          </cell>
          <cell r="E12398">
            <v>46180</v>
          </cell>
        </row>
        <row r="12399">
          <cell r="A12399" t="str">
            <v>2621IV67</v>
          </cell>
          <cell r="D12399" t="str">
            <v>TTS80</v>
          </cell>
          <cell r="E12399">
            <v>46180</v>
          </cell>
        </row>
        <row r="12400">
          <cell r="A12400" t="str">
            <v>2621K347</v>
          </cell>
          <cell r="D12400" t="str">
            <v>S805</v>
          </cell>
          <cell r="E12400">
            <v>46180</v>
          </cell>
        </row>
        <row r="12401">
          <cell r="A12401" t="str">
            <v>2619FM67</v>
          </cell>
          <cell r="D12401" t="str">
            <v>FTP200</v>
          </cell>
          <cell r="E12401">
            <v>46180</v>
          </cell>
        </row>
        <row r="12402">
          <cell r="A12402" t="str">
            <v>2620XT57</v>
          </cell>
          <cell r="D12402" t="str">
            <v>KBP86</v>
          </cell>
          <cell r="E12402">
            <v>46180</v>
          </cell>
        </row>
        <row r="12403">
          <cell r="A12403" t="str">
            <v>2613DC57</v>
          </cell>
          <cell r="D12403" t="str">
            <v>FTW503</v>
          </cell>
          <cell r="E12403">
            <v>46180</v>
          </cell>
        </row>
        <row r="12404">
          <cell r="A12404" t="str">
            <v>2621D467</v>
          </cell>
          <cell r="D12404" t="str">
            <v>KBP86</v>
          </cell>
          <cell r="E12404">
            <v>46180</v>
          </cell>
        </row>
        <row r="12405">
          <cell r="A12405" t="str">
            <v>2620LZ17</v>
          </cell>
          <cell r="D12405" t="str">
            <v>FTP200</v>
          </cell>
          <cell r="E12405">
            <v>46180</v>
          </cell>
        </row>
        <row r="12406">
          <cell r="A12406" t="str">
            <v>2622HN27</v>
          </cell>
          <cell r="D12406" t="str">
            <v>KBP76</v>
          </cell>
          <cell r="E12406">
            <v>46180</v>
          </cell>
        </row>
        <row r="12407">
          <cell r="A12407" t="str">
            <v>2613IB47</v>
          </cell>
          <cell r="D12407" t="str">
            <v>FTW503</v>
          </cell>
          <cell r="E12407">
            <v>46180</v>
          </cell>
        </row>
        <row r="12408">
          <cell r="A12408" t="str">
            <v>2620AH67</v>
          </cell>
          <cell r="D12408" t="str">
            <v>KBP52</v>
          </cell>
          <cell r="E12408">
            <v>46180</v>
          </cell>
        </row>
        <row r="12409">
          <cell r="A12409" t="str">
            <v>2619EJ67</v>
          </cell>
          <cell r="D12409" t="str">
            <v>S805</v>
          </cell>
          <cell r="E12409">
            <v>46180</v>
          </cell>
        </row>
        <row r="12410">
          <cell r="A12410" t="str">
            <v>2621S717</v>
          </cell>
          <cell r="D12410" t="str">
            <v>KBP76</v>
          </cell>
          <cell r="E12410">
            <v>46180</v>
          </cell>
        </row>
        <row r="12411">
          <cell r="A12411" t="str">
            <v>2621KL47</v>
          </cell>
          <cell r="D12411" t="str">
            <v>FTW121KE</v>
          </cell>
          <cell r="E12411">
            <v>46180</v>
          </cell>
        </row>
        <row r="12412">
          <cell r="A12412" t="str">
            <v>2621WX57</v>
          </cell>
          <cell r="D12412" t="str">
            <v>FTW121KE</v>
          </cell>
          <cell r="E12412">
            <v>46180</v>
          </cell>
        </row>
        <row r="12413">
          <cell r="A12413" t="str">
            <v>2615LV17</v>
          </cell>
          <cell r="D12413" t="str">
            <v>S805</v>
          </cell>
          <cell r="E12413">
            <v>46180</v>
          </cell>
        </row>
        <row r="12414">
          <cell r="A12414" t="str">
            <v>2621L837</v>
          </cell>
          <cell r="D12414" t="str">
            <v>KBP52</v>
          </cell>
          <cell r="E12414">
            <v>46180</v>
          </cell>
        </row>
        <row r="12415">
          <cell r="A12415" t="str">
            <v>2621ZM57</v>
          </cell>
          <cell r="D12415" t="str">
            <v>KBP86</v>
          </cell>
          <cell r="E12415">
            <v>46180</v>
          </cell>
        </row>
        <row r="12416">
          <cell r="A12416" t="str">
            <v>2619FL67</v>
          </cell>
          <cell r="D12416" t="str">
            <v>FTP200</v>
          </cell>
          <cell r="E12416">
            <v>46180</v>
          </cell>
        </row>
        <row r="12417">
          <cell r="A12417" t="str">
            <v>2621K447</v>
          </cell>
          <cell r="D12417" t="str">
            <v>S805</v>
          </cell>
          <cell r="E12417">
            <v>46180</v>
          </cell>
        </row>
        <row r="12418">
          <cell r="A12418" t="str">
            <v>2621II37</v>
          </cell>
          <cell r="D12418" t="str">
            <v>KBP86</v>
          </cell>
          <cell r="E12418">
            <v>46180</v>
          </cell>
        </row>
        <row r="12419">
          <cell r="A12419" t="str">
            <v>2621XL57</v>
          </cell>
          <cell r="D12419" t="str">
            <v>FTW121KE</v>
          </cell>
          <cell r="E12419">
            <v>46180</v>
          </cell>
        </row>
        <row r="12420">
          <cell r="A12420" t="str">
            <v>2621X957</v>
          </cell>
          <cell r="D12420" t="str">
            <v>FTW121KE</v>
          </cell>
          <cell r="E12420">
            <v>46180</v>
          </cell>
        </row>
        <row r="12421">
          <cell r="A12421" t="str">
            <v>2615DR37</v>
          </cell>
          <cell r="D12421" t="str">
            <v>TTS50</v>
          </cell>
          <cell r="E12421">
            <v>46180</v>
          </cell>
        </row>
        <row r="12422">
          <cell r="A12422" t="str">
            <v>2613D657</v>
          </cell>
          <cell r="D12422" t="str">
            <v>FTW503</v>
          </cell>
          <cell r="E12422">
            <v>46180</v>
          </cell>
        </row>
        <row r="12423">
          <cell r="A12423" t="str">
            <v>2620OT27</v>
          </cell>
          <cell r="D12423" t="str">
            <v>FTP200</v>
          </cell>
          <cell r="E12423">
            <v>46180</v>
          </cell>
        </row>
        <row r="12424">
          <cell r="A12424" t="str">
            <v>2621AC67</v>
          </cell>
          <cell r="D12424" t="str">
            <v>FTW121KE</v>
          </cell>
          <cell r="E12424">
            <v>46180</v>
          </cell>
        </row>
        <row r="12425">
          <cell r="A12425" t="str">
            <v>2621CZ57</v>
          </cell>
          <cell r="D12425" t="str">
            <v>S706</v>
          </cell>
          <cell r="E12425">
            <v>46180</v>
          </cell>
        </row>
        <row r="12426">
          <cell r="A12426" t="str">
            <v>2621QO27</v>
          </cell>
          <cell r="D12426" t="str">
            <v>KBP86</v>
          </cell>
          <cell r="E12426">
            <v>46180</v>
          </cell>
        </row>
        <row r="12427">
          <cell r="A12427" t="str">
            <v>2621IH37</v>
          </cell>
          <cell r="D12427" t="str">
            <v>KBP86</v>
          </cell>
          <cell r="E12427">
            <v>46180</v>
          </cell>
        </row>
        <row r="12428">
          <cell r="A12428" t="str">
            <v>2618L427</v>
          </cell>
          <cell r="D12428" t="str">
            <v>KBP52</v>
          </cell>
          <cell r="E12428">
            <v>46180</v>
          </cell>
        </row>
        <row r="12429">
          <cell r="A12429" t="str">
            <v>2614KU57</v>
          </cell>
          <cell r="D12429" t="str">
            <v>S805</v>
          </cell>
          <cell r="E12429">
            <v>46180</v>
          </cell>
        </row>
        <row r="12430">
          <cell r="A12430" t="str">
            <v>2621D667</v>
          </cell>
          <cell r="D12430" t="str">
            <v>KBP52</v>
          </cell>
          <cell r="E12430">
            <v>46180</v>
          </cell>
        </row>
        <row r="12431">
          <cell r="A12431" t="str">
            <v>2616I617</v>
          </cell>
          <cell r="D12431" t="str">
            <v>TTS50</v>
          </cell>
          <cell r="E12431">
            <v>46180</v>
          </cell>
        </row>
        <row r="12432">
          <cell r="A12432" t="str">
            <v>2619DJ37</v>
          </cell>
          <cell r="D12432" t="str">
            <v>TTS50</v>
          </cell>
          <cell r="E12432">
            <v>46180</v>
          </cell>
        </row>
        <row r="12433">
          <cell r="A12433" t="str">
            <v>2619Q457</v>
          </cell>
          <cell r="D12433" t="str">
            <v>KBP76</v>
          </cell>
          <cell r="E12433">
            <v>46180</v>
          </cell>
        </row>
        <row r="12434">
          <cell r="A12434" t="str">
            <v>2621ZU57</v>
          </cell>
          <cell r="D12434" t="str">
            <v>KBP86</v>
          </cell>
          <cell r="E12434">
            <v>46180</v>
          </cell>
        </row>
        <row r="12435">
          <cell r="A12435" t="str">
            <v>2620OJ37</v>
          </cell>
          <cell r="D12435" t="str">
            <v>KBP86</v>
          </cell>
          <cell r="E12435">
            <v>46180</v>
          </cell>
        </row>
        <row r="12436">
          <cell r="A12436" t="str">
            <v>2613I147</v>
          </cell>
          <cell r="D12436" t="str">
            <v>FTW503</v>
          </cell>
          <cell r="E12436">
            <v>46180</v>
          </cell>
        </row>
        <row r="12437">
          <cell r="A12437" t="str">
            <v>2613GB37</v>
          </cell>
          <cell r="D12437" t="str">
            <v>FTW503</v>
          </cell>
          <cell r="E12437">
            <v>46180</v>
          </cell>
        </row>
        <row r="12438">
          <cell r="A12438" t="str">
            <v>2622PZ27</v>
          </cell>
          <cell r="D12438" t="str">
            <v>KBP76</v>
          </cell>
          <cell r="E12438">
            <v>46180</v>
          </cell>
        </row>
        <row r="12439">
          <cell r="A12439" t="str">
            <v>2620YB17</v>
          </cell>
          <cell r="D12439" t="str">
            <v>KBP86</v>
          </cell>
          <cell r="E12439">
            <v>46180</v>
          </cell>
        </row>
        <row r="12440">
          <cell r="A12440" t="str">
            <v>2621D367</v>
          </cell>
          <cell r="D12440" t="str">
            <v>KBP86</v>
          </cell>
          <cell r="E12440">
            <v>46180</v>
          </cell>
        </row>
        <row r="12441">
          <cell r="A12441" t="str">
            <v>2621KY17</v>
          </cell>
          <cell r="D12441" t="str">
            <v>KBP86</v>
          </cell>
          <cell r="E12441">
            <v>46180</v>
          </cell>
        </row>
        <row r="12442">
          <cell r="A12442" t="str">
            <v>2621XV57</v>
          </cell>
          <cell r="D12442" t="str">
            <v>FTW121KE</v>
          </cell>
          <cell r="E12442">
            <v>46180</v>
          </cell>
        </row>
        <row r="12443">
          <cell r="A12443" t="str">
            <v>2621K937</v>
          </cell>
          <cell r="D12443" t="str">
            <v>KBP52</v>
          </cell>
          <cell r="E12443">
            <v>46180</v>
          </cell>
        </row>
        <row r="12444">
          <cell r="A12444" t="str">
            <v>2622SC17</v>
          </cell>
          <cell r="D12444" t="str">
            <v>STA156KA</v>
          </cell>
          <cell r="E12444">
            <v>46180</v>
          </cell>
        </row>
        <row r="12445">
          <cell r="A12445" t="str">
            <v>2621IY37</v>
          </cell>
          <cell r="D12445" t="str">
            <v>S805</v>
          </cell>
          <cell r="E12445">
            <v>46180</v>
          </cell>
        </row>
        <row r="12446">
          <cell r="A12446" t="str">
            <v>2621PI17</v>
          </cell>
          <cell r="D12446" t="str">
            <v>KBP86</v>
          </cell>
          <cell r="E12446">
            <v>46180</v>
          </cell>
        </row>
        <row r="12447">
          <cell r="A12447" t="str">
            <v>2621LB37</v>
          </cell>
          <cell r="D12447" t="str">
            <v>KBP52</v>
          </cell>
          <cell r="E12447">
            <v>46180</v>
          </cell>
        </row>
        <row r="12448">
          <cell r="A12448" t="str">
            <v>2621XT57</v>
          </cell>
          <cell r="D12448" t="str">
            <v>FTW121KE</v>
          </cell>
          <cell r="E12448">
            <v>46180</v>
          </cell>
        </row>
        <row r="12449">
          <cell r="A12449" t="str">
            <v>2621KR47</v>
          </cell>
          <cell r="D12449" t="str">
            <v>FTW121KE</v>
          </cell>
          <cell r="E12449">
            <v>46180</v>
          </cell>
        </row>
        <row r="12450">
          <cell r="A12450" t="str">
            <v>2621X357</v>
          </cell>
          <cell r="D12450" t="str">
            <v>FTW121KE</v>
          </cell>
          <cell r="E12450">
            <v>46180</v>
          </cell>
        </row>
        <row r="12451">
          <cell r="A12451" t="str">
            <v>2621IN27</v>
          </cell>
          <cell r="D12451" t="str">
            <v>KBP52</v>
          </cell>
          <cell r="E12451">
            <v>46180</v>
          </cell>
        </row>
        <row r="12452">
          <cell r="A12452" t="str">
            <v>2608CO47</v>
          </cell>
          <cell r="D12452" t="str">
            <v>KBP52</v>
          </cell>
          <cell r="E12452">
            <v>46180</v>
          </cell>
        </row>
        <row r="12453">
          <cell r="A12453" t="str">
            <v>2620C667</v>
          </cell>
          <cell r="D12453" t="str">
            <v>KBP76</v>
          </cell>
          <cell r="E12453">
            <v>46180</v>
          </cell>
        </row>
        <row r="12454">
          <cell r="A12454" t="str">
            <v>2621K647</v>
          </cell>
          <cell r="D12454" t="str">
            <v>S805</v>
          </cell>
          <cell r="E12454">
            <v>46180</v>
          </cell>
        </row>
        <row r="12455">
          <cell r="A12455" t="str">
            <v>2621IO17</v>
          </cell>
          <cell r="D12455" t="str">
            <v>STA156KA</v>
          </cell>
          <cell r="E12455">
            <v>46180</v>
          </cell>
        </row>
        <row r="12456">
          <cell r="A12456" t="str">
            <v>2613I647</v>
          </cell>
          <cell r="D12456" t="str">
            <v>FTW503</v>
          </cell>
          <cell r="E12456">
            <v>46180</v>
          </cell>
        </row>
        <row r="12457">
          <cell r="A12457" t="str">
            <v>2620JD37</v>
          </cell>
          <cell r="D12457" t="str">
            <v>S805</v>
          </cell>
          <cell r="E12457">
            <v>46180</v>
          </cell>
        </row>
        <row r="12458">
          <cell r="A12458" t="str">
            <v>2613GV67</v>
          </cell>
          <cell r="D12458" t="str">
            <v>STA156KA</v>
          </cell>
          <cell r="E12458">
            <v>46180</v>
          </cell>
        </row>
        <row r="12459">
          <cell r="A12459" t="str">
            <v>2621KZ17</v>
          </cell>
          <cell r="D12459" t="str">
            <v>KBP86</v>
          </cell>
          <cell r="E12459">
            <v>46180</v>
          </cell>
        </row>
        <row r="12460">
          <cell r="A12460" t="str">
            <v>2621O337</v>
          </cell>
          <cell r="D12460" t="str">
            <v>KBP76</v>
          </cell>
          <cell r="E12460">
            <v>46180</v>
          </cell>
        </row>
        <row r="12461">
          <cell r="A12461" t="str">
            <v>2621CQ67</v>
          </cell>
          <cell r="D12461" t="str">
            <v>KBP86</v>
          </cell>
          <cell r="E12461">
            <v>46180</v>
          </cell>
        </row>
        <row r="12462">
          <cell r="A12462" t="str">
            <v>2620CJ47</v>
          </cell>
          <cell r="D12462" t="str">
            <v>KBP86</v>
          </cell>
          <cell r="E12462">
            <v>46180</v>
          </cell>
        </row>
        <row r="12463">
          <cell r="A12463" t="str">
            <v>2613HT47</v>
          </cell>
          <cell r="D12463" t="str">
            <v>FTW503</v>
          </cell>
          <cell r="E12463">
            <v>46180</v>
          </cell>
        </row>
        <row r="12464">
          <cell r="A12464" t="str">
            <v>2622KT17</v>
          </cell>
          <cell r="D12464" t="str">
            <v>S706</v>
          </cell>
          <cell r="E12464">
            <v>46180</v>
          </cell>
        </row>
        <row r="12465">
          <cell r="A12465" t="str">
            <v>2621P127</v>
          </cell>
          <cell r="D12465" t="str">
            <v>KBP76</v>
          </cell>
          <cell r="E12465">
            <v>46180</v>
          </cell>
        </row>
        <row r="12466">
          <cell r="A12466" t="str">
            <v>2617IU17</v>
          </cell>
          <cell r="D12466" t="str">
            <v>FTW503</v>
          </cell>
          <cell r="E12466">
            <v>46180</v>
          </cell>
        </row>
        <row r="12467">
          <cell r="A12467" t="str">
            <v>2621Q147</v>
          </cell>
          <cell r="D12467" t="str">
            <v>KBP55</v>
          </cell>
          <cell r="E12467">
            <v>46180</v>
          </cell>
        </row>
        <row r="12468">
          <cell r="A12468" t="str">
            <v>2613DA57</v>
          </cell>
          <cell r="D12468" t="str">
            <v>FTW503</v>
          </cell>
          <cell r="E12468">
            <v>46180</v>
          </cell>
        </row>
        <row r="12469">
          <cell r="A12469" t="str">
            <v>2619DB37</v>
          </cell>
          <cell r="D12469" t="str">
            <v>TTS50</v>
          </cell>
          <cell r="E12469">
            <v>46180</v>
          </cell>
        </row>
        <row r="12470">
          <cell r="A12470" t="str">
            <v>2617OM17</v>
          </cell>
          <cell r="D12470" t="str">
            <v>KBP52</v>
          </cell>
          <cell r="E12470">
            <v>46180</v>
          </cell>
        </row>
        <row r="12471">
          <cell r="A12471" t="str">
            <v>2621O937</v>
          </cell>
          <cell r="D12471" t="str">
            <v>KBP55</v>
          </cell>
          <cell r="E12471">
            <v>46180</v>
          </cell>
        </row>
        <row r="12472">
          <cell r="A12472" t="str">
            <v>2621L227</v>
          </cell>
          <cell r="D12472" t="str">
            <v>KBP52</v>
          </cell>
          <cell r="E12472">
            <v>46180</v>
          </cell>
        </row>
        <row r="12473">
          <cell r="A12473" t="str">
            <v>2621Q247</v>
          </cell>
          <cell r="D12473" t="str">
            <v>KBP55</v>
          </cell>
          <cell r="E12473">
            <v>46180</v>
          </cell>
        </row>
        <row r="12474">
          <cell r="A12474" t="str">
            <v>2621YD57</v>
          </cell>
          <cell r="D12474" t="str">
            <v>KBP86</v>
          </cell>
          <cell r="E12474">
            <v>46180</v>
          </cell>
        </row>
        <row r="12475">
          <cell r="A12475" t="str">
            <v>2621EF57</v>
          </cell>
          <cell r="D12475" t="str">
            <v>KBP86</v>
          </cell>
          <cell r="E12475">
            <v>46180</v>
          </cell>
        </row>
        <row r="12476">
          <cell r="A12476" t="str">
            <v>2622PB27</v>
          </cell>
          <cell r="D12476" t="str">
            <v>KBP76</v>
          </cell>
          <cell r="E12476">
            <v>46180</v>
          </cell>
        </row>
        <row r="12477">
          <cell r="A12477" t="str">
            <v>2621X557</v>
          </cell>
          <cell r="D12477" t="str">
            <v>FTW121KR</v>
          </cell>
          <cell r="E12477">
            <v>46180</v>
          </cell>
        </row>
        <row r="12478">
          <cell r="A12478" t="str">
            <v>2621KY47</v>
          </cell>
          <cell r="D12478" t="str">
            <v>FTW121KR</v>
          </cell>
          <cell r="E12478">
            <v>46180</v>
          </cell>
        </row>
        <row r="12479">
          <cell r="A12479" t="str">
            <v>2620EO47</v>
          </cell>
          <cell r="D12479" t="str">
            <v>KBP76</v>
          </cell>
          <cell r="E12479">
            <v>46180</v>
          </cell>
        </row>
        <row r="12480">
          <cell r="A12480" t="str">
            <v>2613I947</v>
          </cell>
          <cell r="D12480" t="str">
            <v>FTW503</v>
          </cell>
          <cell r="E12480">
            <v>46180</v>
          </cell>
        </row>
        <row r="12481">
          <cell r="A12481" t="str">
            <v>2621D457</v>
          </cell>
          <cell r="D12481" t="str">
            <v>S706</v>
          </cell>
          <cell r="E12481">
            <v>46180</v>
          </cell>
        </row>
        <row r="12482">
          <cell r="A12482" t="str">
            <v>2621WV57</v>
          </cell>
          <cell r="D12482" t="str">
            <v>FTW121KR</v>
          </cell>
          <cell r="E12482">
            <v>46180</v>
          </cell>
        </row>
        <row r="12483">
          <cell r="A12483" t="str">
            <v>2621HL47</v>
          </cell>
          <cell r="D12483" t="str">
            <v>STA156KA</v>
          </cell>
          <cell r="E12483">
            <v>46180</v>
          </cell>
        </row>
        <row r="12484">
          <cell r="A12484" t="str">
            <v>2621IS37</v>
          </cell>
          <cell r="D12484" t="str">
            <v>S706</v>
          </cell>
          <cell r="E12484">
            <v>46180</v>
          </cell>
        </row>
        <row r="12485">
          <cell r="A12485" t="str">
            <v>2622OZ17</v>
          </cell>
          <cell r="D12485" t="str">
            <v>KBP86</v>
          </cell>
          <cell r="E12485">
            <v>46180</v>
          </cell>
        </row>
        <row r="12486">
          <cell r="A12486" t="str">
            <v>2621D657</v>
          </cell>
          <cell r="D12486" t="str">
            <v>S805</v>
          </cell>
          <cell r="E12486">
            <v>46180</v>
          </cell>
        </row>
        <row r="12487">
          <cell r="A12487" t="str">
            <v>2621EY37</v>
          </cell>
          <cell r="D12487" t="str">
            <v>STA156KA</v>
          </cell>
          <cell r="E12487">
            <v>46180</v>
          </cell>
        </row>
        <row r="12488">
          <cell r="A12488" t="str">
            <v>2613ET37</v>
          </cell>
          <cell r="D12488" t="str">
            <v>FTW503</v>
          </cell>
          <cell r="E12488">
            <v>46180</v>
          </cell>
        </row>
        <row r="12489">
          <cell r="A12489" t="str">
            <v>2620ZG47</v>
          </cell>
          <cell r="D12489" t="str">
            <v>KBP52</v>
          </cell>
          <cell r="E12489">
            <v>46180</v>
          </cell>
        </row>
        <row r="12490">
          <cell r="A12490" t="str">
            <v>2620AM67</v>
          </cell>
          <cell r="D12490" t="str">
            <v>KBP52</v>
          </cell>
          <cell r="E12490">
            <v>46180</v>
          </cell>
        </row>
        <row r="12491">
          <cell r="A12491" t="str">
            <v>2622KA27</v>
          </cell>
          <cell r="D12491" t="str">
            <v>FTW121KR</v>
          </cell>
          <cell r="E12491">
            <v>46180</v>
          </cell>
        </row>
        <row r="12492">
          <cell r="A12492" t="str">
            <v>2617ZC47</v>
          </cell>
          <cell r="D12492" t="str">
            <v>S15HV100</v>
          </cell>
          <cell r="E12492">
            <v>46180</v>
          </cell>
        </row>
        <row r="12493">
          <cell r="A12493" t="str">
            <v>2619Q157</v>
          </cell>
          <cell r="D12493" t="str">
            <v>KBP76</v>
          </cell>
          <cell r="E12493">
            <v>46180</v>
          </cell>
        </row>
        <row r="12494">
          <cell r="A12494" t="str">
            <v>2621SZ17</v>
          </cell>
          <cell r="D12494" t="str">
            <v>TTS80</v>
          </cell>
          <cell r="E12494">
            <v>46180</v>
          </cell>
        </row>
        <row r="12495">
          <cell r="A12495" t="str">
            <v>2621J267</v>
          </cell>
          <cell r="D12495" t="str">
            <v>KBP86</v>
          </cell>
          <cell r="E12495">
            <v>46180</v>
          </cell>
        </row>
        <row r="12496">
          <cell r="A12496" t="str">
            <v>2621YA57</v>
          </cell>
          <cell r="D12496" t="str">
            <v>KBP86</v>
          </cell>
          <cell r="E12496">
            <v>46180</v>
          </cell>
        </row>
        <row r="12497">
          <cell r="A12497" t="str">
            <v>2620O327</v>
          </cell>
          <cell r="D12497" t="str">
            <v>TTS50</v>
          </cell>
          <cell r="E12497">
            <v>46180</v>
          </cell>
        </row>
        <row r="12498">
          <cell r="A12498" t="str">
            <v>2617QM57</v>
          </cell>
          <cell r="D12498" t="str">
            <v>KBP52</v>
          </cell>
          <cell r="E12498">
            <v>46180</v>
          </cell>
        </row>
        <row r="12499">
          <cell r="A12499" t="str">
            <v>2613CD27</v>
          </cell>
          <cell r="D12499" t="str">
            <v>FTW503</v>
          </cell>
          <cell r="E12499">
            <v>46180</v>
          </cell>
        </row>
        <row r="12500">
          <cell r="A12500" t="str">
            <v>2621KJ37</v>
          </cell>
          <cell r="D12500" t="str">
            <v>KBP86</v>
          </cell>
          <cell r="E12500">
            <v>46180</v>
          </cell>
        </row>
        <row r="12501">
          <cell r="A12501" t="str">
            <v>2621GE67</v>
          </cell>
          <cell r="D12501" t="str">
            <v>KBP76</v>
          </cell>
          <cell r="E12501">
            <v>46180</v>
          </cell>
        </row>
        <row r="12502">
          <cell r="A12502" t="str">
            <v>2621IA37</v>
          </cell>
          <cell r="D12502" t="str">
            <v>KBP86</v>
          </cell>
          <cell r="E12502">
            <v>46180</v>
          </cell>
        </row>
        <row r="12503">
          <cell r="A12503" t="str">
            <v>2621HL67</v>
          </cell>
          <cell r="D12503" t="str">
            <v>TTS80</v>
          </cell>
          <cell r="E12503">
            <v>46180</v>
          </cell>
        </row>
        <row r="12504">
          <cell r="A12504" t="str">
            <v>2613D957</v>
          </cell>
          <cell r="D12504" t="str">
            <v>FTW503</v>
          </cell>
          <cell r="E12504">
            <v>46180</v>
          </cell>
        </row>
        <row r="12505">
          <cell r="A12505" t="str">
            <v>2619IJ37</v>
          </cell>
          <cell r="D12505" t="str">
            <v>TTS50</v>
          </cell>
          <cell r="E12505">
            <v>46180</v>
          </cell>
        </row>
        <row r="12506">
          <cell r="A12506" t="str">
            <v>2621OA37</v>
          </cell>
          <cell r="D12506" t="str">
            <v>KBP55</v>
          </cell>
          <cell r="E12506">
            <v>46180</v>
          </cell>
        </row>
        <row r="12507">
          <cell r="A12507" t="str">
            <v>2613F437</v>
          </cell>
          <cell r="D12507" t="str">
            <v>FTW503</v>
          </cell>
          <cell r="E12507">
            <v>46180</v>
          </cell>
        </row>
        <row r="12508">
          <cell r="A12508" t="str">
            <v>2620KE27</v>
          </cell>
          <cell r="D12508" t="str">
            <v>KBP86</v>
          </cell>
          <cell r="E12508">
            <v>46180</v>
          </cell>
        </row>
        <row r="12509">
          <cell r="A12509" t="str">
            <v>2622I237</v>
          </cell>
          <cell r="D12509" t="str">
            <v>KBP126</v>
          </cell>
          <cell r="E12509">
            <v>46180</v>
          </cell>
        </row>
        <row r="12510">
          <cell r="A12510" t="str">
            <v>2620UQ57</v>
          </cell>
          <cell r="D12510" t="str">
            <v>S805</v>
          </cell>
          <cell r="E12510">
            <v>46180</v>
          </cell>
        </row>
        <row r="12511">
          <cell r="A12511" t="str">
            <v>2622LR17</v>
          </cell>
          <cell r="D12511" t="str">
            <v>FTW700</v>
          </cell>
          <cell r="E12511">
            <v>46180</v>
          </cell>
        </row>
        <row r="12512">
          <cell r="A12512" t="str">
            <v>2619IM37</v>
          </cell>
          <cell r="D12512" t="str">
            <v>TTS50</v>
          </cell>
          <cell r="E12512">
            <v>46180</v>
          </cell>
        </row>
        <row r="12513">
          <cell r="A12513" t="str">
            <v>2619OV57</v>
          </cell>
          <cell r="D12513" t="str">
            <v>TTS50</v>
          </cell>
          <cell r="E12513">
            <v>46180</v>
          </cell>
        </row>
        <row r="12514">
          <cell r="A12514" t="str">
            <v>2621Q217</v>
          </cell>
          <cell r="D12514" t="str">
            <v>KBP52</v>
          </cell>
          <cell r="E12514">
            <v>46180</v>
          </cell>
        </row>
        <row r="12515">
          <cell r="A12515" t="str">
            <v>2620P457</v>
          </cell>
          <cell r="D12515" t="str">
            <v>STA156KA</v>
          </cell>
          <cell r="E12515">
            <v>46180</v>
          </cell>
        </row>
        <row r="12516">
          <cell r="A12516" t="str">
            <v>2613IA47</v>
          </cell>
          <cell r="D12516" t="str">
            <v>FTW503</v>
          </cell>
          <cell r="E12516">
            <v>46180</v>
          </cell>
        </row>
        <row r="12517">
          <cell r="A12517" t="str">
            <v>2613BI27</v>
          </cell>
          <cell r="D12517" t="str">
            <v>FTW503</v>
          </cell>
          <cell r="E12517">
            <v>46180</v>
          </cell>
        </row>
        <row r="12518">
          <cell r="A12518" t="str">
            <v>2614KV57</v>
          </cell>
          <cell r="D12518" t="str">
            <v>S805</v>
          </cell>
          <cell r="E12518">
            <v>46180</v>
          </cell>
        </row>
        <row r="12519">
          <cell r="A12519" t="str">
            <v>2621D357</v>
          </cell>
          <cell r="D12519" t="str">
            <v>S706</v>
          </cell>
          <cell r="E12519">
            <v>46180</v>
          </cell>
        </row>
        <row r="12520">
          <cell r="A12520" t="str">
            <v>2622S917</v>
          </cell>
          <cell r="D12520" t="str">
            <v>KBP74</v>
          </cell>
          <cell r="E12520">
            <v>46180</v>
          </cell>
        </row>
        <row r="12521">
          <cell r="A12521" t="str">
            <v>2621LH37</v>
          </cell>
          <cell r="D12521" t="str">
            <v>HV80</v>
          </cell>
          <cell r="E12521">
            <v>46180</v>
          </cell>
        </row>
        <row r="12522">
          <cell r="A12522" t="str">
            <v>2621EM67</v>
          </cell>
          <cell r="D12522" t="str">
            <v>HV80</v>
          </cell>
          <cell r="E12522">
            <v>46180</v>
          </cell>
        </row>
        <row r="12523">
          <cell r="A12523" t="str">
            <v>2621LL37</v>
          </cell>
          <cell r="D12523" t="str">
            <v>HV80</v>
          </cell>
          <cell r="E12523">
            <v>46180</v>
          </cell>
        </row>
        <row r="12524">
          <cell r="A12524" t="str">
            <v>2620P327</v>
          </cell>
          <cell r="D12524" t="str">
            <v>TTS80</v>
          </cell>
          <cell r="E12524">
            <v>46180</v>
          </cell>
        </row>
        <row r="12525">
          <cell r="A12525" t="str">
            <v>2620OA17</v>
          </cell>
          <cell r="D12525" t="str">
            <v>TTS80</v>
          </cell>
          <cell r="E12525">
            <v>46180</v>
          </cell>
        </row>
        <row r="12526">
          <cell r="A12526" t="str">
            <v>2619S957</v>
          </cell>
          <cell r="D12526" t="str">
            <v>TTS80</v>
          </cell>
          <cell r="E12526">
            <v>46180</v>
          </cell>
        </row>
        <row r="12527">
          <cell r="A12527" t="str">
            <v>2619SO57</v>
          </cell>
          <cell r="D12527" t="str">
            <v>TTS80</v>
          </cell>
          <cell r="E12527">
            <v>46180</v>
          </cell>
        </row>
        <row r="12528">
          <cell r="A12528" t="str">
            <v>2621EZ67</v>
          </cell>
          <cell r="D12528" t="str">
            <v>S706</v>
          </cell>
          <cell r="E12528">
            <v>46180</v>
          </cell>
        </row>
        <row r="12529">
          <cell r="A12529" t="str">
            <v>2621F167</v>
          </cell>
          <cell r="D12529" t="str">
            <v>S706</v>
          </cell>
          <cell r="E12529">
            <v>46180</v>
          </cell>
        </row>
        <row r="12530">
          <cell r="A12530" t="str">
            <v>2622Q417</v>
          </cell>
          <cell r="D12530" t="str">
            <v>S706</v>
          </cell>
          <cell r="E12530">
            <v>46180</v>
          </cell>
        </row>
        <row r="12531">
          <cell r="A12531" t="str">
            <v>2622Q717</v>
          </cell>
          <cell r="D12531" t="str">
            <v>S706</v>
          </cell>
          <cell r="E12531">
            <v>46180</v>
          </cell>
        </row>
        <row r="12532">
          <cell r="A12532" t="str">
            <v>2622QB17</v>
          </cell>
          <cell r="D12532" t="str">
            <v>S706</v>
          </cell>
          <cell r="E12532">
            <v>46180</v>
          </cell>
        </row>
        <row r="12533">
          <cell r="A12533" t="str">
            <v>2622QC17</v>
          </cell>
          <cell r="D12533" t="str">
            <v>S706</v>
          </cell>
          <cell r="E12533">
            <v>46180</v>
          </cell>
        </row>
        <row r="12534">
          <cell r="A12534" t="str">
            <v>2622QI17</v>
          </cell>
          <cell r="D12534" t="str">
            <v>S706</v>
          </cell>
          <cell r="E12534">
            <v>46180</v>
          </cell>
        </row>
        <row r="12535">
          <cell r="A12535" t="str">
            <v>2622QJ17</v>
          </cell>
          <cell r="D12535" t="str">
            <v>S706</v>
          </cell>
          <cell r="E12535">
            <v>46180</v>
          </cell>
        </row>
        <row r="12536">
          <cell r="A12536" t="str">
            <v>2621EC67</v>
          </cell>
          <cell r="D12536" t="str">
            <v>HV80</v>
          </cell>
          <cell r="E12536">
            <v>46180</v>
          </cell>
        </row>
        <row r="12537">
          <cell r="A12537" t="str">
            <v>2620LJ27</v>
          </cell>
          <cell r="D12537" t="str">
            <v>HV80</v>
          </cell>
          <cell r="E12537">
            <v>46180</v>
          </cell>
        </row>
        <row r="12538">
          <cell r="A12538" t="str">
            <v>2617Z517</v>
          </cell>
          <cell r="D12538" t="str">
            <v>KBP86</v>
          </cell>
          <cell r="E12538">
            <v>46179</v>
          </cell>
        </row>
        <row r="12539">
          <cell r="A12539" t="str">
            <v>2620O817</v>
          </cell>
          <cell r="D12539" t="str">
            <v>TTS80</v>
          </cell>
          <cell r="E12539">
            <v>46179</v>
          </cell>
        </row>
        <row r="12540">
          <cell r="A12540" t="str">
            <v>2620IS57</v>
          </cell>
          <cell r="D12540" t="str">
            <v>HV80</v>
          </cell>
          <cell r="E12540">
            <v>46179</v>
          </cell>
        </row>
        <row r="12541">
          <cell r="A12541" t="str">
            <v>2609C747</v>
          </cell>
          <cell r="D12541" t="str">
            <v>KBP52</v>
          </cell>
          <cell r="E12541">
            <v>46179</v>
          </cell>
        </row>
        <row r="12542">
          <cell r="A12542" t="str">
            <v>2621UF17</v>
          </cell>
          <cell r="D12542" t="str">
            <v>KBP86E</v>
          </cell>
          <cell r="E12542">
            <v>46179</v>
          </cell>
        </row>
        <row r="12543">
          <cell r="A12543" t="str">
            <v>2608LO27</v>
          </cell>
          <cell r="D12543" t="str">
            <v>S706</v>
          </cell>
          <cell r="E12543">
            <v>46179</v>
          </cell>
        </row>
        <row r="12544">
          <cell r="A12544" t="str">
            <v>2621LU27</v>
          </cell>
          <cell r="D12544" t="str">
            <v>HV80</v>
          </cell>
          <cell r="E12544">
            <v>46179</v>
          </cell>
        </row>
        <row r="12545">
          <cell r="A12545" t="str">
            <v>2621GR67</v>
          </cell>
          <cell r="D12545" t="str">
            <v>KBP76</v>
          </cell>
          <cell r="E12545">
            <v>46179</v>
          </cell>
        </row>
        <row r="12546">
          <cell r="A12546" t="str">
            <v>2617Z827</v>
          </cell>
          <cell r="D12546" t="str">
            <v>KBP86</v>
          </cell>
          <cell r="E12546">
            <v>46179</v>
          </cell>
        </row>
        <row r="12547">
          <cell r="A12547" t="str">
            <v>2621EX37</v>
          </cell>
          <cell r="D12547" t="str">
            <v>STA156KA</v>
          </cell>
          <cell r="E12547">
            <v>46179</v>
          </cell>
        </row>
        <row r="12548">
          <cell r="A12548" t="str">
            <v>2619EY57</v>
          </cell>
          <cell r="D12548" t="str">
            <v>HV80</v>
          </cell>
          <cell r="E12548">
            <v>46179</v>
          </cell>
        </row>
        <row r="12549">
          <cell r="A12549" t="str">
            <v>2621GP67</v>
          </cell>
          <cell r="D12549" t="str">
            <v>KBP76</v>
          </cell>
          <cell r="E12549">
            <v>46179</v>
          </cell>
        </row>
        <row r="12550">
          <cell r="A12550" t="str">
            <v>2620BI67</v>
          </cell>
          <cell r="D12550" t="str">
            <v>HV80</v>
          </cell>
          <cell r="E12550">
            <v>46179</v>
          </cell>
        </row>
        <row r="12551">
          <cell r="A12551" t="str">
            <v>2621EZ37</v>
          </cell>
          <cell r="D12551" t="str">
            <v>STA156KA</v>
          </cell>
          <cell r="E12551">
            <v>46179</v>
          </cell>
        </row>
        <row r="12552">
          <cell r="A12552" t="str">
            <v>2621LW27</v>
          </cell>
          <cell r="D12552" t="str">
            <v>HV80</v>
          </cell>
          <cell r="E12552">
            <v>46179</v>
          </cell>
        </row>
        <row r="12553">
          <cell r="A12553" t="str">
            <v>2621LJ37</v>
          </cell>
          <cell r="D12553" t="str">
            <v>HV80</v>
          </cell>
          <cell r="E12553">
            <v>46179</v>
          </cell>
        </row>
        <row r="12554">
          <cell r="A12554" t="str">
            <v>2621LJ37</v>
          </cell>
          <cell r="D12554" t="str">
            <v>HV80</v>
          </cell>
          <cell r="E12554">
            <v>46179</v>
          </cell>
        </row>
        <row r="12555">
          <cell r="A12555" t="str">
            <v>2620P527</v>
          </cell>
          <cell r="D12555" t="str">
            <v>TTS80</v>
          </cell>
          <cell r="E12555">
            <v>46179</v>
          </cell>
        </row>
        <row r="12556">
          <cell r="A12556" t="str">
            <v>2620IO57</v>
          </cell>
          <cell r="D12556" t="str">
            <v>HV80</v>
          </cell>
          <cell r="E12556">
            <v>46179</v>
          </cell>
        </row>
        <row r="12557">
          <cell r="A12557" t="str">
            <v>2620BI67</v>
          </cell>
          <cell r="D12557" t="str">
            <v>HV80</v>
          </cell>
          <cell r="E12557">
            <v>46179</v>
          </cell>
        </row>
        <row r="12558">
          <cell r="A12558" t="str">
            <v>2621E567</v>
          </cell>
          <cell r="D12558" t="str">
            <v>HV80</v>
          </cell>
          <cell r="E12558">
            <v>46179</v>
          </cell>
        </row>
        <row r="12559">
          <cell r="A12559" t="str">
            <v>2621E567</v>
          </cell>
          <cell r="D12559" t="str">
            <v>HV80</v>
          </cell>
          <cell r="E12559">
            <v>46179</v>
          </cell>
        </row>
        <row r="12560">
          <cell r="A12560" t="str">
            <v>2621UF17</v>
          </cell>
          <cell r="D12560" t="str">
            <v>KBP86E</v>
          </cell>
          <cell r="E12560">
            <v>46179</v>
          </cell>
        </row>
        <row r="12561">
          <cell r="A12561" t="str">
            <v>2622OO27</v>
          </cell>
          <cell r="D12561" t="str">
            <v>S706</v>
          </cell>
          <cell r="E12561">
            <v>46179</v>
          </cell>
        </row>
        <row r="12562">
          <cell r="A12562" t="str">
            <v>2621KM47</v>
          </cell>
          <cell r="D12562" t="str">
            <v>FTW121KE</v>
          </cell>
          <cell r="E12562">
            <v>46179</v>
          </cell>
        </row>
        <row r="12563">
          <cell r="A12563" t="str">
            <v>2622OS27</v>
          </cell>
          <cell r="D12563" t="str">
            <v>S706</v>
          </cell>
          <cell r="E12563">
            <v>46179</v>
          </cell>
        </row>
        <row r="12564">
          <cell r="A12564" t="str">
            <v>2621OB17</v>
          </cell>
          <cell r="D12564" t="str">
            <v>FTW121KE</v>
          </cell>
          <cell r="E12564">
            <v>46179</v>
          </cell>
        </row>
        <row r="12565">
          <cell r="A12565" t="str">
            <v>2622OY27</v>
          </cell>
          <cell r="D12565" t="str">
            <v>S706</v>
          </cell>
          <cell r="E12565">
            <v>46179</v>
          </cell>
        </row>
        <row r="12566">
          <cell r="A12566" t="str">
            <v>2621LJ47</v>
          </cell>
          <cell r="D12566" t="str">
            <v>FTW121KE</v>
          </cell>
          <cell r="E12566">
            <v>46179</v>
          </cell>
        </row>
        <row r="12567">
          <cell r="A12567" t="str">
            <v>2622Q817</v>
          </cell>
          <cell r="D12567" t="str">
            <v>S706</v>
          </cell>
          <cell r="E12567">
            <v>46179</v>
          </cell>
        </row>
        <row r="12568">
          <cell r="A12568" t="str">
            <v>2621AI67</v>
          </cell>
          <cell r="D12568" t="str">
            <v>FTW121KE</v>
          </cell>
          <cell r="E12568">
            <v>46179</v>
          </cell>
        </row>
        <row r="12569">
          <cell r="A12569" t="str">
            <v>2622OJ27</v>
          </cell>
          <cell r="D12569" t="str">
            <v>S706</v>
          </cell>
          <cell r="E12569">
            <v>46179</v>
          </cell>
        </row>
        <row r="12570">
          <cell r="A12570" t="str">
            <v>2622OK27</v>
          </cell>
          <cell r="D12570" t="str">
            <v>S706</v>
          </cell>
          <cell r="E12570">
            <v>46179</v>
          </cell>
        </row>
        <row r="12571">
          <cell r="A12571" t="str">
            <v>2622OM27</v>
          </cell>
          <cell r="D12571" t="str">
            <v>S706</v>
          </cell>
          <cell r="E12571">
            <v>46179</v>
          </cell>
        </row>
        <row r="12572">
          <cell r="A12572" t="str">
            <v>2621EQ30</v>
          </cell>
          <cell r="D12572" t="str">
            <v>S706</v>
          </cell>
          <cell r="E12572">
            <v>46179</v>
          </cell>
        </row>
        <row r="12573">
          <cell r="A12573" t="str">
            <v>2621EQ40</v>
          </cell>
          <cell r="D12573" t="str">
            <v>S706</v>
          </cell>
          <cell r="E12573">
            <v>46179</v>
          </cell>
        </row>
        <row r="12574">
          <cell r="A12574" t="str">
            <v>2619G667</v>
          </cell>
          <cell r="D12574" t="str">
            <v>TTS80</v>
          </cell>
          <cell r="E12574">
            <v>46179</v>
          </cell>
        </row>
        <row r="12575">
          <cell r="A12575" t="str">
            <v>2620O817</v>
          </cell>
          <cell r="D12575" t="str">
            <v>TTS80</v>
          </cell>
          <cell r="E12575">
            <v>46179</v>
          </cell>
        </row>
        <row r="12576">
          <cell r="A12576" t="str">
            <v>2620O917</v>
          </cell>
          <cell r="D12576" t="str">
            <v>TTS80</v>
          </cell>
          <cell r="E12576">
            <v>46179</v>
          </cell>
        </row>
        <row r="12577">
          <cell r="A12577" t="str">
            <v>2620P527</v>
          </cell>
          <cell r="D12577" t="str">
            <v>TTS80</v>
          </cell>
          <cell r="E12577">
            <v>46179</v>
          </cell>
        </row>
        <row r="12578">
          <cell r="A12578" t="str">
            <v>2620QI37</v>
          </cell>
          <cell r="D12578" t="str">
            <v>TTS80</v>
          </cell>
          <cell r="E12578">
            <v>46179</v>
          </cell>
        </row>
        <row r="12579">
          <cell r="A12579" t="str">
            <v>2621LB47</v>
          </cell>
          <cell r="D12579" t="str">
            <v>FTW121KR</v>
          </cell>
          <cell r="E12579">
            <v>46179</v>
          </cell>
        </row>
        <row r="12580">
          <cell r="A12580" t="str">
            <v>2621K247</v>
          </cell>
          <cell r="D12580" t="str">
            <v>S805</v>
          </cell>
          <cell r="E12580">
            <v>46179</v>
          </cell>
        </row>
        <row r="12581">
          <cell r="A12581" t="str">
            <v>2621LY47</v>
          </cell>
          <cell r="D12581" t="str">
            <v>KBP86</v>
          </cell>
          <cell r="E12581">
            <v>46179</v>
          </cell>
        </row>
        <row r="12582">
          <cell r="A12582" t="str">
            <v>2621I267</v>
          </cell>
          <cell r="D12582" t="str">
            <v>FTP200</v>
          </cell>
          <cell r="E12582">
            <v>46179</v>
          </cell>
        </row>
        <row r="12583">
          <cell r="A12583" t="str">
            <v>2620U757</v>
          </cell>
          <cell r="D12583" t="str">
            <v>KBP76</v>
          </cell>
          <cell r="E12583">
            <v>46179</v>
          </cell>
        </row>
        <row r="12584">
          <cell r="A12584" t="str">
            <v>2621ZJ57</v>
          </cell>
          <cell r="D12584" t="str">
            <v>KBP86</v>
          </cell>
          <cell r="E12584">
            <v>46179</v>
          </cell>
        </row>
        <row r="12585">
          <cell r="A12585" t="str">
            <v>2621WW57</v>
          </cell>
          <cell r="D12585" t="str">
            <v>FTW121KR</v>
          </cell>
          <cell r="E12585">
            <v>46179</v>
          </cell>
        </row>
        <row r="12586">
          <cell r="A12586" t="str">
            <v>2619IQ17</v>
          </cell>
          <cell r="D12586" t="str">
            <v>TTS50</v>
          </cell>
          <cell r="E12586">
            <v>46179</v>
          </cell>
        </row>
        <row r="12587">
          <cell r="A12587" t="str">
            <v>2614L557</v>
          </cell>
          <cell r="D12587" t="str">
            <v>STA156KA</v>
          </cell>
          <cell r="E12587">
            <v>46179</v>
          </cell>
        </row>
        <row r="12588">
          <cell r="A12588" t="str">
            <v>2621B767</v>
          </cell>
          <cell r="D12588" t="str">
            <v>KBP126</v>
          </cell>
          <cell r="E12588">
            <v>46179</v>
          </cell>
        </row>
        <row r="12589">
          <cell r="A12589" t="str">
            <v>2615G937</v>
          </cell>
          <cell r="D12589" t="str">
            <v>S805</v>
          </cell>
          <cell r="E12589">
            <v>46179</v>
          </cell>
        </row>
        <row r="12590">
          <cell r="A12590" t="str">
            <v>2549ZX27</v>
          </cell>
          <cell r="D12590" t="str">
            <v>S805</v>
          </cell>
          <cell r="E12590">
            <v>46179</v>
          </cell>
        </row>
        <row r="12591">
          <cell r="A12591" t="str">
            <v>2621D867</v>
          </cell>
          <cell r="D12591" t="str">
            <v>KBP52</v>
          </cell>
          <cell r="E12591">
            <v>46179</v>
          </cell>
        </row>
        <row r="12592">
          <cell r="A12592" t="str">
            <v>2621OC37</v>
          </cell>
          <cell r="D12592" t="str">
            <v>KBP55</v>
          </cell>
          <cell r="E12592">
            <v>46179</v>
          </cell>
        </row>
        <row r="12593">
          <cell r="A12593" t="str">
            <v>2622PB17</v>
          </cell>
          <cell r="D12593" t="str">
            <v>KBP86</v>
          </cell>
          <cell r="E12593">
            <v>46179</v>
          </cell>
        </row>
        <row r="12594">
          <cell r="A12594" t="str">
            <v>2620OR37</v>
          </cell>
          <cell r="D12594" t="str">
            <v>KBP52</v>
          </cell>
          <cell r="E12594">
            <v>46179</v>
          </cell>
        </row>
        <row r="12595">
          <cell r="A12595" t="str">
            <v>2621GV67</v>
          </cell>
          <cell r="D12595" t="str">
            <v>KBP76</v>
          </cell>
          <cell r="E12595">
            <v>46179</v>
          </cell>
        </row>
        <row r="12596">
          <cell r="A12596" t="str">
            <v>2621GX67</v>
          </cell>
          <cell r="D12596" t="str">
            <v>KBP76</v>
          </cell>
          <cell r="E12596">
            <v>46179</v>
          </cell>
        </row>
        <row r="12597">
          <cell r="A12597" t="str">
            <v>2621ZI57</v>
          </cell>
          <cell r="D12597" t="str">
            <v>KBP86</v>
          </cell>
          <cell r="E12597">
            <v>46179</v>
          </cell>
        </row>
        <row r="12598">
          <cell r="A12598" t="str">
            <v>2621DG67</v>
          </cell>
          <cell r="D12598" t="str">
            <v>KBP52</v>
          </cell>
          <cell r="E12598">
            <v>46179</v>
          </cell>
        </row>
        <row r="12599">
          <cell r="A12599" t="str">
            <v>2621YE57</v>
          </cell>
          <cell r="D12599" t="str">
            <v>KBP86</v>
          </cell>
          <cell r="E12599">
            <v>46179</v>
          </cell>
        </row>
        <row r="12600">
          <cell r="A12600" t="str">
            <v>2621P447</v>
          </cell>
          <cell r="D12600" t="str">
            <v>KBP86</v>
          </cell>
          <cell r="E12600">
            <v>46179</v>
          </cell>
        </row>
        <row r="12601">
          <cell r="A12601" t="str">
            <v>2621BD67</v>
          </cell>
          <cell r="D12601" t="str">
            <v>KBP76</v>
          </cell>
          <cell r="E12601">
            <v>46179</v>
          </cell>
        </row>
        <row r="12602">
          <cell r="A12602" t="str">
            <v>2621IM37</v>
          </cell>
          <cell r="D12602" t="str">
            <v>KBP76</v>
          </cell>
          <cell r="E12602">
            <v>46179</v>
          </cell>
        </row>
        <row r="12603">
          <cell r="A12603" t="str">
            <v>2621CI67</v>
          </cell>
          <cell r="D12603" t="str">
            <v>KBP86</v>
          </cell>
          <cell r="E12603">
            <v>46179</v>
          </cell>
        </row>
        <row r="12604">
          <cell r="A12604" t="str">
            <v>2621KZ37</v>
          </cell>
          <cell r="D12604" t="str">
            <v>KBP86</v>
          </cell>
          <cell r="E12604">
            <v>46179</v>
          </cell>
        </row>
        <row r="12605">
          <cell r="A12605" t="str">
            <v>2621O847</v>
          </cell>
          <cell r="D12605" t="str">
            <v>KBP86</v>
          </cell>
          <cell r="E12605">
            <v>46179</v>
          </cell>
        </row>
        <row r="12606">
          <cell r="A12606" t="str">
            <v>2621LE47</v>
          </cell>
          <cell r="D12606" t="str">
            <v>FTW121KE</v>
          </cell>
          <cell r="E12606">
            <v>46179</v>
          </cell>
        </row>
        <row r="12607">
          <cell r="A12607" t="str">
            <v>2621AG67</v>
          </cell>
          <cell r="D12607" t="str">
            <v>FTW121KE</v>
          </cell>
          <cell r="E12607">
            <v>46179</v>
          </cell>
        </row>
        <row r="12608">
          <cell r="A12608" t="str">
            <v>2621IK27</v>
          </cell>
          <cell r="D12608" t="str">
            <v>FTW121KE</v>
          </cell>
          <cell r="E12608">
            <v>46179</v>
          </cell>
        </row>
        <row r="12609">
          <cell r="A12609" t="str">
            <v>2621L527</v>
          </cell>
          <cell r="D12609" t="str">
            <v>S706</v>
          </cell>
          <cell r="E12609">
            <v>46179</v>
          </cell>
        </row>
        <row r="12610">
          <cell r="A12610" t="str">
            <v>2621KY27</v>
          </cell>
          <cell r="D12610" t="str">
            <v>KBP52</v>
          </cell>
          <cell r="E12610">
            <v>46179</v>
          </cell>
        </row>
        <row r="12611">
          <cell r="A12611" t="str">
            <v>2621KB37</v>
          </cell>
          <cell r="D12611" t="str">
            <v>KBP86</v>
          </cell>
          <cell r="E12611">
            <v>46179</v>
          </cell>
        </row>
        <row r="12612">
          <cell r="A12612" t="str">
            <v>2621GN27</v>
          </cell>
          <cell r="D12612" t="str">
            <v>FTW503</v>
          </cell>
          <cell r="E12612">
            <v>46179</v>
          </cell>
        </row>
        <row r="12613">
          <cell r="A12613" t="str">
            <v>2614KR57</v>
          </cell>
          <cell r="D12613" t="str">
            <v>S805</v>
          </cell>
          <cell r="E12613">
            <v>46179</v>
          </cell>
        </row>
        <row r="12614">
          <cell r="A12614" t="str">
            <v>2622OI17</v>
          </cell>
          <cell r="D12614" t="str">
            <v>FTW121KR</v>
          </cell>
          <cell r="E12614">
            <v>46179</v>
          </cell>
        </row>
        <row r="12615">
          <cell r="A12615" t="str">
            <v>2621KK47</v>
          </cell>
          <cell r="D12615" t="str">
            <v>FTW121KR</v>
          </cell>
          <cell r="E12615">
            <v>46179</v>
          </cell>
        </row>
        <row r="12616">
          <cell r="A12616" t="str">
            <v>2621XR57</v>
          </cell>
          <cell r="D12616" t="str">
            <v>FTW121KR</v>
          </cell>
          <cell r="E12616">
            <v>46179</v>
          </cell>
        </row>
        <row r="12617">
          <cell r="A12617" t="str">
            <v>2621OU47</v>
          </cell>
          <cell r="D12617" t="str">
            <v>KBP86</v>
          </cell>
          <cell r="E12617">
            <v>46179</v>
          </cell>
        </row>
        <row r="12618">
          <cell r="A12618" t="str">
            <v>2621LU27</v>
          </cell>
          <cell r="D12618" t="str">
            <v>HV80</v>
          </cell>
          <cell r="E12618">
            <v>46179</v>
          </cell>
        </row>
        <row r="12619">
          <cell r="A12619" t="str">
            <v>2621O737</v>
          </cell>
          <cell r="D12619" t="str">
            <v>KBP76</v>
          </cell>
          <cell r="E12619">
            <v>46179</v>
          </cell>
        </row>
        <row r="12620">
          <cell r="A12620" t="str">
            <v>2621LD27</v>
          </cell>
          <cell r="D12620" t="str">
            <v>KBP86</v>
          </cell>
          <cell r="E12620">
            <v>46179</v>
          </cell>
        </row>
        <row r="12621">
          <cell r="A12621" t="str">
            <v>2621JY47</v>
          </cell>
          <cell r="D12621" t="str">
            <v>S706</v>
          </cell>
          <cell r="E12621">
            <v>46179</v>
          </cell>
        </row>
        <row r="12622">
          <cell r="A12622" t="str">
            <v>2619FO67</v>
          </cell>
          <cell r="D12622" t="str">
            <v>FTP200</v>
          </cell>
          <cell r="E12622">
            <v>46179</v>
          </cell>
        </row>
        <row r="12623">
          <cell r="A12623" t="str">
            <v>2621QM17</v>
          </cell>
          <cell r="D12623" t="str">
            <v>TTS50</v>
          </cell>
          <cell r="E12623">
            <v>46179</v>
          </cell>
        </row>
        <row r="12624">
          <cell r="A12624" t="str">
            <v>2617LE27</v>
          </cell>
          <cell r="D12624" t="str">
            <v>FTW503</v>
          </cell>
          <cell r="E12624">
            <v>46179</v>
          </cell>
        </row>
        <row r="12625">
          <cell r="A12625" t="str">
            <v>2615LL27</v>
          </cell>
          <cell r="D12625" t="str">
            <v>S805</v>
          </cell>
          <cell r="E12625">
            <v>46179</v>
          </cell>
        </row>
        <row r="12626">
          <cell r="A12626" t="str">
            <v>2621OD47</v>
          </cell>
          <cell r="D12626" t="str">
            <v>KBP86</v>
          </cell>
          <cell r="E12626">
            <v>46179</v>
          </cell>
        </row>
        <row r="12627">
          <cell r="A12627" t="str">
            <v>2612BD67</v>
          </cell>
          <cell r="D12627" t="str">
            <v>FTW503</v>
          </cell>
          <cell r="E12627">
            <v>46179</v>
          </cell>
        </row>
        <row r="12628">
          <cell r="A12628" t="str">
            <v>2621OY37</v>
          </cell>
          <cell r="D12628" t="str">
            <v>KBP86</v>
          </cell>
          <cell r="E12628">
            <v>46179</v>
          </cell>
        </row>
        <row r="12629">
          <cell r="A12629" t="str">
            <v>2621HH67</v>
          </cell>
          <cell r="D12629" t="str">
            <v>KBP74</v>
          </cell>
          <cell r="E12629">
            <v>46179</v>
          </cell>
        </row>
        <row r="12630">
          <cell r="A12630" t="str">
            <v>2621EU57</v>
          </cell>
          <cell r="D12630" t="str">
            <v>TTS50</v>
          </cell>
          <cell r="E12630">
            <v>46179</v>
          </cell>
        </row>
        <row r="12631">
          <cell r="A12631" t="str">
            <v>2619QO17</v>
          </cell>
          <cell r="D12631" t="str">
            <v>KBP76</v>
          </cell>
          <cell r="E12631">
            <v>46179</v>
          </cell>
        </row>
        <row r="12632">
          <cell r="A12632" t="str">
            <v>2620UF57</v>
          </cell>
          <cell r="D12632" t="str">
            <v>KBP76</v>
          </cell>
          <cell r="E12632">
            <v>46179</v>
          </cell>
        </row>
        <row r="12633">
          <cell r="A12633" t="str">
            <v>2621SK17</v>
          </cell>
          <cell r="D12633" t="str">
            <v>KBP55</v>
          </cell>
          <cell r="E12633">
            <v>46179</v>
          </cell>
        </row>
        <row r="12634">
          <cell r="A12634" t="str">
            <v>2621CS67</v>
          </cell>
          <cell r="D12634" t="str">
            <v>KBP86</v>
          </cell>
          <cell r="E12634">
            <v>46179</v>
          </cell>
        </row>
        <row r="12635">
          <cell r="A12635" t="str">
            <v>2613GU67</v>
          </cell>
          <cell r="D12635" t="str">
            <v>STA156KA</v>
          </cell>
          <cell r="E12635">
            <v>46179</v>
          </cell>
        </row>
        <row r="12636">
          <cell r="A12636" t="str">
            <v>2617O657</v>
          </cell>
          <cell r="D12636" t="str">
            <v>FTW503</v>
          </cell>
          <cell r="E12636">
            <v>46179</v>
          </cell>
        </row>
        <row r="12637">
          <cell r="A12637" t="str">
            <v>2621GL27</v>
          </cell>
          <cell r="D12637" t="str">
            <v>FTW503</v>
          </cell>
          <cell r="E12637">
            <v>46179</v>
          </cell>
        </row>
        <row r="12638">
          <cell r="A12638" t="str">
            <v>2621CW57</v>
          </cell>
          <cell r="D12638" t="str">
            <v>KBP76</v>
          </cell>
          <cell r="E12638">
            <v>46179</v>
          </cell>
        </row>
        <row r="12639">
          <cell r="A12639" t="str">
            <v>2621GP67</v>
          </cell>
          <cell r="D12639" t="str">
            <v>KBP76</v>
          </cell>
          <cell r="E12639">
            <v>46179</v>
          </cell>
        </row>
        <row r="12640">
          <cell r="A12640" t="str">
            <v>2622OS17</v>
          </cell>
          <cell r="D12640" t="str">
            <v>KBP86</v>
          </cell>
          <cell r="E12640">
            <v>46179</v>
          </cell>
        </row>
        <row r="12641">
          <cell r="A12641" t="str">
            <v>2609C747</v>
          </cell>
          <cell r="D12641" t="str">
            <v>KBP52</v>
          </cell>
          <cell r="E12641">
            <v>46179</v>
          </cell>
        </row>
        <row r="12642">
          <cell r="A12642" t="str">
            <v>2621QJ27</v>
          </cell>
          <cell r="D12642" t="str">
            <v>KBP86</v>
          </cell>
          <cell r="E12642">
            <v>46179</v>
          </cell>
        </row>
        <row r="12643">
          <cell r="A12643" t="str">
            <v>2621DA67</v>
          </cell>
          <cell r="D12643" t="str">
            <v>KBP52</v>
          </cell>
          <cell r="E12643">
            <v>46179</v>
          </cell>
        </row>
        <row r="12644">
          <cell r="A12644" t="str">
            <v>2620DO67</v>
          </cell>
          <cell r="D12644" t="str">
            <v>KBP86</v>
          </cell>
          <cell r="E12644">
            <v>46179</v>
          </cell>
        </row>
        <row r="12645">
          <cell r="A12645" t="str">
            <v>2621OW27</v>
          </cell>
          <cell r="D12645" t="str">
            <v>KBP76</v>
          </cell>
          <cell r="E12645">
            <v>46179</v>
          </cell>
        </row>
        <row r="12646">
          <cell r="A12646" t="str">
            <v>2621IE37</v>
          </cell>
          <cell r="D12646" t="str">
            <v>KBP86</v>
          </cell>
          <cell r="E12646">
            <v>46179</v>
          </cell>
        </row>
        <row r="12647">
          <cell r="A12647" t="str">
            <v>2619G167</v>
          </cell>
          <cell r="D12647" t="str">
            <v>FTP200</v>
          </cell>
          <cell r="E12647">
            <v>46179</v>
          </cell>
        </row>
        <row r="12648">
          <cell r="A12648" t="str">
            <v>2621DF67</v>
          </cell>
          <cell r="D12648" t="str">
            <v>KBP52</v>
          </cell>
          <cell r="E12648">
            <v>46179</v>
          </cell>
        </row>
        <row r="12649">
          <cell r="A12649" t="str">
            <v>2621EG57</v>
          </cell>
          <cell r="D12649" t="str">
            <v>KBP86</v>
          </cell>
          <cell r="E12649">
            <v>46179</v>
          </cell>
        </row>
        <row r="12650">
          <cell r="A12650" t="str">
            <v>2617F737</v>
          </cell>
          <cell r="D12650" t="str">
            <v>FTW503</v>
          </cell>
          <cell r="E12650">
            <v>46179</v>
          </cell>
        </row>
        <row r="12651">
          <cell r="A12651" t="str">
            <v>2621GJ27</v>
          </cell>
          <cell r="D12651" t="str">
            <v>FTW503</v>
          </cell>
          <cell r="E12651">
            <v>46179</v>
          </cell>
        </row>
        <row r="12652">
          <cell r="A12652" t="str">
            <v>2621CX57</v>
          </cell>
          <cell r="D12652" t="str">
            <v>KBP76</v>
          </cell>
          <cell r="E12652">
            <v>46179</v>
          </cell>
        </row>
        <row r="12653">
          <cell r="A12653" t="str">
            <v>2614LT17</v>
          </cell>
          <cell r="D12653" t="str">
            <v>TTS50</v>
          </cell>
          <cell r="E12653">
            <v>46179</v>
          </cell>
        </row>
        <row r="12654">
          <cell r="A12654" t="str">
            <v>2621J337</v>
          </cell>
          <cell r="D12654" t="str">
            <v>FTW503</v>
          </cell>
          <cell r="E12654">
            <v>46179</v>
          </cell>
        </row>
        <row r="12655">
          <cell r="A12655" t="str">
            <v>2621EA57</v>
          </cell>
          <cell r="D12655" t="str">
            <v>KBP86</v>
          </cell>
          <cell r="E12655">
            <v>46179</v>
          </cell>
        </row>
        <row r="12656">
          <cell r="A12656" t="str">
            <v>2621OZ27</v>
          </cell>
          <cell r="D12656" t="str">
            <v>KBP76</v>
          </cell>
          <cell r="E12656">
            <v>46179</v>
          </cell>
        </row>
        <row r="12657">
          <cell r="A12657" t="str">
            <v>2620E947</v>
          </cell>
          <cell r="D12657" t="str">
            <v>TTS50</v>
          </cell>
          <cell r="E12657">
            <v>46179</v>
          </cell>
        </row>
        <row r="12658">
          <cell r="A12658" t="str">
            <v>2608GP57</v>
          </cell>
          <cell r="D12658" t="str">
            <v>KBP52</v>
          </cell>
          <cell r="E12658">
            <v>46179</v>
          </cell>
        </row>
        <row r="12659">
          <cell r="A12659" t="str">
            <v>2620OZ57</v>
          </cell>
          <cell r="D12659" t="str">
            <v>STA156KA</v>
          </cell>
          <cell r="E12659">
            <v>46179</v>
          </cell>
        </row>
        <row r="12660">
          <cell r="A12660" t="str">
            <v>2621CY67</v>
          </cell>
          <cell r="D12660" t="str">
            <v>KBP86</v>
          </cell>
          <cell r="E12660">
            <v>46179</v>
          </cell>
        </row>
        <row r="12661">
          <cell r="A12661" t="str">
            <v>2621EV57</v>
          </cell>
          <cell r="D12661" t="str">
            <v>TTS50</v>
          </cell>
          <cell r="E12661">
            <v>46179</v>
          </cell>
        </row>
        <row r="12662">
          <cell r="A12662" t="str">
            <v>2619B947</v>
          </cell>
          <cell r="D12662" t="str">
            <v>TTS50</v>
          </cell>
          <cell r="E12662">
            <v>46179</v>
          </cell>
        </row>
        <row r="12663">
          <cell r="A12663" t="str">
            <v>2621KC47</v>
          </cell>
          <cell r="D12663" t="str">
            <v>FTW503</v>
          </cell>
          <cell r="E12663">
            <v>46179</v>
          </cell>
        </row>
        <row r="12664">
          <cell r="A12664" t="str">
            <v>2608LO27</v>
          </cell>
          <cell r="D12664" t="str">
            <v>S706</v>
          </cell>
          <cell r="E12664">
            <v>46179</v>
          </cell>
        </row>
        <row r="12665">
          <cell r="A12665" t="str">
            <v>2620UD57</v>
          </cell>
          <cell r="D12665" t="str">
            <v>KBP76</v>
          </cell>
          <cell r="E12665">
            <v>46179</v>
          </cell>
        </row>
        <row r="12666">
          <cell r="A12666" t="str">
            <v>2621GG27</v>
          </cell>
          <cell r="D12666" t="str">
            <v>FTW503</v>
          </cell>
          <cell r="E12666">
            <v>46179</v>
          </cell>
        </row>
        <row r="12667">
          <cell r="A12667" t="str">
            <v>2621A667</v>
          </cell>
          <cell r="D12667" t="str">
            <v>FTW121KE</v>
          </cell>
          <cell r="E12667">
            <v>46179</v>
          </cell>
        </row>
        <row r="12668">
          <cell r="A12668" t="str">
            <v>2621CM67</v>
          </cell>
          <cell r="D12668" t="str">
            <v>KBP86</v>
          </cell>
          <cell r="E12668">
            <v>46179</v>
          </cell>
        </row>
        <row r="12669">
          <cell r="A12669" t="str">
            <v>2618H857</v>
          </cell>
          <cell r="D12669" t="str">
            <v>TTS50</v>
          </cell>
          <cell r="E12669">
            <v>46179</v>
          </cell>
        </row>
        <row r="12670">
          <cell r="A12670" t="str">
            <v>2609GX57</v>
          </cell>
          <cell r="D12670" t="str">
            <v>KBP52</v>
          </cell>
          <cell r="E12670">
            <v>46179</v>
          </cell>
        </row>
        <row r="12671">
          <cell r="A12671" t="str">
            <v>2621QQ17</v>
          </cell>
          <cell r="D12671" t="str">
            <v>TTS50</v>
          </cell>
          <cell r="E12671">
            <v>46179</v>
          </cell>
        </row>
        <row r="12672">
          <cell r="A12672" t="str">
            <v>2621LM17</v>
          </cell>
          <cell r="D12672" t="str">
            <v>FTW503</v>
          </cell>
          <cell r="E12672">
            <v>46179</v>
          </cell>
        </row>
        <row r="12673">
          <cell r="A12673" t="str">
            <v>2621J137</v>
          </cell>
          <cell r="D12673" t="str">
            <v>FTW503</v>
          </cell>
          <cell r="E12673">
            <v>46179</v>
          </cell>
        </row>
        <row r="12674">
          <cell r="A12674" t="str">
            <v>2621LF47</v>
          </cell>
          <cell r="D12674" t="str">
            <v>FTW121KE</v>
          </cell>
          <cell r="E12674">
            <v>46179</v>
          </cell>
        </row>
        <row r="12675">
          <cell r="A12675" t="str">
            <v>2621ZW57</v>
          </cell>
          <cell r="D12675" t="str">
            <v>KBP86</v>
          </cell>
          <cell r="E12675">
            <v>46179</v>
          </cell>
        </row>
        <row r="12676">
          <cell r="A12676" t="str">
            <v>2621W657</v>
          </cell>
          <cell r="D12676" t="str">
            <v>S706</v>
          </cell>
          <cell r="E12676">
            <v>46179</v>
          </cell>
        </row>
        <row r="12677">
          <cell r="A12677" t="str">
            <v>2621LL17</v>
          </cell>
          <cell r="D12677" t="str">
            <v>FTW503</v>
          </cell>
          <cell r="E12677">
            <v>46179</v>
          </cell>
        </row>
        <row r="12678">
          <cell r="A12678" t="str">
            <v>2616EI57</v>
          </cell>
          <cell r="D12678" t="str">
            <v>KBP52</v>
          </cell>
          <cell r="E12678">
            <v>46179</v>
          </cell>
        </row>
        <row r="12679">
          <cell r="A12679" t="str">
            <v>2621D257</v>
          </cell>
          <cell r="D12679" t="str">
            <v>S706</v>
          </cell>
          <cell r="E12679">
            <v>46179</v>
          </cell>
        </row>
        <row r="12680">
          <cell r="A12680" t="str">
            <v>2617FG37</v>
          </cell>
          <cell r="D12680" t="str">
            <v>FTW503</v>
          </cell>
          <cell r="E12680">
            <v>46179</v>
          </cell>
        </row>
        <row r="12681">
          <cell r="A12681" t="str">
            <v>2621KV37</v>
          </cell>
          <cell r="D12681" t="str">
            <v>KBP86</v>
          </cell>
          <cell r="E12681">
            <v>46179</v>
          </cell>
        </row>
        <row r="12682">
          <cell r="A12682" t="str">
            <v>2621QI27</v>
          </cell>
          <cell r="D12682" t="str">
            <v>KBP86</v>
          </cell>
          <cell r="E12682">
            <v>46179</v>
          </cell>
        </row>
        <row r="12683">
          <cell r="A12683" t="str">
            <v>2621ZY57</v>
          </cell>
          <cell r="D12683" t="str">
            <v>KBP86</v>
          </cell>
          <cell r="E12683">
            <v>46179</v>
          </cell>
        </row>
        <row r="12684">
          <cell r="A12684" t="str">
            <v>2621PV47</v>
          </cell>
          <cell r="D12684" t="str">
            <v>KBP55</v>
          </cell>
          <cell r="E12684">
            <v>46179</v>
          </cell>
        </row>
        <row r="12685">
          <cell r="A12685" t="str">
            <v>2621JS47</v>
          </cell>
          <cell r="D12685" t="str">
            <v>KBP76</v>
          </cell>
          <cell r="E12685">
            <v>46179</v>
          </cell>
        </row>
        <row r="12686">
          <cell r="A12686" t="str">
            <v>2621KB47</v>
          </cell>
          <cell r="D12686" t="str">
            <v>FTW503</v>
          </cell>
          <cell r="E12686">
            <v>46179</v>
          </cell>
        </row>
        <row r="12687">
          <cell r="A12687" t="str">
            <v>2620LT17</v>
          </cell>
          <cell r="D12687" t="str">
            <v>FTP200</v>
          </cell>
          <cell r="E12687">
            <v>46179</v>
          </cell>
        </row>
        <row r="12688">
          <cell r="A12688" t="str">
            <v>2621ON47</v>
          </cell>
          <cell r="D12688" t="str">
            <v>KBP86</v>
          </cell>
          <cell r="E12688">
            <v>46179</v>
          </cell>
        </row>
        <row r="12689">
          <cell r="A12689" t="str">
            <v>2621P247</v>
          </cell>
          <cell r="D12689" t="str">
            <v>KBP52</v>
          </cell>
          <cell r="E12689">
            <v>46179</v>
          </cell>
        </row>
        <row r="12690">
          <cell r="A12690" t="str">
            <v>2621GJ67</v>
          </cell>
          <cell r="D12690" t="str">
            <v>KBP76</v>
          </cell>
          <cell r="E12690">
            <v>46179</v>
          </cell>
        </row>
        <row r="12691">
          <cell r="A12691" t="str">
            <v>2621D557</v>
          </cell>
          <cell r="D12691" t="str">
            <v>S706</v>
          </cell>
          <cell r="E12691">
            <v>46179</v>
          </cell>
        </row>
        <row r="12692">
          <cell r="A12692" t="str">
            <v>2621LI47</v>
          </cell>
          <cell r="D12692" t="str">
            <v>FTW121KE</v>
          </cell>
          <cell r="E12692">
            <v>46179</v>
          </cell>
        </row>
        <row r="12693">
          <cell r="A12693" t="str">
            <v>2621GR67</v>
          </cell>
          <cell r="D12693" t="str">
            <v>KBP76</v>
          </cell>
          <cell r="E12693">
            <v>46179</v>
          </cell>
        </row>
        <row r="12694">
          <cell r="A12694" t="str">
            <v>2620Q637</v>
          </cell>
          <cell r="D12694" t="str">
            <v>KBP76</v>
          </cell>
          <cell r="E12694">
            <v>46179</v>
          </cell>
        </row>
        <row r="12695">
          <cell r="A12695" t="str">
            <v>2621GN67</v>
          </cell>
          <cell r="D12695" t="str">
            <v>KBP76</v>
          </cell>
          <cell r="E12695">
            <v>46179</v>
          </cell>
        </row>
        <row r="12696">
          <cell r="A12696" t="str">
            <v>2621F137</v>
          </cell>
          <cell r="D12696" t="str">
            <v>STA156KA</v>
          </cell>
          <cell r="E12696">
            <v>46179</v>
          </cell>
        </row>
        <row r="12697">
          <cell r="A12697" t="str">
            <v>2621XD57</v>
          </cell>
          <cell r="D12697" t="str">
            <v>FTW121KE</v>
          </cell>
          <cell r="E12697">
            <v>46179</v>
          </cell>
        </row>
        <row r="12698">
          <cell r="A12698" t="str">
            <v>2621JS37</v>
          </cell>
          <cell r="D12698" t="str">
            <v>FTW121KE</v>
          </cell>
          <cell r="E12698">
            <v>46179</v>
          </cell>
        </row>
        <row r="12699">
          <cell r="A12699" t="str">
            <v>2621KA47</v>
          </cell>
          <cell r="D12699" t="str">
            <v>FTW503</v>
          </cell>
          <cell r="E12699">
            <v>46179</v>
          </cell>
        </row>
        <row r="12700">
          <cell r="A12700" t="str">
            <v>2621WY57</v>
          </cell>
          <cell r="D12700" t="str">
            <v>FTW121KE</v>
          </cell>
          <cell r="E12700">
            <v>46179</v>
          </cell>
        </row>
        <row r="12701">
          <cell r="A12701" t="str">
            <v>2621OS47</v>
          </cell>
          <cell r="D12701" t="str">
            <v>KBP86</v>
          </cell>
          <cell r="E12701">
            <v>46179</v>
          </cell>
        </row>
        <row r="12702">
          <cell r="A12702" t="str">
            <v>2621I427</v>
          </cell>
          <cell r="D12702" t="str">
            <v>FTW121KE</v>
          </cell>
          <cell r="E12702">
            <v>46179</v>
          </cell>
        </row>
        <row r="12703">
          <cell r="A12703" t="str">
            <v>2621PR47</v>
          </cell>
          <cell r="D12703" t="str">
            <v>KBP76</v>
          </cell>
          <cell r="E12703">
            <v>46179</v>
          </cell>
        </row>
        <row r="12704">
          <cell r="A12704" t="str">
            <v>2618L517</v>
          </cell>
          <cell r="D12704" t="str">
            <v>KBP52</v>
          </cell>
          <cell r="E12704">
            <v>46179</v>
          </cell>
        </row>
        <row r="12705">
          <cell r="A12705" t="str">
            <v>2621KZ47</v>
          </cell>
          <cell r="D12705" t="str">
            <v>FTW121KE</v>
          </cell>
          <cell r="E12705">
            <v>46179</v>
          </cell>
        </row>
        <row r="12706">
          <cell r="A12706" t="str">
            <v>2621EZ37</v>
          </cell>
          <cell r="D12706" t="str">
            <v>STA156KA</v>
          </cell>
          <cell r="E12706">
            <v>46179</v>
          </cell>
        </row>
        <row r="12707">
          <cell r="A12707" t="str">
            <v>2620IK57</v>
          </cell>
          <cell r="D12707" t="str">
            <v>FTP200</v>
          </cell>
          <cell r="E12707">
            <v>46179</v>
          </cell>
        </row>
        <row r="12708">
          <cell r="A12708" t="str">
            <v>2621OZ37</v>
          </cell>
          <cell r="D12708" t="str">
            <v>KBP86</v>
          </cell>
          <cell r="E12708">
            <v>46179</v>
          </cell>
        </row>
        <row r="12709">
          <cell r="A12709" t="str">
            <v>2617OC57</v>
          </cell>
          <cell r="D12709" t="str">
            <v>FTW503</v>
          </cell>
          <cell r="E12709">
            <v>46179</v>
          </cell>
        </row>
        <row r="12710">
          <cell r="A12710" t="str">
            <v>2620OT37</v>
          </cell>
          <cell r="D12710" t="str">
            <v>KBP52</v>
          </cell>
          <cell r="E12710">
            <v>46179</v>
          </cell>
        </row>
        <row r="12711">
          <cell r="A12711" t="str">
            <v>2621PG27</v>
          </cell>
          <cell r="D12711" t="str">
            <v>TTS175</v>
          </cell>
          <cell r="E12711">
            <v>46179</v>
          </cell>
        </row>
        <row r="12712">
          <cell r="A12712" t="str">
            <v>2621VY57</v>
          </cell>
          <cell r="D12712" t="str">
            <v>KBP76</v>
          </cell>
          <cell r="E12712">
            <v>46179</v>
          </cell>
        </row>
        <row r="12713">
          <cell r="A12713" t="str">
            <v>2620S957</v>
          </cell>
          <cell r="D12713" t="str">
            <v>KBP86</v>
          </cell>
          <cell r="E12713">
            <v>46179</v>
          </cell>
        </row>
        <row r="12714">
          <cell r="A12714" t="str">
            <v>2622L217</v>
          </cell>
          <cell r="D12714" t="str">
            <v>S805</v>
          </cell>
          <cell r="E12714">
            <v>46179</v>
          </cell>
        </row>
        <row r="12715">
          <cell r="A12715" t="str">
            <v>2619FQ67</v>
          </cell>
          <cell r="D12715" t="str">
            <v>FTP200</v>
          </cell>
          <cell r="E12715">
            <v>46179</v>
          </cell>
        </row>
        <row r="12716">
          <cell r="A12716" t="str">
            <v>2621IC37</v>
          </cell>
          <cell r="D12716" t="str">
            <v>KBP86</v>
          </cell>
          <cell r="E12716">
            <v>46179</v>
          </cell>
        </row>
        <row r="12717">
          <cell r="A12717" t="str">
            <v>2621EX37</v>
          </cell>
          <cell r="D12717" t="str">
            <v>STA156KA</v>
          </cell>
          <cell r="E12717">
            <v>46179</v>
          </cell>
        </row>
        <row r="12718">
          <cell r="A12718" t="str">
            <v>2621OC47</v>
          </cell>
          <cell r="D12718" t="str">
            <v>KBP86</v>
          </cell>
          <cell r="E12718">
            <v>46179</v>
          </cell>
        </row>
        <row r="12719">
          <cell r="A12719" t="str">
            <v>2620LS17</v>
          </cell>
          <cell r="D12719" t="str">
            <v>FTP200</v>
          </cell>
          <cell r="E12719">
            <v>46179</v>
          </cell>
        </row>
        <row r="12720">
          <cell r="A12720" t="str">
            <v>2621A567</v>
          </cell>
          <cell r="D12720" t="str">
            <v>FTW121KE</v>
          </cell>
          <cell r="E12720">
            <v>46179</v>
          </cell>
        </row>
        <row r="12721">
          <cell r="A12721" t="str">
            <v>2622OE17</v>
          </cell>
          <cell r="D12721" t="str">
            <v>FTW121KE</v>
          </cell>
          <cell r="E12721">
            <v>46179</v>
          </cell>
        </row>
        <row r="12722">
          <cell r="A12722" t="str">
            <v>2620EC47</v>
          </cell>
          <cell r="D12722" t="str">
            <v>TTS50</v>
          </cell>
          <cell r="E12722">
            <v>46179</v>
          </cell>
        </row>
        <row r="12723">
          <cell r="A12723" t="str">
            <v>2622LU17</v>
          </cell>
          <cell r="D12723" t="str">
            <v>FTW700</v>
          </cell>
          <cell r="E12723">
            <v>46178</v>
          </cell>
        </row>
        <row r="12724">
          <cell r="A12724" t="str">
            <v>2615DK30</v>
          </cell>
          <cell r="D12724" t="str">
            <v>TTS125</v>
          </cell>
          <cell r="E12724">
            <v>46178</v>
          </cell>
        </row>
        <row r="12725">
          <cell r="A12725" t="str">
            <v>2620P327</v>
          </cell>
          <cell r="D12725" t="str">
            <v>TTS80</v>
          </cell>
          <cell r="E12725">
            <v>46178</v>
          </cell>
        </row>
        <row r="12726">
          <cell r="A12726" t="str">
            <v>2620PF37</v>
          </cell>
          <cell r="D12726" t="str">
            <v>HV80</v>
          </cell>
          <cell r="E12726">
            <v>46178</v>
          </cell>
        </row>
        <row r="12727">
          <cell r="A12727" t="str">
            <v>2610ZD57</v>
          </cell>
          <cell r="D12727" t="str">
            <v>TTS80</v>
          </cell>
          <cell r="E12727">
            <v>46178</v>
          </cell>
        </row>
        <row r="12728">
          <cell r="A12728" t="str">
            <v>2610ZD57</v>
          </cell>
          <cell r="D12728" t="str">
            <v>TTS80</v>
          </cell>
          <cell r="E12728">
            <v>46178</v>
          </cell>
        </row>
        <row r="12729">
          <cell r="A12729" t="str">
            <v>2615DK30</v>
          </cell>
          <cell r="D12729" t="str">
            <v>TTS125</v>
          </cell>
          <cell r="E12729">
            <v>46178</v>
          </cell>
        </row>
        <row r="12730">
          <cell r="A12730" t="str">
            <v>2620BH67</v>
          </cell>
          <cell r="D12730" t="str">
            <v>HV80</v>
          </cell>
          <cell r="E12730">
            <v>46178</v>
          </cell>
        </row>
        <row r="12731">
          <cell r="A12731" t="str">
            <v>2619EF50</v>
          </cell>
          <cell r="D12731" t="str">
            <v>TTS125</v>
          </cell>
          <cell r="E12731">
            <v>46178</v>
          </cell>
        </row>
        <row r="12732">
          <cell r="A12732" t="str">
            <v>2619EF50</v>
          </cell>
          <cell r="D12732" t="str">
            <v>TTS125</v>
          </cell>
          <cell r="E12732">
            <v>46178</v>
          </cell>
        </row>
        <row r="12733">
          <cell r="A12733" t="str">
            <v>2620EJ70</v>
          </cell>
          <cell r="D12733" t="str">
            <v>TTS125</v>
          </cell>
          <cell r="E12733">
            <v>46178</v>
          </cell>
        </row>
        <row r="12734">
          <cell r="A12734" t="str">
            <v>2620P137</v>
          </cell>
          <cell r="D12734" t="str">
            <v>HV80</v>
          </cell>
          <cell r="E12734">
            <v>46178</v>
          </cell>
        </row>
        <row r="12735">
          <cell r="A12735" t="str">
            <v>2619D747</v>
          </cell>
          <cell r="D12735" t="str">
            <v>TTS80</v>
          </cell>
          <cell r="E12735">
            <v>46178</v>
          </cell>
        </row>
        <row r="12736">
          <cell r="A12736" t="str">
            <v>2610ZD57</v>
          </cell>
          <cell r="D12736" t="str">
            <v>TTS80</v>
          </cell>
          <cell r="E12736">
            <v>46178</v>
          </cell>
        </row>
        <row r="12737">
          <cell r="A12737" t="str">
            <v>2619D947</v>
          </cell>
          <cell r="D12737" t="str">
            <v>TTS80</v>
          </cell>
          <cell r="E12737">
            <v>46178</v>
          </cell>
        </row>
        <row r="12738">
          <cell r="A12738" t="str">
            <v>2620EJ70</v>
          </cell>
          <cell r="D12738" t="str">
            <v>TTS125</v>
          </cell>
          <cell r="E12738">
            <v>46178</v>
          </cell>
        </row>
        <row r="12739">
          <cell r="A12739" t="str">
            <v>2621F367</v>
          </cell>
          <cell r="D12739" t="str">
            <v>S706</v>
          </cell>
          <cell r="E12739">
            <v>46178</v>
          </cell>
        </row>
        <row r="12740">
          <cell r="A12740" t="str">
            <v>2610ZD57</v>
          </cell>
          <cell r="D12740" t="str">
            <v>TTS80</v>
          </cell>
          <cell r="E12740">
            <v>46178</v>
          </cell>
        </row>
        <row r="12741">
          <cell r="A12741" t="str">
            <v>2616OQ37</v>
          </cell>
          <cell r="D12741" t="str">
            <v>KBP86</v>
          </cell>
          <cell r="E12741">
            <v>46178</v>
          </cell>
        </row>
        <row r="12742">
          <cell r="A12742" t="str">
            <v>2610ZD57</v>
          </cell>
          <cell r="D12742" t="str">
            <v>TTS80</v>
          </cell>
          <cell r="E12742">
            <v>46178</v>
          </cell>
        </row>
        <row r="12743">
          <cell r="A12743" t="str">
            <v>2615V557</v>
          </cell>
          <cell r="D12743" t="str">
            <v>KBP86</v>
          </cell>
          <cell r="E12743">
            <v>46178</v>
          </cell>
        </row>
        <row r="12744">
          <cell r="A12744" t="str">
            <v>2622QE17</v>
          </cell>
          <cell r="D12744" t="str">
            <v>S706</v>
          </cell>
          <cell r="E12744">
            <v>46178</v>
          </cell>
        </row>
        <row r="12745">
          <cell r="A12745" t="str">
            <v>2622Q517</v>
          </cell>
          <cell r="D12745" t="str">
            <v>S706</v>
          </cell>
          <cell r="E12745">
            <v>46178</v>
          </cell>
        </row>
        <row r="12746">
          <cell r="A12746" t="str">
            <v>2621F567</v>
          </cell>
          <cell r="D12746" t="str">
            <v>S706</v>
          </cell>
          <cell r="E12746">
            <v>46178</v>
          </cell>
        </row>
        <row r="12747">
          <cell r="A12747" t="str">
            <v>2621QC17</v>
          </cell>
          <cell r="D12747" t="str">
            <v>HV80</v>
          </cell>
          <cell r="E12747">
            <v>46178</v>
          </cell>
        </row>
        <row r="12748">
          <cell r="A12748" t="str">
            <v>2620BH67</v>
          </cell>
          <cell r="D12748" t="str">
            <v>HV80</v>
          </cell>
          <cell r="E12748">
            <v>46178</v>
          </cell>
        </row>
        <row r="12749">
          <cell r="A12749" t="str">
            <v>2620PF37</v>
          </cell>
          <cell r="D12749" t="str">
            <v>HV80</v>
          </cell>
          <cell r="E12749">
            <v>46178</v>
          </cell>
        </row>
        <row r="12750">
          <cell r="A12750" t="str">
            <v>2619F657</v>
          </cell>
          <cell r="D12750" t="str">
            <v>HV80</v>
          </cell>
          <cell r="E12750">
            <v>46178</v>
          </cell>
        </row>
        <row r="12751">
          <cell r="A12751" t="str">
            <v>2620KT17</v>
          </cell>
          <cell r="D12751" t="str">
            <v>HV80</v>
          </cell>
          <cell r="E12751">
            <v>46178</v>
          </cell>
        </row>
        <row r="12752">
          <cell r="A12752" t="str">
            <v>2620P137</v>
          </cell>
          <cell r="D12752" t="str">
            <v>HV80</v>
          </cell>
          <cell r="E12752">
            <v>46178</v>
          </cell>
        </row>
        <row r="12753">
          <cell r="A12753" t="str">
            <v>2619FA57</v>
          </cell>
          <cell r="D12753" t="str">
            <v>TTS80</v>
          </cell>
          <cell r="E12753">
            <v>46178</v>
          </cell>
        </row>
        <row r="12754">
          <cell r="A12754" t="str">
            <v>2619FB57</v>
          </cell>
          <cell r="D12754" t="str">
            <v>TTS80</v>
          </cell>
          <cell r="E12754">
            <v>46178</v>
          </cell>
        </row>
        <row r="12755">
          <cell r="A12755" t="str">
            <v>2619FB57</v>
          </cell>
          <cell r="D12755" t="str">
            <v>TTS80</v>
          </cell>
          <cell r="E12755">
            <v>46178</v>
          </cell>
        </row>
        <row r="12756">
          <cell r="A12756" t="str">
            <v>2619FC57</v>
          </cell>
          <cell r="D12756" t="str">
            <v>TTS80</v>
          </cell>
          <cell r="E12756">
            <v>46178</v>
          </cell>
        </row>
        <row r="12757">
          <cell r="A12757" t="str">
            <v>2621J527</v>
          </cell>
          <cell r="D12757" t="str">
            <v>KBP86</v>
          </cell>
          <cell r="E12757">
            <v>46178</v>
          </cell>
        </row>
        <row r="12758">
          <cell r="A12758" t="str">
            <v>2620U957</v>
          </cell>
          <cell r="D12758" t="str">
            <v>KBP76</v>
          </cell>
          <cell r="E12758">
            <v>46178</v>
          </cell>
        </row>
        <row r="12759">
          <cell r="A12759" t="str">
            <v>2620WQ57</v>
          </cell>
          <cell r="D12759" t="str">
            <v>FTW121KE</v>
          </cell>
          <cell r="E12759">
            <v>46178</v>
          </cell>
        </row>
        <row r="12760">
          <cell r="A12760" t="str">
            <v>2621JY37</v>
          </cell>
          <cell r="D12760" t="str">
            <v>FTW121KE</v>
          </cell>
          <cell r="E12760">
            <v>46178</v>
          </cell>
        </row>
        <row r="12761">
          <cell r="A12761" t="str">
            <v>2621KJ47</v>
          </cell>
          <cell r="D12761" t="str">
            <v>FTW121KE</v>
          </cell>
          <cell r="E12761">
            <v>46178</v>
          </cell>
        </row>
        <row r="12762">
          <cell r="A12762" t="str">
            <v>2620KN37</v>
          </cell>
          <cell r="D12762" t="str">
            <v>FTW121KE</v>
          </cell>
          <cell r="E12762">
            <v>46178</v>
          </cell>
        </row>
        <row r="12763">
          <cell r="A12763" t="str">
            <v>2620EM70</v>
          </cell>
          <cell r="D12763" t="str">
            <v>TTS125</v>
          </cell>
          <cell r="E12763">
            <v>46178</v>
          </cell>
        </row>
        <row r="12764">
          <cell r="A12764" t="str">
            <v>2621IT37</v>
          </cell>
          <cell r="D12764" t="str">
            <v>S706</v>
          </cell>
          <cell r="E12764">
            <v>46178</v>
          </cell>
        </row>
        <row r="12765">
          <cell r="A12765" t="str">
            <v>2620C467</v>
          </cell>
          <cell r="D12765" t="str">
            <v>KBP76</v>
          </cell>
          <cell r="E12765">
            <v>46178</v>
          </cell>
        </row>
        <row r="12766">
          <cell r="A12766" t="str">
            <v>2621DK57</v>
          </cell>
          <cell r="D12766" t="str">
            <v>FTW102K</v>
          </cell>
          <cell r="E12766">
            <v>46178</v>
          </cell>
        </row>
        <row r="12767">
          <cell r="A12767" t="str">
            <v>2621H167</v>
          </cell>
          <cell r="D12767" t="str">
            <v>KBP76</v>
          </cell>
          <cell r="E12767">
            <v>46178</v>
          </cell>
        </row>
        <row r="12768">
          <cell r="A12768" t="str">
            <v>2620SX57</v>
          </cell>
          <cell r="D12768" t="str">
            <v>KBP76</v>
          </cell>
          <cell r="E12768">
            <v>46178</v>
          </cell>
        </row>
        <row r="12769">
          <cell r="A12769" t="str">
            <v>2621KX37</v>
          </cell>
          <cell r="D12769" t="str">
            <v>KBP86</v>
          </cell>
          <cell r="E12769">
            <v>46178</v>
          </cell>
        </row>
        <row r="12770">
          <cell r="A12770" t="str">
            <v>2620AL67</v>
          </cell>
          <cell r="D12770" t="str">
            <v>KBP52</v>
          </cell>
          <cell r="E12770">
            <v>46178</v>
          </cell>
        </row>
        <row r="12771">
          <cell r="A12771" t="str">
            <v>2620HC57</v>
          </cell>
          <cell r="D12771" t="str">
            <v>KBP86</v>
          </cell>
          <cell r="E12771">
            <v>46178</v>
          </cell>
        </row>
        <row r="12772">
          <cell r="A12772" t="str">
            <v>2620WJ57</v>
          </cell>
          <cell r="D12772" t="str">
            <v>FTW121KE</v>
          </cell>
          <cell r="E12772">
            <v>46178</v>
          </cell>
        </row>
        <row r="12773">
          <cell r="A12773" t="str">
            <v>2620GQ57</v>
          </cell>
          <cell r="D12773" t="str">
            <v>FTW121KE</v>
          </cell>
          <cell r="E12773">
            <v>46178</v>
          </cell>
        </row>
        <row r="12774">
          <cell r="A12774" t="str">
            <v>2621L117</v>
          </cell>
          <cell r="D12774" t="str">
            <v>KBP86</v>
          </cell>
          <cell r="E12774">
            <v>46178</v>
          </cell>
        </row>
        <row r="12775">
          <cell r="A12775" t="str">
            <v>2621DL57</v>
          </cell>
          <cell r="D12775" t="str">
            <v>FTW102K</v>
          </cell>
          <cell r="E12775">
            <v>46178</v>
          </cell>
        </row>
        <row r="12776">
          <cell r="A12776" t="str">
            <v>2618GN27</v>
          </cell>
          <cell r="D12776" t="str">
            <v>FTW503</v>
          </cell>
          <cell r="E12776">
            <v>46178</v>
          </cell>
        </row>
        <row r="12777">
          <cell r="A12777" t="str">
            <v>2620V457</v>
          </cell>
          <cell r="D12777" t="str">
            <v>FTW503</v>
          </cell>
          <cell r="E12777">
            <v>46178</v>
          </cell>
        </row>
        <row r="12778">
          <cell r="A12778" t="str">
            <v>2619YP57</v>
          </cell>
          <cell r="D12778" t="str">
            <v>KBP86</v>
          </cell>
          <cell r="E12778">
            <v>46178</v>
          </cell>
        </row>
        <row r="12779">
          <cell r="A12779" t="str">
            <v>2617O857</v>
          </cell>
          <cell r="D12779" t="str">
            <v>FTW503</v>
          </cell>
          <cell r="E12779">
            <v>46178</v>
          </cell>
        </row>
        <row r="12780">
          <cell r="A12780" t="str">
            <v>2613C427</v>
          </cell>
          <cell r="D12780" t="str">
            <v>FTW503</v>
          </cell>
          <cell r="E12780">
            <v>46178</v>
          </cell>
        </row>
        <row r="12781">
          <cell r="A12781" t="str">
            <v>2620W357</v>
          </cell>
          <cell r="D12781" t="str">
            <v>FTW121KE</v>
          </cell>
          <cell r="E12781">
            <v>46178</v>
          </cell>
        </row>
        <row r="12782">
          <cell r="A12782" t="str">
            <v>2620IZ37</v>
          </cell>
          <cell r="D12782" t="str">
            <v>KBP86</v>
          </cell>
          <cell r="E12782">
            <v>46178</v>
          </cell>
        </row>
        <row r="12783">
          <cell r="A12783" t="str">
            <v>2617DY70</v>
          </cell>
          <cell r="D12783" t="str">
            <v>TTS125</v>
          </cell>
          <cell r="E12783">
            <v>46178</v>
          </cell>
        </row>
        <row r="12784">
          <cell r="A12784" t="str">
            <v>2621JX47</v>
          </cell>
          <cell r="D12784" t="str">
            <v>S706</v>
          </cell>
          <cell r="E12784">
            <v>46178</v>
          </cell>
        </row>
        <row r="12785">
          <cell r="A12785" t="str">
            <v>2621OR37</v>
          </cell>
          <cell r="D12785" t="str">
            <v>TTS80</v>
          </cell>
          <cell r="E12785">
            <v>46178</v>
          </cell>
        </row>
        <row r="12786">
          <cell r="A12786" t="str">
            <v>2621LS17</v>
          </cell>
          <cell r="D12786" t="str">
            <v>FTW503</v>
          </cell>
          <cell r="E12786">
            <v>46178</v>
          </cell>
        </row>
        <row r="12787">
          <cell r="A12787" t="str">
            <v>2620CM47</v>
          </cell>
          <cell r="D12787" t="str">
            <v>KBP86</v>
          </cell>
          <cell r="E12787">
            <v>46178</v>
          </cell>
        </row>
        <row r="12788">
          <cell r="A12788" t="str">
            <v>2620OU27</v>
          </cell>
          <cell r="D12788" t="str">
            <v>FTP200</v>
          </cell>
          <cell r="E12788">
            <v>46178</v>
          </cell>
        </row>
        <row r="12789">
          <cell r="A12789" t="str">
            <v>2621LB17</v>
          </cell>
          <cell r="D12789" t="str">
            <v>KBP76</v>
          </cell>
          <cell r="E12789">
            <v>46178</v>
          </cell>
        </row>
        <row r="12790">
          <cell r="A12790" t="str">
            <v>2620GZ57</v>
          </cell>
          <cell r="D12790" t="str">
            <v>FTW121KE</v>
          </cell>
          <cell r="E12790">
            <v>46178</v>
          </cell>
        </row>
        <row r="12791">
          <cell r="A12791" t="str">
            <v>2613CV27</v>
          </cell>
          <cell r="D12791" t="str">
            <v>FTW503</v>
          </cell>
          <cell r="E12791">
            <v>46178</v>
          </cell>
        </row>
        <row r="12792">
          <cell r="A12792" t="str">
            <v>2617OL57</v>
          </cell>
          <cell r="D12792" t="str">
            <v>FTW503</v>
          </cell>
          <cell r="E12792">
            <v>46178</v>
          </cell>
        </row>
        <row r="12793">
          <cell r="A12793" t="str">
            <v>2620OM37</v>
          </cell>
          <cell r="D12793" t="str">
            <v>KBP86</v>
          </cell>
          <cell r="E12793">
            <v>46178</v>
          </cell>
        </row>
        <row r="12794">
          <cell r="A12794" t="str">
            <v>2621IR37</v>
          </cell>
          <cell r="D12794" t="str">
            <v>KBP76</v>
          </cell>
          <cell r="E12794">
            <v>46178</v>
          </cell>
        </row>
        <row r="12795">
          <cell r="A12795" t="str">
            <v>2621HN67</v>
          </cell>
          <cell r="D12795" t="str">
            <v>KBP55</v>
          </cell>
          <cell r="E12795">
            <v>46178</v>
          </cell>
        </row>
        <row r="12796">
          <cell r="A12796" t="str">
            <v>2607FV57</v>
          </cell>
          <cell r="D12796" t="str">
            <v>FTP150</v>
          </cell>
          <cell r="E12796">
            <v>46178</v>
          </cell>
        </row>
        <row r="12797">
          <cell r="A12797" t="str">
            <v>2619Q857</v>
          </cell>
          <cell r="D12797" t="str">
            <v>KBP76</v>
          </cell>
          <cell r="E12797">
            <v>46178</v>
          </cell>
        </row>
        <row r="12798">
          <cell r="A12798" t="str">
            <v>2620UI57</v>
          </cell>
          <cell r="D12798" t="str">
            <v>S706</v>
          </cell>
          <cell r="E12798">
            <v>46178</v>
          </cell>
        </row>
        <row r="12799">
          <cell r="A12799" t="str">
            <v>2620K227</v>
          </cell>
          <cell r="D12799" t="str">
            <v>FTW121KE</v>
          </cell>
          <cell r="E12799">
            <v>46178</v>
          </cell>
        </row>
        <row r="12800">
          <cell r="A12800" t="str">
            <v>2619IR17</v>
          </cell>
          <cell r="D12800" t="str">
            <v>TTS50</v>
          </cell>
          <cell r="E12800">
            <v>46178</v>
          </cell>
        </row>
        <row r="12801">
          <cell r="A12801" t="str">
            <v>2621UN57</v>
          </cell>
          <cell r="D12801" t="str">
            <v>KBP86</v>
          </cell>
          <cell r="E12801">
            <v>46178</v>
          </cell>
        </row>
        <row r="12802">
          <cell r="A12802" t="str">
            <v>2621JZ47</v>
          </cell>
          <cell r="D12802" t="str">
            <v>S706</v>
          </cell>
          <cell r="E12802">
            <v>46178</v>
          </cell>
        </row>
        <row r="12803">
          <cell r="A12803" t="str">
            <v>2620PZ37</v>
          </cell>
          <cell r="D12803" t="str">
            <v>KBP76</v>
          </cell>
          <cell r="E12803">
            <v>46178</v>
          </cell>
        </row>
        <row r="12804">
          <cell r="A12804" t="str">
            <v>2621DH57</v>
          </cell>
          <cell r="D12804" t="str">
            <v>KBP76</v>
          </cell>
          <cell r="E12804">
            <v>46178</v>
          </cell>
        </row>
        <row r="12805">
          <cell r="A12805" t="str">
            <v>2620EB67</v>
          </cell>
          <cell r="D12805" t="str">
            <v>KBP86</v>
          </cell>
          <cell r="E12805">
            <v>46178</v>
          </cell>
        </row>
        <row r="12806">
          <cell r="A12806" t="str">
            <v>2621Q317</v>
          </cell>
          <cell r="D12806" t="str">
            <v>KBP52</v>
          </cell>
          <cell r="E12806">
            <v>46178</v>
          </cell>
        </row>
        <row r="12807">
          <cell r="A12807" t="str">
            <v>2612G547</v>
          </cell>
          <cell r="D12807" t="str">
            <v>FTW503</v>
          </cell>
          <cell r="E12807">
            <v>46178</v>
          </cell>
        </row>
        <row r="12808">
          <cell r="A12808" t="str">
            <v>2621LC47</v>
          </cell>
          <cell r="D12808" t="str">
            <v>FTW121KE</v>
          </cell>
          <cell r="E12808">
            <v>46178</v>
          </cell>
        </row>
        <row r="12809">
          <cell r="A12809" t="str">
            <v>2621HE27</v>
          </cell>
          <cell r="D12809" t="str">
            <v>FTW121KE</v>
          </cell>
          <cell r="E12809">
            <v>46178</v>
          </cell>
        </row>
        <row r="12810">
          <cell r="A12810" t="str">
            <v>2621L917</v>
          </cell>
          <cell r="D12810" t="str">
            <v>KBP76</v>
          </cell>
          <cell r="E12810">
            <v>46178</v>
          </cell>
        </row>
        <row r="12811">
          <cell r="A12811" t="str">
            <v>2622LT17</v>
          </cell>
          <cell r="D12811" t="str">
            <v>FTW700</v>
          </cell>
          <cell r="E12811">
            <v>46178</v>
          </cell>
        </row>
        <row r="12812">
          <cell r="A12812" t="str">
            <v>2621DF57</v>
          </cell>
          <cell r="D12812" t="str">
            <v>KBP76</v>
          </cell>
          <cell r="E12812">
            <v>46178</v>
          </cell>
        </row>
        <row r="12813">
          <cell r="A12813" t="str">
            <v>2621GZ67</v>
          </cell>
          <cell r="D12813" t="str">
            <v>KBP76</v>
          </cell>
          <cell r="E12813">
            <v>46178</v>
          </cell>
        </row>
        <row r="12814">
          <cell r="A12814" t="str">
            <v>2618L827</v>
          </cell>
          <cell r="D12814" t="str">
            <v>KBP52</v>
          </cell>
          <cell r="E12814">
            <v>46178</v>
          </cell>
        </row>
        <row r="12815">
          <cell r="A12815" t="str">
            <v>2621WK57</v>
          </cell>
          <cell r="D12815" t="str">
            <v>FTW700</v>
          </cell>
          <cell r="E12815">
            <v>46178</v>
          </cell>
        </row>
        <row r="12816">
          <cell r="A12816" t="str">
            <v>2621PI27</v>
          </cell>
          <cell r="D12816" t="str">
            <v>KBP74</v>
          </cell>
          <cell r="E12816">
            <v>46178</v>
          </cell>
        </row>
        <row r="12817">
          <cell r="A12817" t="str">
            <v>2619FK67</v>
          </cell>
          <cell r="D12817" t="str">
            <v>KBP76</v>
          </cell>
          <cell r="E12817">
            <v>46178</v>
          </cell>
        </row>
        <row r="12818">
          <cell r="A12818" t="str">
            <v>2620V757</v>
          </cell>
          <cell r="D12818" t="str">
            <v>FTW503</v>
          </cell>
          <cell r="E12818">
            <v>46178</v>
          </cell>
        </row>
        <row r="12819">
          <cell r="A12819" t="str">
            <v>2621IU27</v>
          </cell>
          <cell r="D12819" t="str">
            <v>KBP86</v>
          </cell>
          <cell r="E12819">
            <v>46178</v>
          </cell>
        </row>
        <row r="12820">
          <cell r="A12820" t="str">
            <v>2620AV47</v>
          </cell>
          <cell r="D12820" t="str">
            <v>KBP76</v>
          </cell>
          <cell r="E12820">
            <v>46178</v>
          </cell>
        </row>
        <row r="12821">
          <cell r="A12821" t="str">
            <v>2621KX47</v>
          </cell>
          <cell r="D12821" t="str">
            <v>FTW121KE</v>
          </cell>
          <cell r="E12821">
            <v>46178</v>
          </cell>
        </row>
        <row r="12822">
          <cell r="A12822" t="str">
            <v>2620EP47</v>
          </cell>
          <cell r="D12822" t="str">
            <v>KBP76</v>
          </cell>
          <cell r="E12822">
            <v>46178</v>
          </cell>
        </row>
        <row r="12823">
          <cell r="A12823" t="str">
            <v>2620EE67</v>
          </cell>
          <cell r="D12823" t="str">
            <v>KBP86</v>
          </cell>
          <cell r="E12823">
            <v>46178</v>
          </cell>
        </row>
        <row r="12824">
          <cell r="A12824" t="str">
            <v>2613GQ37</v>
          </cell>
          <cell r="D12824" t="str">
            <v>FTW503</v>
          </cell>
          <cell r="E12824">
            <v>46178</v>
          </cell>
        </row>
        <row r="12825">
          <cell r="A12825" t="str">
            <v>2620KR37</v>
          </cell>
          <cell r="D12825" t="str">
            <v>KBP86</v>
          </cell>
          <cell r="E12825">
            <v>46178</v>
          </cell>
        </row>
        <row r="12826">
          <cell r="A12826" t="str">
            <v>2617LF27</v>
          </cell>
          <cell r="D12826" t="str">
            <v>FTW503</v>
          </cell>
          <cell r="E12826">
            <v>46178</v>
          </cell>
        </row>
        <row r="12827">
          <cell r="A12827" t="str">
            <v>2620AW47</v>
          </cell>
          <cell r="D12827" t="str">
            <v>KBP76</v>
          </cell>
          <cell r="E12827">
            <v>46178</v>
          </cell>
        </row>
        <row r="12828">
          <cell r="A12828" t="str">
            <v>2620O737</v>
          </cell>
          <cell r="D12828" t="str">
            <v>KBP86</v>
          </cell>
          <cell r="E12828">
            <v>46178</v>
          </cell>
        </row>
        <row r="12829">
          <cell r="A12829" t="str">
            <v>2621LT17</v>
          </cell>
          <cell r="D12829" t="str">
            <v>FTW503</v>
          </cell>
          <cell r="E12829">
            <v>46178</v>
          </cell>
        </row>
        <row r="12830">
          <cell r="A12830" t="str">
            <v>2621U717</v>
          </cell>
          <cell r="D12830" t="str">
            <v>TTS80</v>
          </cell>
          <cell r="E12830">
            <v>46178</v>
          </cell>
        </row>
        <row r="12831">
          <cell r="A12831" t="str">
            <v>2620SY57</v>
          </cell>
          <cell r="D12831" t="str">
            <v>KBP76</v>
          </cell>
          <cell r="E12831">
            <v>46178</v>
          </cell>
        </row>
        <row r="12832">
          <cell r="A12832" t="str">
            <v>2611Q657</v>
          </cell>
          <cell r="D12832" t="str">
            <v>FTW102K</v>
          </cell>
          <cell r="E12832">
            <v>46178</v>
          </cell>
        </row>
        <row r="12833">
          <cell r="A12833" t="str">
            <v>2619AH57</v>
          </cell>
          <cell r="D12833" t="str">
            <v>KBP86</v>
          </cell>
          <cell r="E12833">
            <v>46178</v>
          </cell>
        </row>
        <row r="12834">
          <cell r="A12834" t="str">
            <v>2621JI37</v>
          </cell>
          <cell r="D12834" t="str">
            <v>FTW121KE</v>
          </cell>
          <cell r="E12834">
            <v>46178</v>
          </cell>
        </row>
        <row r="12835">
          <cell r="A12835" t="str">
            <v>2621JE37</v>
          </cell>
          <cell r="D12835" t="str">
            <v>FTW121KE</v>
          </cell>
          <cell r="E12835">
            <v>46178</v>
          </cell>
        </row>
        <row r="12836">
          <cell r="A12836" t="str">
            <v>2620GS57</v>
          </cell>
          <cell r="D12836" t="str">
            <v>FTW121KE</v>
          </cell>
          <cell r="E12836">
            <v>46178</v>
          </cell>
        </row>
        <row r="12837">
          <cell r="A12837" t="str">
            <v>2620BU47</v>
          </cell>
          <cell r="D12837" t="str">
            <v>FTW121KE</v>
          </cell>
          <cell r="E12837">
            <v>46178</v>
          </cell>
        </row>
        <row r="12838">
          <cell r="A12838" t="str">
            <v>2621IL37</v>
          </cell>
          <cell r="D12838" t="str">
            <v>KBP86</v>
          </cell>
          <cell r="E12838">
            <v>46178</v>
          </cell>
        </row>
        <row r="12839">
          <cell r="A12839" t="str">
            <v>2620HR57</v>
          </cell>
          <cell r="D12839" t="str">
            <v>KBP86</v>
          </cell>
          <cell r="E12839">
            <v>46178</v>
          </cell>
        </row>
        <row r="12840">
          <cell r="A12840" t="str">
            <v>2620V557</v>
          </cell>
          <cell r="D12840" t="str">
            <v>FTW503</v>
          </cell>
          <cell r="E12840">
            <v>46178</v>
          </cell>
        </row>
        <row r="12841">
          <cell r="A12841" t="str">
            <v>2613D827</v>
          </cell>
          <cell r="D12841" t="str">
            <v>FTW503</v>
          </cell>
          <cell r="E12841">
            <v>46178</v>
          </cell>
        </row>
        <row r="12842">
          <cell r="A12842" t="str">
            <v>2620QS37</v>
          </cell>
          <cell r="D12842" t="str">
            <v>TTS80</v>
          </cell>
          <cell r="E12842">
            <v>46178</v>
          </cell>
        </row>
        <row r="12843">
          <cell r="A12843" t="str">
            <v>2621L717</v>
          </cell>
          <cell r="D12843" t="str">
            <v>KBP76</v>
          </cell>
          <cell r="E12843">
            <v>46178</v>
          </cell>
        </row>
        <row r="12844">
          <cell r="A12844" t="str">
            <v>2620UA57</v>
          </cell>
          <cell r="D12844" t="str">
            <v>KBP76</v>
          </cell>
          <cell r="E12844">
            <v>46178</v>
          </cell>
        </row>
        <row r="12845">
          <cell r="A12845" t="str">
            <v>2620J937</v>
          </cell>
          <cell r="D12845" t="str">
            <v>KBP76</v>
          </cell>
          <cell r="E12845">
            <v>46178</v>
          </cell>
        </row>
        <row r="12846">
          <cell r="A12846" t="str">
            <v>2621ID27</v>
          </cell>
          <cell r="D12846" t="str">
            <v>FTW121KR</v>
          </cell>
          <cell r="E12846">
            <v>46178</v>
          </cell>
        </row>
        <row r="12847">
          <cell r="A12847" t="str">
            <v>2612IA27</v>
          </cell>
          <cell r="D12847" t="str">
            <v>FTW102K</v>
          </cell>
          <cell r="E12847">
            <v>46178</v>
          </cell>
        </row>
        <row r="12848">
          <cell r="A12848" t="str">
            <v>2620AN67</v>
          </cell>
          <cell r="D12848" t="str">
            <v>KBP52</v>
          </cell>
          <cell r="E12848">
            <v>46178</v>
          </cell>
        </row>
        <row r="12849">
          <cell r="A12849" t="str">
            <v>2621QC27</v>
          </cell>
          <cell r="D12849" t="str">
            <v>TTS80</v>
          </cell>
          <cell r="E12849">
            <v>46178</v>
          </cell>
        </row>
        <row r="12850">
          <cell r="A12850" t="str">
            <v>2621KK37</v>
          </cell>
          <cell r="D12850" t="str">
            <v>KBP86</v>
          </cell>
          <cell r="E12850">
            <v>46178</v>
          </cell>
        </row>
        <row r="12851">
          <cell r="A12851" t="str">
            <v>2620OI37</v>
          </cell>
          <cell r="D12851" t="str">
            <v>KBP86</v>
          </cell>
          <cell r="E12851">
            <v>46178</v>
          </cell>
        </row>
        <row r="12852">
          <cell r="A12852" t="str">
            <v>2621KU47</v>
          </cell>
          <cell r="D12852" t="str">
            <v>FTW121KR</v>
          </cell>
          <cell r="E12852">
            <v>46178</v>
          </cell>
        </row>
        <row r="12853">
          <cell r="A12853" t="str">
            <v>2621SN17</v>
          </cell>
          <cell r="D12853" t="str">
            <v>KBP55</v>
          </cell>
          <cell r="E12853">
            <v>46178</v>
          </cell>
        </row>
        <row r="12854">
          <cell r="A12854" t="str">
            <v>2621DN57</v>
          </cell>
          <cell r="D12854" t="str">
            <v>FTW102K</v>
          </cell>
          <cell r="E12854">
            <v>46178</v>
          </cell>
        </row>
        <row r="12855">
          <cell r="A12855" t="str">
            <v>2621D967</v>
          </cell>
          <cell r="D12855" t="str">
            <v>KBP52</v>
          </cell>
          <cell r="E12855">
            <v>46178</v>
          </cell>
        </row>
        <row r="12856">
          <cell r="A12856" t="str">
            <v>2621JG27</v>
          </cell>
          <cell r="D12856" t="str">
            <v>KBP86</v>
          </cell>
          <cell r="E12856">
            <v>46178</v>
          </cell>
        </row>
        <row r="12857">
          <cell r="A12857" t="str">
            <v>2620OG37</v>
          </cell>
          <cell r="D12857" t="str">
            <v>KBP86</v>
          </cell>
          <cell r="E12857">
            <v>46178</v>
          </cell>
        </row>
        <row r="12858">
          <cell r="A12858" t="str">
            <v>2620D767</v>
          </cell>
          <cell r="D12858" t="str">
            <v>TTS80</v>
          </cell>
          <cell r="E12858">
            <v>46178</v>
          </cell>
        </row>
        <row r="12859">
          <cell r="A12859" t="str">
            <v>2621GB27</v>
          </cell>
          <cell r="D12859" t="str">
            <v>KBP76</v>
          </cell>
          <cell r="E12859">
            <v>46178</v>
          </cell>
        </row>
        <row r="12860">
          <cell r="A12860" t="str">
            <v>2621OG17</v>
          </cell>
          <cell r="D12860" t="str">
            <v>FTW121KR</v>
          </cell>
          <cell r="E12860">
            <v>46178</v>
          </cell>
        </row>
        <row r="12861">
          <cell r="A12861" t="str">
            <v>2620C247</v>
          </cell>
          <cell r="D12861" t="str">
            <v>FTW121KR</v>
          </cell>
          <cell r="E12861">
            <v>46178</v>
          </cell>
        </row>
        <row r="12862">
          <cell r="A12862" t="str">
            <v>2619DN67</v>
          </cell>
          <cell r="D12862" t="str">
            <v>KBP86</v>
          </cell>
          <cell r="E12862">
            <v>46178</v>
          </cell>
        </row>
        <row r="12863">
          <cell r="A12863" t="str">
            <v>2621FW27</v>
          </cell>
          <cell r="D12863" t="str">
            <v>KBP86</v>
          </cell>
          <cell r="E12863">
            <v>46178</v>
          </cell>
        </row>
        <row r="12864">
          <cell r="A12864" t="str">
            <v>2618JY37</v>
          </cell>
          <cell r="D12864" t="str">
            <v>KBP52</v>
          </cell>
          <cell r="E12864">
            <v>46178</v>
          </cell>
        </row>
        <row r="12865">
          <cell r="A12865" t="str">
            <v>2617PN47</v>
          </cell>
          <cell r="D12865" t="str">
            <v>TTS50</v>
          </cell>
          <cell r="E12865">
            <v>46178</v>
          </cell>
        </row>
        <row r="12866">
          <cell r="A12866" t="str">
            <v>2620BT67</v>
          </cell>
          <cell r="D12866" t="str">
            <v>KBP76</v>
          </cell>
          <cell r="E12866">
            <v>46178</v>
          </cell>
        </row>
        <row r="12867">
          <cell r="A12867" t="str">
            <v>2620QP37</v>
          </cell>
          <cell r="D12867" t="str">
            <v>TTS80</v>
          </cell>
          <cell r="E12867">
            <v>46178</v>
          </cell>
        </row>
        <row r="12868">
          <cell r="A12868" t="str">
            <v>2617O757</v>
          </cell>
          <cell r="D12868" t="str">
            <v>FTW503</v>
          </cell>
          <cell r="E12868">
            <v>46178</v>
          </cell>
        </row>
        <row r="12869">
          <cell r="A12869" t="str">
            <v>2621JQ47</v>
          </cell>
          <cell r="D12869" t="str">
            <v>KBP76</v>
          </cell>
          <cell r="E12869">
            <v>46178</v>
          </cell>
        </row>
        <row r="12870">
          <cell r="A12870" t="str">
            <v>2619E567</v>
          </cell>
          <cell r="D12870" t="str">
            <v>KBP86</v>
          </cell>
          <cell r="E12870">
            <v>46178</v>
          </cell>
        </row>
        <row r="12871">
          <cell r="A12871" t="str">
            <v>2620EL30</v>
          </cell>
          <cell r="D12871" t="str">
            <v>TTS125</v>
          </cell>
          <cell r="E12871">
            <v>46178</v>
          </cell>
        </row>
        <row r="12872">
          <cell r="A12872" t="str">
            <v>2621UM57</v>
          </cell>
          <cell r="D12872" t="str">
            <v>KBP86</v>
          </cell>
          <cell r="E12872">
            <v>46178</v>
          </cell>
        </row>
        <row r="12873">
          <cell r="A12873" t="str">
            <v>2621S617</v>
          </cell>
          <cell r="D12873" t="str">
            <v>KBP76</v>
          </cell>
          <cell r="E12873">
            <v>46178</v>
          </cell>
        </row>
        <row r="12874">
          <cell r="A12874" t="str">
            <v>2621UE57</v>
          </cell>
          <cell r="D12874" t="str">
            <v>KBP86</v>
          </cell>
          <cell r="E12874">
            <v>46178</v>
          </cell>
        </row>
        <row r="12875">
          <cell r="A12875" t="str">
            <v>2621KP47</v>
          </cell>
          <cell r="D12875" t="str">
            <v>FTW121KR</v>
          </cell>
          <cell r="E12875">
            <v>46178</v>
          </cell>
        </row>
        <row r="12876">
          <cell r="A12876" t="str">
            <v>2621HJ67</v>
          </cell>
          <cell r="D12876" t="str">
            <v>KBP74</v>
          </cell>
          <cell r="E12876">
            <v>46178</v>
          </cell>
        </row>
        <row r="12877">
          <cell r="A12877" t="str">
            <v>2621HH27</v>
          </cell>
          <cell r="D12877" t="str">
            <v>FTW121KR</v>
          </cell>
          <cell r="E12877">
            <v>46178</v>
          </cell>
        </row>
        <row r="12878">
          <cell r="A12878" t="str">
            <v>2617IP17</v>
          </cell>
          <cell r="D12878" t="str">
            <v>FTW503</v>
          </cell>
          <cell r="E12878">
            <v>46178</v>
          </cell>
        </row>
        <row r="12879">
          <cell r="A12879" t="str">
            <v>2620CH47</v>
          </cell>
          <cell r="D12879" t="str">
            <v>KBP86</v>
          </cell>
          <cell r="E12879">
            <v>46178</v>
          </cell>
        </row>
        <row r="12880">
          <cell r="A12880" t="str">
            <v>2621JW47</v>
          </cell>
          <cell r="D12880" t="str">
            <v>S706</v>
          </cell>
          <cell r="E12880">
            <v>46178</v>
          </cell>
        </row>
        <row r="12881">
          <cell r="A12881" t="str">
            <v>2621B167</v>
          </cell>
          <cell r="D12881" t="str">
            <v>KBP86</v>
          </cell>
          <cell r="E12881">
            <v>46178</v>
          </cell>
        </row>
        <row r="12882">
          <cell r="A12882" t="str">
            <v>2607IK47</v>
          </cell>
          <cell r="D12882" t="str">
            <v>FTP150</v>
          </cell>
          <cell r="E12882">
            <v>46178</v>
          </cell>
        </row>
        <row r="12883">
          <cell r="A12883" t="str">
            <v>2621UA17</v>
          </cell>
          <cell r="D12883" t="str">
            <v>KBP86</v>
          </cell>
          <cell r="E12883">
            <v>46178</v>
          </cell>
        </row>
        <row r="12884">
          <cell r="A12884" t="str">
            <v>2614DF90</v>
          </cell>
          <cell r="D12884" t="str">
            <v>TTS125</v>
          </cell>
          <cell r="E12884">
            <v>46178</v>
          </cell>
        </row>
        <row r="12885">
          <cell r="A12885" t="str">
            <v>2621KW17</v>
          </cell>
          <cell r="D12885" t="str">
            <v>KBP86</v>
          </cell>
          <cell r="E12885">
            <v>46178</v>
          </cell>
        </row>
        <row r="12886">
          <cell r="A12886" t="str">
            <v>2621ET57</v>
          </cell>
          <cell r="D12886" t="str">
            <v>TTS50</v>
          </cell>
          <cell r="E12886">
            <v>46178</v>
          </cell>
        </row>
        <row r="12887">
          <cell r="A12887" t="str">
            <v>2621PE47</v>
          </cell>
          <cell r="D12887" t="str">
            <v>TTS50</v>
          </cell>
          <cell r="E12887">
            <v>46178</v>
          </cell>
        </row>
        <row r="12888">
          <cell r="A12888" t="str">
            <v>2620DB67</v>
          </cell>
          <cell r="D12888" t="str">
            <v>TTS80</v>
          </cell>
          <cell r="E12888">
            <v>46178</v>
          </cell>
        </row>
        <row r="12889">
          <cell r="A12889" t="str">
            <v>2620HK57</v>
          </cell>
          <cell r="D12889" t="str">
            <v>KBP86</v>
          </cell>
          <cell r="E12889">
            <v>46178</v>
          </cell>
        </row>
        <row r="12890">
          <cell r="A12890" t="str">
            <v>2620OH37</v>
          </cell>
          <cell r="D12890" t="str">
            <v>KBP86</v>
          </cell>
          <cell r="E12890">
            <v>46178</v>
          </cell>
        </row>
        <row r="12891">
          <cell r="A12891" t="str">
            <v>2620V157</v>
          </cell>
          <cell r="D12891" t="str">
            <v>FTW503</v>
          </cell>
          <cell r="E12891">
            <v>46178</v>
          </cell>
        </row>
        <row r="12892">
          <cell r="A12892" t="str">
            <v>2620HP57</v>
          </cell>
          <cell r="D12892" t="str">
            <v>KBP86</v>
          </cell>
          <cell r="E12892">
            <v>46178</v>
          </cell>
        </row>
        <row r="12893">
          <cell r="A12893" t="str">
            <v>2620V657</v>
          </cell>
          <cell r="D12893" t="str">
            <v>FTW503</v>
          </cell>
          <cell r="E12893">
            <v>46178</v>
          </cell>
        </row>
        <row r="12894">
          <cell r="A12894" t="str">
            <v>2620DK67</v>
          </cell>
          <cell r="D12894" t="str">
            <v>TTS80</v>
          </cell>
          <cell r="E12894">
            <v>46178</v>
          </cell>
        </row>
        <row r="12895">
          <cell r="A12895" t="str">
            <v>2619ZV57</v>
          </cell>
          <cell r="D12895" t="str">
            <v>KBP86</v>
          </cell>
          <cell r="E12895">
            <v>46178</v>
          </cell>
        </row>
        <row r="12896">
          <cell r="A12896" t="str">
            <v>2621GH27</v>
          </cell>
          <cell r="D12896" t="str">
            <v>FTW503</v>
          </cell>
          <cell r="E12896">
            <v>46178</v>
          </cell>
        </row>
        <row r="12897">
          <cell r="A12897" t="str">
            <v>2616OZ57</v>
          </cell>
          <cell r="D12897" t="str">
            <v>FTW503</v>
          </cell>
          <cell r="E12897">
            <v>46178</v>
          </cell>
        </row>
        <row r="12898">
          <cell r="A12898" t="str">
            <v>2621JU47</v>
          </cell>
          <cell r="D12898" t="str">
            <v>KBP76</v>
          </cell>
          <cell r="E12898">
            <v>46178</v>
          </cell>
        </row>
        <row r="12899">
          <cell r="A12899" t="str">
            <v>2621JR47</v>
          </cell>
          <cell r="D12899" t="str">
            <v>KBP76</v>
          </cell>
          <cell r="E12899">
            <v>46178</v>
          </cell>
        </row>
        <row r="12900">
          <cell r="A12900" t="str">
            <v>2620SA57</v>
          </cell>
          <cell r="D12900" t="str">
            <v>KBP86</v>
          </cell>
          <cell r="E12900">
            <v>46178</v>
          </cell>
        </row>
        <row r="12901">
          <cell r="A12901" t="str">
            <v>2622LU17</v>
          </cell>
          <cell r="D12901" t="str">
            <v>FTW700</v>
          </cell>
          <cell r="E12901">
            <v>46178</v>
          </cell>
        </row>
        <row r="12902">
          <cell r="A12902" t="str">
            <v>2621ET67</v>
          </cell>
          <cell r="D12902" t="str">
            <v>S706</v>
          </cell>
          <cell r="E12902">
            <v>46178</v>
          </cell>
        </row>
        <row r="12903">
          <cell r="A12903" t="str">
            <v>2621ES67</v>
          </cell>
          <cell r="D12903" t="str">
            <v>S706</v>
          </cell>
          <cell r="E12903">
            <v>46178</v>
          </cell>
        </row>
        <row r="12904">
          <cell r="A12904" t="str">
            <v>2622QD17</v>
          </cell>
          <cell r="D12904" t="str">
            <v>S706</v>
          </cell>
          <cell r="E12904">
            <v>46178</v>
          </cell>
        </row>
        <row r="12905">
          <cell r="A12905" t="str">
            <v>2621JH37</v>
          </cell>
          <cell r="D12905" t="str">
            <v>FTW121KE</v>
          </cell>
          <cell r="E12905">
            <v>46178</v>
          </cell>
        </row>
        <row r="12906">
          <cell r="A12906" t="str">
            <v>2621OW17</v>
          </cell>
          <cell r="D12906" t="str">
            <v>FTW121KR</v>
          </cell>
          <cell r="E12906">
            <v>46178</v>
          </cell>
        </row>
        <row r="12907">
          <cell r="A12907" t="str">
            <v>2621EV67</v>
          </cell>
          <cell r="D12907" t="str">
            <v>S706</v>
          </cell>
          <cell r="E12907">
            <v>46178</v>
          </cell>
        </row>
        <row r="12908">
          <cell r="A12908" t="str">
            <v>2621F867</v>
          </cell>
          <cell r="D12908" t="str">
            <v>S706</v>
          </cell>
          <cell r="E12908">
            <v>46178</v>
          </cell>
        </row>
        <row r="12909">
          <cell r="A12909" t="str">
            <v>2621ER67</v>
          </cell>
          <cell r="D12909" t="str">
            <v>S706</v>
          </cell>
          <cell r="E12909">
            <v>46178</v>
          </cell>
        </row>
        <row r="12910">
          <cell r="A12910" t="str">
            <v>2621EO67</v>
          </cell>
          <cell r="D12910" t="str">
            <v>S706</v>
          </cell>
          <cell r="E12910">
            <v>46178</v>
          </cell>
        </row>
        <row r="12911">
          <cell r="A12911" t="str">
            <v>2619YA57</v>
          </cell>
          <cell r="D12911" t="str">
            <v>KBP86</v>
          </cell>
          <cell r="E12911">
            <v>46177</v>
          </cell>
        </row>
        <row r="12912">
          <cell r="A12912" t="str">
            <v>2616Y257</v>
          </cell>
          <cell r="D12912" t="str">
            <v>KBP86</v>
          </cell>
          <cell r="E12912">
            <v>46177</v>
          </cell>
        </row>
        <row r="12913">
          <cell r="A12913" t="str">
            <v>2620GY57</v>
          </cell>
          <cell r="D12913" t="str">
            <v>FTW121KR</v>
          </cell>
          <cell r="E12913">
            <v>46177</v>
          </cell>
        </row>
        <row r="12914">
          <cell r="A12914" t="str">
            <v>2621U117</v>
          </cell>
          <cell r="D12914" t="str">
            <v>TTS80</v>
          </cell>
          <cell r="E12914">
            <v>46177</v>
          </cell>
        </row>
        <row r="12915">
          <cell r="A12915" t="str">
            <v>2621QF17</v>
          </cell>
          <cell r="D12915" t="str">
            <v>HV80</v>
          </cell>
          <cell r="E12915">
            <v>46177</v>
          </cell>
        </row>
        <row r="12916">
          <cell r="A12916" t="str">
            <v>2616Z957</v>
          </cell>
          <cell r="D12916" t="str">
            <v>KBP86</v>
          </cell>
          <cell r="E12916">
            <v>46177</v>
          </cell>
        </row>
        <row r="12917">
          <cell r="A12917" t="str">
            <v>2619YA57</v>
          </cell>
          <cell r="D12917" t="str">
            <v>KBP86</v>
          </cell>
          <cell r="E12917">
            <v>46177</v>
          </cell>
        </row>
        <row r="12918">
          <cell r="A12918" t="str">
            <v>2621GI27</v>
          </cell>
          <cell r="D12918" t="str">
            <v>FTW503</v>
          </cell>
          <cell r="E12918">
            <v>46177</v>
          </cell>
        </row>
        <row r="12919">
          <cell r="A12919" t="str">
            <v>2619YA57</v>
          </cell>
          <cell r="D12919" t="str">
            <v>KBP86</v>
          </cell>
          <cell r="E12919">
            <v>46177</v>
          </cell>
        </row>
        <row r="12920">
          <cell r="A12920" t="str">
            <v>2621OX47</v>
          </cell>
          <cell r="D12920" t="str">
            <v>KBP86</v>
          </cell>
          <cell r="E12920">
            <v>46177</v>
          </cell>
        </row>
        <row r="12921">
          <cell r="A12921" t="str">
            <v>2619YA57</v>
          </cell>
          <cell r="D12921" t="str">
            <v>KBP86</v>
          </cell>
          <cell r="E12921">
            <v>46177</v>
          </cell>
        </row>
        <row r="12922">
          <cell r="A12922" t="str">
            <v>2621LX47</v>
          </cell>
          <cell r="D12922" t="str">
            <v>KBP86</v>
          </cell>
          <cell r="E12922">
            <v>46177</v>
          </cell>
        </row>
        <row r="12923">
          <cell r="A12923" t="str">
            <v>2620PH37</v>
          </cell>
          <cell r="D12923" t="str">
            <v>HV80</v>
          </cell>
          <cell r="E12923">
            <v>46177</v>
          </cell>
        </row>
        <row r="12924">
          <cell r="A12924" t="str">
            <v>2620CX47</v>
          </cell>
          <cell r="D12924" t="str">
            <v>KBP86</v>
          </cell>
          <cell r="E12924">
            <v>46177</v>
          </cell>
        </row>
        <row r="12925">
          <cell r="A12925" t="str">
            <v>2619YA57</v>
          </cell>
          <cell r="D12925" t="str">
            <v>KBP86</v>
          </cell>
          <cell r="E12925">
            <v>46177</v>
          </cell>
        </row>
        <row r="12926">
          <cell r="A12926" t="str">
            <v>2621OM47</v>
          </cell>
          <cell r="D12926" t="str">
            <v>KBP86</v>
          </cell>
          <cell r="E12926">
            <v>46177</v>
          </cell>
        </row>
        <row r="12927">
          <cell r="A12927" t="str">
            <v>2620EK60</v>
          </cell>
          <cell r="D12927" t="str">
            <v>TTS125</v>
          </cell>
          <cell r="E12927">
            <v>46177</v>
          </cell>
        </row>
        <row r="12928">
          <cell r="A12928" t="str">
            <v>2621J727</v>
          </cell>
          <cell r="D12928" t="str">
            <v>KBP86</v>
          </cell>
          <cell r="E12928">
            <v>46177</v>
          </cell>
        </row>
        <row r="12929">
          <cell r="A12929" t="str">
            <v>2619YA57</v>
          </cell>
          <cell r="D12929" t="str">
            <v>KBP86</v>
          </cell>
          <cell r="E12929">
            <v>46177</v>
          </cell>
        </row>
        <row r="12930">
          <cell r="A12930" t="str">
            <v>2621JR27</v>
          </cell>
          <cell r="D12930" t="str">
            <v>KBP86</v>
          </cell>
          <cell r="E12930">
            <v>46177</v>
          </cell>
        </row>
        <row r="12931">
          <cell r="A12931" t="str">
            <v>2621L417</v>
          </cell>
          <cell r="D12931" t="str">
            <v>KBP76</v>
          </cell>
          <cell r="E12931">
            <v>46177</v>
          </cell>
        </row>
        <row r="12932">
          <cell r="A12932" t="str">
            <v>2621U517</v>
          </cell>
          <cell r="D12932" t="str">
            <v>TTS80</v>
          </cell>
          <cell r="E12932">
            <v>46177</v>
          </cell>
        </row>
        <row r="12933">
          <cell r="A12933" t="str">
            <v>2610PK37</v>
          </cell>
          <cell r="D12933" t="str">
            <v>KBP76</v>
          </cell>
          <cell r="E12933">
            <v>46177</v>
          </cell>
        </row>
        <row r="12934">
          <cell r="A12934" t="str">
            <v>2621PT47</v>
          </cell>
          <cell r="D12934" t="str">
            <v>KBP76</v>
          </cell>
          <cell r="E12934">
            <v>46177</v>
          </cell>
        </row>
        <row r="12935">
          <cell r="A12935" t="str">
            <v>2620G857</v>
          </cell>
          <cell r="D12935" t="str">
            <v>KBP76</v>
          </cell>
          <cell r="E12935">
            <v>46177</v>
          </cell>
        </row>
        <row r="12936">
          <cell r="A12936" t="str">
            <v>2617AC57</v>
          </cell>
          <cell r="D12936" t="str">
            <v>S805</v>
          </cell>
          <cell r="E12936">
            <v>46177</v>
          </cell>
        </row>
        <row r="12937">
          <cell r="A12937" t="str">
            <v>2620SG57</v>
          </cell>
          <cell r="D12937" t="str">
            <v>KBP86</v>
          </cell>
          <cell r="E12937">
            <v>46177</v>
          </cell>
        </row>
        <row r="12938">
          <cell r="A12938" t="str">
            <v>2620SD57</v>
          </cell>
          <cell r="D12938" t="str">
            <v>KBP86</v>
          </cell>
          <cell r="E12938">
            <v>46177</v>
          </cell>
        </row>
        <row r="12939">
          <cell r="A12939" t="str">
            <v>2621JC37</v>
          </cell>
          <cell r="D12939" t="str">
            <v>FTW121KE</v>
          </cell>
          <cell r="E12939">
            <v>46177</v>
          </cell>
        </row>
        <row r="12940">
          <cell r="A12940" t="str">
            <v>2620EK60</v>
          </cell>
          <cell r="D12940" t="str">
            <v>TTS125</v>
          </cell>
          <cell r="E12940">
            <v>46177</v>
          </cell>
        </row>
        <row r="12941">
          <cell r="A12941" t="str">
            <v>2620W757</v>
          </cell>
          <cell r="D12941" t="str">
            <v>FTW121KE</v>
          </cell>
          <cell r="E12941">
            <v>46177</v>
          </cell>
        </row>
        <row r="12942">
          <cell r="A12942" t="str">
            <v>2617HG57</v>
          </cell>
          <cell r="D12942" t="str">
            <v>TTS50</v>
          </cell>
          <cell r="E12942">
            <v>46177</v>
          </cell>
        </row>
        <row r="12943">
          <cell r="A12943" t="str">
            <v>2621S417</v>
          </cell>
          <cell r="D12943" t="str">
            <v>KBP76</v>
          </cell>
          <cell r="E12943">
            <v>46177</v>
          </cell>
        </row>
        <row r="12944">
          <cell r="A12944" t="str">
            <v>2621PS47</v>
          </cell>
          <cell r="D12944" t="str">
            <v>KBP76</v>
          </cell>
          <cell r="E12944">
            <v>46177</v>
          </cell>
        </row>
        <row r="12945">
          <cell r="A12945" t="str">
            <v>2621U317</v>
          </cell>
          <cell r="D12945" t="str">
            <v>TTS80</v>
          </cell>
          <cell r="E12945">
            <v>46177</v>
          </cell>
        </row>
        <row r="12946">
          <cell r="A12946" t="str">
            <v>2621KW37</v>
          </cell>
          <cell r="D12946" t="str">
            <v>KBP86</v>
          </cell>
          <cell r="E12946">
            <v>46177</v>
          </cell>
        </row>
        <row r="12947">
          <cell r="A12947" t="str">
            <v>2621OX37</v>
          </cell>
          <cell r="D12947" t="str">
            <v>KBP86</v>
          </cell>
          <cell r="E12947">
            <v>46177</v>
          </cell>
        </row>
        <row r="12948">
          <cell r="A12948" t="str">
            <v>2620XO57</v>
          </cell>
          <cell r="D12948" t="str">
            <v>KBP86</v>
          </cell>
          <cell r="E12948">
            <v>46177</v>
          </cell>
        </row>
        <row r="12949">
          <cell r="A12949" t="str">
            <v>2621OJ37</v>
          </cell>
          <cell r="D12949" t="str">
            <v>KBP76</v>
          </cell>
          <cell r="E12949">
            <v>46177</v>
          </cell>
        </row>
        <row r="12950">
          <cell r="A12950" t="str">
            <v>2618GW27</v>
          </cell>
          <cell r="D12950" t="str">
            <v>FTW503</v>
          </cell>
          <cell r="E12950">
            <v>46177</v>
          </cell>
        </row>
        <row r="12951">
          <cell r="A12951" t="str">
            <v>2616OM57</v>
          </cell>
          <cell r="D12951" t="str">
            <v>FTW503</v>
          </cell>
          <cell r="E12951">
            <v>46177</v>
          </cell>
        </row>
        <row r="12952">
          <cell r="A12952" t="str">
            <v>2620HF57</v>
          </cell>
          <cell r="D12952" t="str">
            <v>KBP86</v>
          </cell>
          <cell r="E12952">
            <v>46177</v>
          </cell>
        </row>
        <row r="12953">
          <cell r="A12953" t="str">
            <v>2622S617</v>
          </cell>
          <cell r="D12953" t="str">
            <v>KBP126</v>
          </cell>
          <cell r="E12953">
            <v>46177</v>
          </cell>
        </row>
        <row r="12954">
          <cell r="A12954" t="str">
            <v>2622LX17</v>
          </cell>
          <cell r="D12954" t="str">
            <v>FTW700</v>
          </cell>
          <cell r="E12954">
            <v>46177</v>
          </cell>
        </row>
        <row r="12955">
          <cell r="A12955" t="str">
            <v>2621H327</v>
          </cell>
          <cell r="D12955" t="str">
            <v>TTS50</v>
          </cell>
          <cell r="E12955">
            <v>46177</v>
          </cell>
        </row>
        <row r="12956">
          <cell r="A12956" t="str">
            <v>2621H967</v>
          </cell>
          <cell r="D12956" t="str">
            <v>STA156KA</v>
          </cell>
          <cell r="E12956">
            <v>46177</v>
          </cell>
        </row>
        <row r="12957">
          <cell r="A12957" t="str">
            <v>2621U617</v>
          </cell>
          <cell r="D12957" t="str">
            <v>TTS80</v>
          </cell>
          <cell r="E12957">
            <v>46177</v>
          </cell>
        </row>
        <row r="12958">
          <cell r="A12958" t="str">
            <v>2621PZ17</v>
          </cell>
          <cell r="D12958" t="str">
            <v>KBP52</v>
          </cell>
          <cell r="E12958">
            <v>46177</v>
          </cell>
        </row>
        <row r="12959">
          <cell r="A12959" t="str">
            <v>2613GC37</v>
          </cell>
          <cell r="D12959" t="str">
            <v>FTW503</v>
          </cell>
          <cell r="E12959">
            <v>46177</v>
          </cell>
        </row>
        <row r="12960">
          <cell r="A12960" t="str">
            <v>2620IJ17</v>
          </cell>
          <cell r="D12960" t="str">
            <v>KBP76</v>
          </cell>
          <cell r="E12960">
            <v>46177</v>
          </cell>
        </row>
        <row r="12961">
          <cell r="A12961" t="str">
            <v>2621LC17</v>
          </cell>
          <cell r="D12961" t="str">
            <v>KBP76</v>
          </cell>
          <cell r="E12961">
            <v>46177</v>
          </cell>
        </row>
        <row r="12962">
          <cell r="A12962" t="str">
            <v>2621GC27</v>
          </cell>
          <cell r="D12962" t="str">
            <v>KBP76</v>
          </cell>
          <cell r="E12962">
            <v>46177</v>
          </cell>
        </row>
        <row r="12963">
          <cell r="A12963" t="str">
            <v>2620W957</v>
          </cell>
          <cell r="D12963" t="str">
            <v>FTW121KE</v>
          </cell>
          <cell r="E12963">
            <v>46177</v>
          </cell>
        </row>
        <row r="12964">
          <cell r="A12964" t="str">
            <v>2620GX57</v>
          </cell>
          <cell r="D12964" t="str">
            <v>FTW121KE</v>
          </cell>
          <cell r="E12964">
            <v>46177</v>
          </cell>
        </row>
        <row r="12965">
          <cell r="A12965" t="str">
            <v>2620GY57</v>
          </cell>
          <cell r="D12965" t="str">
            <v>FTW121KE</v>
          </cell>
          <cell r="E12965">
            <v>46177</v>
          </cell>
        </row>
        <row r="12966">
          <cell r="A12966" t="str">
            <v>2621QM27</v>
          </cell>
          <cell r="D12966" t="str">
            <v>KBP86</v>
          </cell>
          <cell r="E12966">
            <v>46177</v>
          </cell>
        </row>
        <row r="12967">
          <cell r="A12967" t="str">
            <v>2620EN60</v>
          </cell>
          <cell r="D12967" t="str">
            <v>TTS125</v>
          </cell>
          <cell r="E12967">
            <v>46177</v>
          </cell>
        </row>
        <row r="12968">
          <cell r="A12968" t="str">
            <v>2620EM60</v>
          </cell>
          <cell r="D12968" t="str">
            <v>TTS125</v>
          </cell>
          <cell r="E12968">
            <v>46177</v>
          </cell>
        </row>
        <row r="12969">
          <cell r="A12969" t="str">
            <v>2620WI57</v>
          </cell>
          <cell r="D12969" t="str">
            <v>FTW121KE</v>
          </cell>
          <cell r="E12969">
            <v>46177</v>
          </cell>
        </row>
        <row r="12970">
          <cell r="A12970" t="str">
            <v>2622Q317</v>
          </cell>
          <cell r="D12970" t="str">
            <v>S706</v>
          </cell>
          <cell r="E12970">
            <v>46177</v>
          </cell>
        </row>
        <row r="12971">
          <cell r="A12971" t="str">
            <v>2621F667</v>
          </cell>
          <cell r="D12971" t="str">
            <v>S706</v>
          </cell>
          <cell r="E12971">
            <v>46177</v>
          </cell>
        </row>
        <row r="12972">
          <cell r="A12972" t="str">
            <v>2620H357</v>
          </cell>
          <cell r="D12972" t="str">
            <v>FTW121KE</v>
          </cell>
          <cell r="E12972">
            <v>46177</v>
          </cell>
        </row>
        <row r="12973">
          <cell r="A12973" t="str">
            <v>2612HC37</v>
          </cell>
          <cell r="D12973" t="str">
            <v>FTW102K</v>
          </cell>
          <cell r="E12973">
            <v>46177</v>
          </cell>
        </row>
        <row r="12974">
          <cell r="A12974" t="str">
            <v>2621HO67</v>
          </cell>
          <cell r="D12974" t="str">
            <v>KBP55</v>
          </cell>
          <cell r="E12974">
            <v>46177</v>
          </cell>
        </row>
        <row r="12975">
          <cell r="A12975" t="str">
            <v>2620WM57</v>
          </cell>
          <cell r="D12975" t="str">
            <v>FTW121KE</v>
          </cell>
          <cell r="E12975">
            <v>46177</v>
          </cell>
        </row>
        <row r="12976">
          <cell r="A12976" t="str">
            <v>2617IA17</v>
          </cell>
          <cell r="D12976" t="str">
            <v>FTW503</v>
          </cell>
          <cell r="E12976">
            <v>46177</v>
          </cell>
        </row>
        <row r="12977">
          <cell r="A12977" t="str">
            <v>2621DP57</v>
          </cell>
          <cell r="D12977" t="str">
            <v>FTW102K</v>
          </cell>
          <cell r="E12977">
            <v>46177</v>
          </cell>
        </row>
        <row r="12978">
          <cell r="A12978" t="str">
            <v>2621UC57</v>
          </cell>
          <cell r="D12978" t="str">
            <v>KBP76</v>
          </cell>
          <cell r="E12978">
            <v>46177</v>
          </cell>
        </row>
        <row r="12979">
          <cell r="A12979" t="str">
            <v>2621H567</v>
          </cell>
          <cell r="D12979" t="str">
            <v>STA156KA</v>
          </cell>
          <cell r="E12979">
            <v>46177</v>
          </cell>
        </row>
        <row r="12980">
          <cell r="A12980" t="str">
            <v>2619A657</v>
          </cell>
          <cell r="D12980" t="str">
            <v>S706</v>
          </cell>
          <cell r="E12980">
            <v>46177</v>
          </cell>
        </row>
        <row r="12981">
          <cell r="A12981" t="str">
            <v>2621IZ37</v>
          </cell>
          <cell r="D12981" t="str">
            <v>FTW503</v>
          </cell>
          <cell r="E12981">
            <v>46177</v>
          </cell>
        </row>
        <row r="12982">
          <cell r="A12982" t="str">
            <v>2620DU67</v>
          </cell>
          <cell r="D12982" t="str">
            <v>KBP86</v>
          </cell>
          <cell r="E12982">
            <v>46177</v>
          </cell>
        </row>
        <row r="12983">
          <cell r="A12983" t="str">
            <v>2621L537</v>
          </cell>
          <cell r="D12983" t="str">
            <v>KBP86</v>
          </cell>
          <cell r="E12983">
            <v>46177</v>
          </cell>
        </row>
        <row r="12984">
          <cell r="A12984" t="str">
            <v>2617LH27</v>
          </cell>
          <cell r="D12984" t="str">
            <v>FTW503</v>
          </cell>
          <cell r="E12984">
            <v>46177</v>
          </cell>
        </row>
        <row r="12985">
          <cell r="A12985" t="str">
            <v>2618HO17</v>
          </cell>
          <cell r="D12985" t="str">
            <v>FTW503</v>
          </cell>
          <cell r="E12985">
            <v>46177</v>
          </cell>
        </row>
        <row r="12986">
          <cell r="A12986" t="str">
            <v>2621L817</v>
          </cell>
          <cell r="D12986" t="str">
            <v>KBP76</v>
          </cell>
          <cell r="E12986">
            <v>46177</v>
          </cell>
        </row>
        <row r="12987">
          <cell r="A12987" t="str">
            <v>2621IB37</v>
          </cell>
          <cell r="D12987" t="str">
            <v>KBP86</v>
          </cell>
          <cell r="E12987">
            <v>46177</v>
          </cell>
        </row>
        <row r="12988">
          <cell r="A12988" t="str">
            <v>2621H867</v>
          </cell>
          <cell r="D12988" t="str">
            <v>STA156KA</v>
          </cell>
          <cell r="E12988">
            <v>46177</v>
          </cell>
        </row>
        <row r="12989">
          <cell r="A12989" t="str">
            <v>2618FY57</v>
          </cell>
          <cell r="D12989" t="str">
            <v>KBP86</v>
          </cell>
          <cell r="E12989">
            <v>46177</v>
          </cell>
        </row>
        <row r="12990">
          <cell r="A12990" t="str">
            <v>2621PP17</v>
          </cell>
          <cell r="D12990" t="str">
            <v>KBP86</v>
          </cell>
          <cell r="E12990">
            <v>46177</v>
          </cell>
        </row>
        <row r="12991">
          <cell r="A12991" t="str">
            <v>2622S717</v>
          </cell>
          <cell r="D12991" t="str">
            <v>KBP126</v>
          </cell>
          <cell r="E12991">
            <v>46177</v>
          </cell>
        </row>
        <row r="12992">
          <cell r="A12992" t="str">
            <v>2621LY17</v>
          </cell>
          <cell r="D12992" t="str">
            <v>TTS50</v>
          </cell>
          <cell r="E12992">
            <v>46177</v>
          </cell>
        </row>
        <row r="12993">
          <cell r="A12993" t="str">
            <v>2621Q227</v>
          </cell>
          <cell r="D12993" t="str">
            <v>KBP55</v>
          </cell>
          <cell r="E12993">
            <v>46177</v>
          </cell>
        </row>
        <row r="12994">
          <cell r="A12994" t="str">
            <v>2621KN47</v>
          </cell>
          <cell r="D12994" t="str">
            <v>FTW121KE</v>
          </cell>
          <cell r="E12994">
            <v>46177</v>
          </cell>
        </row>
        <row r="12995">
          <cell r="A12995" t="str">
            <v>2621Q817</v>
          </cell>
          <cell r="D12995" t="str">
            <v>KBP86</v>
          </cell>
          <cell r="E12995">
            <v>46177</v>
          </cell>
        </row>
        <row r="12996">
          <cell r="A12996" t="str">
            <v>2621L147</v>
          </cell>
          <cell r="D12996" t="str">
            <v>FTW121KE</v>
          </cell>
          <cell r="E12996">
            <v>46177</v>
          </cell>
        </row>
        <row r="12997">
          <cell r="A12997" t="str">
            <v>2620U857</v>
          </cell>
          <cell r="D12997" t="str">
            <v>KBP76</v>
          </cell>
          <cell r="E12997">
            <v>46177</v>
          </cell>
        </row>
        <row r="12998">
          <cell r="A12998" t="str">
            <v>2621IF37</v>
          </cell>
          <cell r="D12998" t="str">
            <v>KBP86</v>
          </cell>
          <cell r="E12998">
            <v>46177</v>
          </cell>
        </row>
        <row r="12999">
          <cell r="A12999" t="str">
            <v>2621EY67</v>
          </cell>
          <cell r="D12999" t="str">
            <v>S706</v>
          </cell>
          <cell r="E12999">
            <v>46177</v>
          </cell>
        </row>
        <row r="13000">
          <cell r="A13000" t="str">
            <v>2620SS57</v>
          </cell>
          <cell r="D13000" t="str">
            <v>KBP126</v>
          </cell>
          <cell r="E13000">
            <v>46177</v>
          </cell>
        </row>
        <row r="13001">
          <cell r="A13001" t="str">
            <v>2621ER10</v>
          </cell>
          <cell r="D13001" t="str">
            <v>STA200KA</v>
          </cell>
          <cell r="E13001">
            <v>46177</v>
          </cell>
        </row>
        <row r="13002">
          <cell r="A13002" t="str">
            <v>2621CO67</v>
          </cell>
          <cell r="D13002" t="str">
            <v>KBP86</v>
          </cell>
          <cell r="E13002">
            <v>46177</v>
          </cell>
        </row>
        <row r="13003">
          <cell r="A13003" t="str">
            <v>2621H767</v>
          </cell>
          <cell r="D13003" t="str">
            <v>STA156KA</v>
          </cell>
          <cell r="E13003">
            <v>46177</v>
          </cell>
        </row>
        <row r="13004">
          <cell r="A13004" t="str">
            <v>2621LR17</v>
          </cell>
          <cell r="D13004" t="str">
            <v>FTW503</v>
          </cell>
          <cell r="E13004">
            <v>46177</v>
          </cell>
        </row>
        <row r="13005">
          <cell r="A13005" t="str">
            <v>2621DO57</v>
          </cell>
          <cell r="D13005" t="str">
            <v>FTW102K</v>
          </cell>
          <cell r="E13005">
            <v>46177</v>
          </cell>
        </row>
        <row r="13006">
          <cell r="A13006" t="str">
            <v>2606HN27</v>
          </cell>
          <cell r="D13006" t="str">
            <v>FTP150</v>
          </cell>
          <cell r="E13006">
            <v>46177</v>
          </cell>
        </row>
        <row r="13007">
          <cell r="A13007" t="str">
            <v>2621DM57</v>
          </cell>
          <cell r="D13007" t="str">
            <v>FTW102K</v>
          </cell>
          <cell r="E13007">
            <v>46177</v>
          </cell>
        </row>
        <row r="13008">
          <cell r="A13008" t="str">
            <v>2619YA57</v>
          </cell>
          <cell r="D13008" t="str">
            <v>KBP86</v>
          </cell>
          <cell r="E13008">
            <v>46177</v>
          </cell>
        </row>
        <row r="13009">
          <cell r="A13009" t="str">
            <v>2606HQ27</v>
          </cell>
          <cell r="D13009" t="str">
            <v>FTP150</v>
          </cell>
          <cell r="E13009">
            <v>46177</v>
          </cell>
        </row>
        <row r="13010">
          <cell r="A13010" t="str">
            <v>2621U217</v>
          </cell>
          <cell r="D13010" t="str">
            <v>TTS80</v>
          </cell>
          <cell r="E13010">
            <v>46177</v>
          </cell>
        </row>
        <row r="13011">
          <cell r="A13011" t="str">
            <v>2621PU47</v>
          </cell>
          <cell r="D13011" t="str">
            <v>KBP55</v>
          </cell>
          <cell r="E13011">
            <v>46177</v>
          </cell>
        </row>
        <row r="13012">
          <cell r="A13012" t="str">
            <v>2622LV17</v>
          </cell>
          <cell r="D13012" t="str">
            <v>FTW700</v>
          </cell>
          <cell r="E13012">
            <v>46177</v>
          </cell>
        </row>
        <row r="13013">
          <cell r="A13013" t="str">
            <v>2621P917</v>
          </cell>
          <cell r="D13013" t="str">
            <v>KBP86</v>
          </cell>
          <cell r="E13013">
            <v>46177</v>
          </cell>
        </row>
        <row r="13014">
          <cell r="A13014" t="str">
            <v>2620E867</v>
          </cell>
          <cell r="D13014" t="str">
            <v>KBP86</v>
          </cell>
          <cell r="E13014">
            <v>46177</v>
          </cell>
        </row>
        <row r="13015">
          <cell r="A13015" t="str">
            <v>2621I627</v>
          </cell>
          <cell r="D13015" t="str">
            <v>FTW121KE</v>
          </cell>
          <cell r="E13015">
            <v>46177</v>
          </cell>
        </row>
        <row r="13016">
          <cell r="A13016" t="str">
            <v>2621JN37</v>
          </cell>
          <cell r="D13016" t="str">
            <v>FTW121KE</v>
          </cell>
          <cell r="E13016">
            <v>46177</v>
          </cell>
        </row>
        <row r="13017">
          <cell r="A13017" t="str">
            <v>2621HL27</v>
          </cell>
          <cell r="D13017" t="str">
            <v>FTW121KE</v>
          </cell>
          <cell r="E13017">
            <v>46177</v>
          </cell>
        </row>
        <row r="13018">
          <cell r="A13018" t="str">
            <v>2613FV67</v>
          </cell>
          <cell r="D13018" t="str">
            <v>KBP52</v>
          </cell>
          <cell r="E13018">
            <v>46177</v>
          </cell>
        </row>
        <row r="13019">
          <cell r="A13019" t="str">
            <v>2621UI57</v>
          </cell>
          <cell r="D13019" t="str">
            <v>KBP86</v>
          </cell>
          <cell r="E13019">
            <v>46177</v>
          </cell>
        </row>
        <row r="13020">
          <cell r="A13020" t="str">
            <v>2610EC67</v>
          </cell>
          <cell r="D13020" t="str">
            <v>KBP76</v>
          </cell>
          <cell r="E13020">
            <v>46177</v>
          </cell>
        </row>
        <row r="13021">
          <cell r="A13021" t="str">
            <v>2621LP17</v>
          </cell>
          <cell r="D13021" t="str">
            <v>FTW503</v>
          </cell>
          <cell r="E13021">
            <v>46177</v>
          </cell>
        </row>
        <row r="13022">
          <cell r="A13022" t="str">
            <v>2621GF27</v>
          </cell>
          <cell r="D13022" t="str">
            <v>KBP76</v>
          </cell>
          <cell r="E13022">
            <v>46177</v>
          </cell>
        </row>
        <row r="13023">
          <cell r="A13023" t="str">
            <v>2621LD17</v>
          </cell>
          <cell r="D13023" t="str">
            <v>KBP76</v>
          </cell>
          <cell r="E13023">
            <v>46177</v>
          </cell>
        </row>
        <row r="13024">
          <cell r="A13024" t="str">
            <v>2621G227</v>
          </cell>
          <cell r="D13024" t="str">
            <v>KBP86</v>
          </cell>
          <cell r="E13024">
            <v>46177</v>
          </cell>
        </row>
        <row r="13025">
          <cell r="A13025" t="str">
            <v>2621IN37</v>
          </cell>
          <cell r="D13025" t="str">
            <v>KBP76</v>
          </cell>
          <cell r="E13025">
            <v>46177</v>
          </cell>
        </row>
        <row r="13026">
          <cell r="A13026" t="str">
            <v>2620EN70</v>
          </cell>
          <cell r="D13026" t="str">
            <v>TTS125</v>
          </cell>
          <cell r="E13026">
            <v>46177</v>
          </cell>
        </row>
        <row r="13027">
          <cell r="A13027" t="str">
            <v>2620UC57</v>
          </cell>
          <cell r="D13027" t="str">
            <v>KBP76</v>
          </cell>
          <cell r="E13027">
            <v>46177</v>
          </cell>
        </row>
        <row r="13028">
          <cell r="A13028" t="str">
            <v>2617EH57</v>
          </cell>
          <cell r="D13028" t="str">
            <v>FTW503</v>
          </cell>
          <cell r="E13028">
            <v>46177</v>
          </cell>
        </row>
        <row r="13029">
          <cell r="A13029" t="str">
            <v>2620BU67</v>
          </cell>
          <cell r="D13029" t="str">
            <v>KBP76</v>
          </cell>
          <cell r="E13029">
            <v>46177</v>
          </cell>
        </row>
        <row r="13030">
          <cell r="A13030" t="str">
            <v>2613KA47</v>
          </cell>
          <cell r="D13030" t="str">
            <v>KBP52</v>
          </cell>
          <cell r="E13030">
            <v>46177</v>
          </cell>
        </row>
        <row r="13031">
          <cell r="A13031" t="str">
            <v>2621QB47</v>
          </cell>
          <cell r="D13031" t="str">
            <v>TTS80</v>
          </cell>
          <cell r="E13031">
            <v>46177</v>
          </cell>
        </row>
        <row r="13032">
          <cell r="A13032" t="str">
            <v>2621UK57</v>
          </cell>
          <cell r="D13032" t="str">
            <v>KBP86</v>
          </cell>
          <cell r="E13032">
            <v>46177</v>
          </cell>
        </row>
        <row r="13033">
          <cell r="A13033" t="str">
            <v>2621OT47</v>
          </cell>
          <cell r="D13033" t="str">
            <v>KBP86</v>
          </cell>
          <cell r="E13033">
            <v>46177</v>
          </cell>
        </row>
        <row r="13034">
          <cell r="A13034" t="str">
            <v>2620J227</v>
          </cell>
          <cell r="D13034" t="str">
            <v>TTS50</v>
          </cell>
          <cell r="E13034">
            <v>46177</v>
          </cell>
        </row>
        <row r="13035">
          <cell r="A13035" t="str">
            <v>2621I837</v>
          </cell>
          <cell r="D13035" t="str">
            <v>KBP86</v>
          </cell>
          <cell r="E13035">
            <v>46177</v>
          </cell>
        </row>
        <row r="13036">
          <cell r="A13036" t="str">
            <v>2621I737</v>
          </cell>
          <cell r="D13036" t="str">
            <v>KBP86</v>
          </cell>
          <cell r="E13036">
            <v>46177</v>
          </cell>
        </row>
        <row r="13037">
          <cell r="A13037" t="str">
            <v>2620S557</v>
          </cell>
          <cell r="D13037" t="str">
            <v>KBP86</v>
          </cell>
          <cell r="E13037">
            <v>46177</v>
          </cell>
        </row>
        <row r="13038">
          <cell r="A13038" t="str">
            <v>2620BW47</v>
          </cell>
          <cell r="D13038" t="str">
            <v>FTW121KE</v>
          </cell>
          <cell r="E13038">
            <v>46177</v>
          </cell>
        </row>
        <row r="13039">
          <cell r="A13039" t="str">
            <v>2621JU37</v>
          </cell>
          <cell r="D13039" t="str">
            <v>FTW121KE</v>
          </cell>
          <cell r="E13039">
            <v>46177</v>
          </cell>
        </row>
        <row r="13040">
          <cell r="A13040" t="str">
            <v>2612LI37</v>
          </cell>
          <cell r="D13040" t="str">
            <v>KBP76</v>
          </cell>
          <cell r="E13040">
            <v>46177</v>
          </cell>
        </row>
        <row r="13041">
          <cell r="A13041" t="str">
            <v>2613ID47</v>
          </cell>
          <cell r="D13041" t="str">
            <v>FTW503</v>
          </cell>
          <cell r="E13041">
            <v>46177</v>
          </cell>
        </row>
        <row r="13042">
          <cell r="A13042" t="str">
            <v>2618HM17</v>
          </cell>
          <cell r="D13042" t="str">
            <v>FTW503</v>
          </cell>
          <cell r="E13042">
            <v>46177</v>
          </cell>
        </row>
        <row r="13043">
          <cell r="A13043" t="str">
            <v>2621PQ17</v>
          </cell>
          <cell r="D13043" t="str">
            <v>KBP86</v>
          </cell>
          <cell r="E13043">
            <v>46177</v>
          </cell>
        </row>
        <row r="13044">
          <cell r="A13044" t="str">
            <v>2618HV17</v>
          </cell>
          <cell r="D13044" t="str">
            <v>FTW503</v>
          </cell>
          <cell r="E13044">
            <v>46177</v>
          </cell>
        </row>
        <row r="13045">
          <cell r="A13045" t="str">
            <v>2617O457</v>
          </cell>
          <cell r="D13045" t="str">
            <v>FTW503</v>
          </cell>
          <cell r="E13045">
            <v>46177</v>
          </cell>
        </row>
        <row r="13046">
          <cell r="A13046" t="str">
            <v>2618HX17</v>
          </cell>
          <cell r="D13046" t="str">
            <v>FTW503</v>
          </cell>
          <cell r="E13046">
            <v>46177</v>
          </cell>
        </row>
        <row r="13047">
          <cell r="A13047" t="str">
            <v>2621LO17</v>
          </cell>
          <cell r="D13047" t="str">
            <v>FTW503</v>
          </cell>
          <cell r="E13047">
            <v>46177</v>
          </cell>
        </row>
        <row r="13048">
          <cell r="A13048" t="str">
            <v>2621P617</v>
          </cell>
          <cell r="D13048" t="str">
            <v>KBP86</v>
          </cell>
          <cell r="E13048">
            <v>46177</v>
          </cell>
        </row>
        <row r="13049">
          <cell r="A13049" t="str">
            <v>2620IG57</v>
          </cell>
          <cell r="D13049" t="str">
            <v>KBP86</v>
          </cell>
          <cell r="E13049">
            <v>46177</v>
          </cell>
        </row>
        <row r="13050">
          <cell r="A13050" t="str">
            <v>2617OE57</v>
          </cell>
          <cell r="D13050" t="str">
            <v>FTW503</v>
          </cell>
          <cell r="E13050">
            <v>46177</v>
          </cell>
        </row>
        <row r="13051">
          <cell r="A13051" t="str">
            <v>2621U817</v>
          </cell>
          <cell r="D13051" t="str">
            <v>TTS80</v>
          </cell>
          <cell r="E13051">
            <v>46177</v>
          </cell>
        </row>
        <row r="13052">
          <cell r="A13052" t="str">
            <v>2621L327</v>
          </cell>
          <cell r="D13052" t="str">
            <v>KBP52</v>
          </cell>
          <cell r="E13052">
            <v>46177</v>
          </cell>
        </row>
        <row r="13053">
          <cell r="A13053" t="str">
            <v>2621OS37</v>
          </cell>
          <cell r="D13053" t="str">
            <v>TTS80</v>
          </cell>
          <cell r="E13053">
            <v>46177</v>
          </cell>
        </row>
        <row r="13054">
          <cell r="A13054" t="str">
            <v>2616OX57</v>
          </cell>
          <cell r="D13054" t="str">
            <v>FTW503</v>
          </cell>
          <cell r="E13054">
            <v>46177</v>
          </cell>
        </row>
        <row r="13055">
          <cell r="A13055" t="str">
            <v>2620UB57</v>
          </cell>
          <cell r="D13055" t="str">
            <v>KBP76</v>
          </cell>
          <cell r="E13055">
            <v>46177</v>
          </cell>
        </row>
        <row r="13056">
          <cell r="A13056" t="str">
            <v>2621IQ37</v>
          </cell>
          <cell r="D13056" t="str">
            <v>KBP76</v>
          </cell>
          <cell r="E13056">
            <v>46177</v>
          </cell>
        </row>
        <row r="13057">
          <cell r="A13057" t="str">
            <v>2622QA17</v>
          </cell>
          <cell r="D13057" t="str">
            <v>S706</v>
          </cell>
          <cell r="E13057">
            <v>46177</v>
          </cell>
        </row>
        <row r="13058">
          <cell r="A13058" t="str">
            <v>2622Q617</v>
          </cell>
          <cell r="D13058" t="str">
            <v>S706</v>
          </cell>
          <cell r="E13058">
            <v>46177</v>
          </cell>
        </row>
        <row r="13059">
          <cell r="A13059" t="str">
            <v>2621EQ67</v>
          </cell>
          <cell r="D13059" t="str">
            <v>S706</v>
          </cell>
          <cell r="E13059">
            <v>46177</v>
          </cell>
        </row>
        <row r="13060">
          <cell r="A13060" t="str">
            <v>2621EW67</v>
          </cell>
          <cell r="D13060" t="str">
            <v>S706</v>
          </cell>
          <cell r="E13060">
            <v>46177</v>
          </cell>
        </row>
        <row r="13061">
          <cell r="A13061" t="str">
            <v>2621EX67</v>
          </cell>
          <cell r="D13061" t="str">
            <v>S706</v>
          </cell>
          <cell r="E13061">
            <v>46177</v>
          </cell>
        </row>
        <row r="13062">
          <cell r="A13062" t="str">
            <v>2621F467</v>
          </cell>
          <cell r="D13062" t="str">
            <v>S706</v>
          </cell>
          <cell r="E13062">
            <v>46177</v>
          </cell>
        </row>
        <row r="13063">
          <cell r="A13063" t="str">
            <v>2621EU67</v>
          </cell>
          <cell r="D13063" t="str">
            <v>S706</v>
          </cell>
          <cell r="E13063">
            <v>46177</v>
          </cell>
        </row>
        <row r="13064">
          <cell r="A13064" t="str">
            <v>2621QO17</v>
          </cell>
          <cell r="D13064" t="str">
            <v>TTS50</v>
          </cell>
          <cell r="E13064">
            <v>46177</v>
          </cell>
        </row>
        <row r="13065">
          <cell r="A13065" t="str">
            <v>2620LI17</v>
          </cell>
          <cell r="D13065" t="str">
            <v>TTS50</v>
          </cell>
          <cell r="E13065">
            <v>46177</v>
          </cell>
        </row>
        <row r="13066">
          <cell r="A13066" t="str">
            <v>2621EZ57</v>
          </cell>
          <cell r="D13066" t="str">
            <v>TTS50</v>
          </cell>
          <cell r="E13066">
            <v>46177</v>
          </cell>
        </row>
        <row r="13067">
          <cell r="A13067" t="str">
            <v>2621QF17</v>
          </cell>
          <cell r="D13067" t="str">
            <v>HV80</v>
          </cell>
          <cell r="E13067">
            <v>46177</v>
          </cell>
        </row>
        <row r="13068">
          <cell r="A13068" t="str">
            <v>2620DY47</v>
          </cell>
          <cell r="D13068" t="str">
            <v>HV80</v>
          </cell>
          <cell r="E13068">
            <v>46177</v>
          </cell>
        </row>
        <row r="13069">
          <cell r="A13069" t="str">
            <v>2620PH37</v>
          </cell>
          <cell r="D13069" t="str">
            <v>HV80</v>
          </cell>
          <cell r="E13069">
            <v>46177</v>
          </cell>
        </row>
        <row r="13070">
          <cell r="A13070" t="str">
            <v>2620BF67</v>
          </cell>
          <cell r="D13070" t="str">
            <v>HV80</v>
          </cell>
          <cell r="E13070">
            <v>46177</v>
          </cell>
        </row>
        <row r="13071">
          <cell r="A13071" t="str">
            <v>2619D547</v>
          </cell>
          <cell r="D13071" t="str">
            <v>TTS80</v>
          </cell>
          <cell r="E13071">
            <v>46177</v>
          </cell>
        </row>
        <row r="13072">
          <cell r="A13072" t="str">
            <v>2619D647</v>
          </cell>
          <cell r="D13072" t="str">
            <v>TTS80</v>
          </cell>
          <cell r="E13072">
            <v>46177</v>
          </cell>
        </row>
        <row r="13073">
          <cell r="A13073" t="str">
            <v>2619D647</v>
          </cell>
          <cell r="D13073" t="str">
            <v>TTS80</v>
          </cell>
          <cell r="E13073">
            <v>46177</v>
          </cell>
        </row>
        <row r="13074">
          <cell r="A13074" t="str">
            <v>2619D847</v>
          </cell>
          <cell r="D13074" t="str">
            <v>TTS80</v>
          </cell>
          <cell r="E13074">
            <v>46177</v>
          </cell>
        </row>
        <row r="13075">
          <cell r="A13075" t="str">
            <v>2620SU57</v>
          </cell>
          <cell r="D13075" t="str">
            <v>KBP126</v>
          </cell>
          <cell r="E13075">
            <v>46177</v>
          </cell>
        </row>
        <row r="13076">
          <cell r="A13076" t="str">
            <v>2621LQ17</v>
          </cell>
          <cell r="D13076" t="str">
            <v>FTW503</v>
          </cell>
          <cell r="E13076">
            <v>46177</v>
          </cell>
        </row>
        <row r="13077">
          <cell r="A13077" t="str">
            <v>2622LN17</v>
          </cell>
          <cell r="D13077" t="str">
            <v>FTW700</v>
          </cell>
          <cell r="E13077">
            <v>46177</v>
          </cell>
        </row>
        <row r="13078">
          <cell r="A13078" t="str">
            <v>2621H367</v>
          </cell>
          <cell r="D13078" t="str">
            <v>STA156KA</v>
          </cell>
          <cell r="E13078">
            <v>46177</v>
          </cell>
        </row>
        <row r="13079">
          <cell r="A13079" t="str">
            <v>2620DI47</v>
          </cell>
          <cell r="D13079" t="str">
            <v>KBP52</v>
          </cell>
          <cell r="E13079">
            <v>46177</v>
          </cell>
        </row>
        <row r="13080">
          <cell r="A13080" t="str">
            <v>2619FY67</v>
          </cell>
          <cell r="D13080" t="str">
            <v>FTP200</v>
          </cell>
          <cell r="E13080">
            <v>46177</v>
          </cell>
        </row>
        <row r="13081">
          <cell r="A13081" t="str">
            <v>2621L447</v>
          </cell>
          <cell r="D13081" t="str">
            <v>FTW121KR</v>
          </cell>
          <cell r="E13081">
            <v>46177</v>
          </cell>
        </row>
        <row r="13082">
          <cell r="A13082" t="str">
            <v>2621E757</v>
          </cell>
          <cell r="D13082" t="str">
            <v>FTW121KE</v>
          </cell>
          <cell r="E13082">
            <v>46177</v>
          </cell>
        </row>
        <row r="13083">
          <cell r="A13083" t="str">
            <v>2621O617</v>
          </cell>
          <cell r="D13083" t="str">
            <v>FTW121KR</v>
          </cell>
          <cell r="E13083">
            <v>46177</v>
          </cell>
        </row>
        <row r="13084">
          <cell r="A13084" t="str">
            <v>2618DW57</v>
          </cell>
          <cell r="D13084" t="str">
            <v>KBP55</v>
          </cell>
          <cell r="E13084">
            <v>46177</v>
          </cell>
        </row>
        <row r="13085">
          <cell r="A13085" t="str">
            <v>2621JG37</v>
          </cell>
          <cell r="D13085" t="str">
            <v>FTW121KR</v>
          </cell>
          <cell r="E13085">
            <v>46177</v>
          </cell>
        </row>
        <row r="13086">
          <cell r="A13086" t="str">
            <v>2621HC27</v>
          </cell>
          <cell r="D13086" t="str">
            <v>FTW121KR</v>
          </cell>
          <cell r="E13086">
            <v>46177</v>
          </cell>
        </row>
        <row r="13087">
          <cell r="A13087" t="str">
            <v>2621O717</v>
          </cell>
          <cell r="D13087" t="str">
            <v>FTW121KR</v>
          </cell>
          <cell r="E13087">
            <v>46177</v>
          </cell>
        </row>
        <row r="13088">
          <cell r="A13088" t="str">
            <v>2621KH37</v>
          </cell>
          <cell r="D13088" t="str">
            <v>KBP86</v>
          </cell>
          <cell r="E13088">
            <v>46177</v>
          </cell>
        </row>
        <row r="13089">
          <cell r="A13089" t="str">
            <v>2616ST57</v>
          </cell>
          <cell r="D13089" t="str">
            <v>KBP86</v>
          </cell>
          <cell r="E13089">
            <v>46177</v>
          </cell>
        </row>
        <row r="13090">
          <cell r="A13090" t="str">
            <v>2619YA57</v>
          </cell>
          <cell r="D13090" t="str">
            <v>KBP86</v>
          </cell>
          <cell r="E13090">
            <v>46177</v>
          </cell>
        </row>
        <row r="13091">
          <cell r="A13091" t="str">
            <v>2619YA57</v>
          </cell>
          <cell r="D13091" t="str">
            <v>KBP86</v>
          </cell>
          <cell r="E13091">
            <v>46177</v>
          </cell>
        </row>
        <row r="13092">
          <cell r="A13092" t="str">
            <v>2619YA57</v>
          </cell>
          <cell r="D13092" t="str">
            <v>KBP86</v>
          </cell>
          <cell r="E13092">
            <v>46177</v>
          </cell>
        </row>
        <row r="13093">
          <cell r="A13093" t="str">
            <v>2621HY27</v>
          </cell>
          <cell r="D13093" t="str">
            <v>FTW121KE</v>
          </cell>
          <cell r="E13093">
            <v>46177</v>
          </cell>
        </row>
        <row r="13094">
          <cell r="A13094" t="str">
            <v>2621ER20</v>
          </cell>
          <cell r="D13094" t="str">
            <v>STA200KA</v>
          </cell>
          <cell r="E13094">
            <v>46177</v>
          </cell>
        </row>
        <row r="13095">
          <cell r="A13095" t="str">
            <v>2619AC57</v>
          </cell>
          <cell r="D13095" t="str">
            <v>FTW102K</v>
          </cell>
          <cell r="E13095">
            <v>46176</v>
          </cell>
        </row>
        <row r="13096">
          <cell r="A13096" t="str">
            <v>2621IG37</v>
          </cell>
          <cell r="D13096" t="str">
            <v>KBP86</v>
          </cell>
          <cell r="E13096">
            <v>46176</v>
          </cell>
        </row>
        <row r="13097">
          <cell r="A13097" t="str">
            <v>2617IJ47</v>
          </cell>
          <cell r="D13097" t="str">
            <v>KBP86</v>
          </cell>
          <cell r="E13097">
            <v>46176</v>
          </cell>
        </row>
        <row r="13098">
          <cell r="A13098" t="str">
            <v>2620WA57</v>
          </cell>
          <cell r="D13098" t="str">
            <v>FTW121KR</v>
          </cell>
          <cell r="E13098">
            <v>46176</v>
          </cell>
        </row>
        <row r="13099">
          <cell r="A13099" t="str">
            <v>2620IM57</v>
          </cell>
          <cell r="D13099" t="str">
            <v>FTP200</v>
          </cell>
          <cell r="E13099">
            <v>46176</v>
          </cell>
        </row>
        <row r="13100">
          <cell r="A13100" t="str">
            <v>2621UF57</v>
          </cell>
          <cell r="D13100" t="str">
            <v>KBP86</v>
          </cell>
          <cell r="E13100">
            <v>46176</v>
          </cell>
        </row>
        <row r="13101">
          <cell r="A13101" t="str">
            <v>2621UJ57</v>
          </cell>
          <cell r="D13101" t="str">
            <v>KBP86</v>
          </cell>
          <cell r="E13101">
            <v>46176</v>
          </cell>
        </row>
        <row r="13102">
          <cell r="A13102" t="str">
            <v>2621AY67</v>
          </cell>
          <cell r="D13102" t="str">
            <v>KBP86</v>
          </cell>
          <cell r="E13102">
            <v>46176</v>
          </cell>
        </row>
        <row r="13103">
          <cell r="A13103" t="str">
            <v>2613DZ27</v>
          </cell>
          <cell r="D13103" t="str">
            <v>FTW102K</v>
          </cell>
          <cell r="E13103">
            <v>46176</v>
          </cell>
        </row>
        <row r="13104">
          <cell r="A13104" t="str">
            <v>2621PV27</v>
          </cell>
          <cell r="D13104" t="str">
            <v>KBP55</v>
          </cell>
          <cell r="E13104">
            <v>46176</v>
          </cell>
        </row>
        <row r="13105">
          <cell r="A13105" t="str">
            <v>2620DI67</v>
          </cell>
          <cell r="D13105" t="str">
            <v>TTS80</v>
          </cell>
          <cell r="E13105">
            <v>46176</v>
          </cell>
        </row>
        <row r="13106">
          <cell r="A13106" t="str">
            <v>2620EB47</v>
          </cell>
          <cell r="D13106" t="str">
            <v>TTS50</v>
          </cell>
          <cell r="E13106">
            <v>46176</v>
          </cell>
        </row>
        <row r="13107">
          <cell r="A13107" t="str">
            <v>2620EP20</v>
          </cell>
          <cell r="D13107" t="str">
            <v>S706</v>
          </cell>
          <cell r="E13107">
            <v>46176</v>
          </cell>
        </row>
        <row r="13108">
          <cell r="A13108" t="str">
            <v>2620EP40</v>
          </cell>
          <cell r="D13108" t="str">
            <v>S706</v>
          </cell>
          <cell r="E13108">
            <v>46176</v>
          </cell>
        </row>
        <row r="13109">
          <cell r="A13109" t="str">
            <v>2620EP30</v>
          </cell>
          <cell r="D13109" t="str">
            <v>S706</v>
          </cell>
          <cell r="E13109">
            <v>46176</v>
          </cell>
        </row>
        <row r="13110">
          <cell r="A13110" t="str">
            <v>2620EN40</v>
          </cell>
          <cell r="D13110" t="str">
            <v>S706</v>
          </cell>
          <cell r="E13110">
            <v>46176</v>
          </cell>
        </row>
        <row r="13111">
          <cell r="A13111" t="str">
            <v>2620EP50</v>
          </cell>
          <cell r="D13111" t="str">
            <v>S706</v>
          </cell>
          <cell r="E13111">
            <v>46176</v>
          </cell>
        </row>
        <row r="13112">
          <cell r="A13112" t="str">
            <v>2620EN50</v>
          </cell>
          <cell r="D13112" t="str">
            <v>S706</v>
          </cell>
          <cell r="E13112">
            <v>46176</v>
          </cell>
        </row>
        <row r="13113">
          <cell r="A13113" t="str">
            <v>2620EK90</v>
          </cell>
          <cell r="D13113" t="str">
            <v>S706</v>
          </cell>
          <cell r="E13113">
            <v>46176</v>
          </cell>
        </row>
        <row r="13114">
          <cell r="A13114" t="str">
            <v>2620EM20</v>
          </cell>
          <cell r="D13114" t="str">
            <v>S706</v>
          </cell>
          <cell r="E13114">
            <v>46176</v>
          </cell>
        </row>
        <row r="13115">
          <cell r="A13115" t="str">
            <v>2620EM10</v>
          </cell>
          <cell r="D13115" t="str">
            <v>S706</v>
          </cell>
          <cell r="E13115">
            <v>46176</v>
          </cell>
        </row>
        <row r="13116">
          <cell r="A13116" t="str">
            <v>2620EN30</v>
          </cell>
          <cell r="D13116" t="str">
            <v>S706</v>
          </cell>
          <cell r="E13116">
            <v>46176</v>
          </cell>
        </row>
        <row r="13117">
          <cell r="A13117" t="str">
            <v>2621JB27</v>
          </cell>
          <cell r="D13117" t="str">
            <v>KBP86</v>
          </cell>
          <cell r="E13117">
            <v>46176</v>
          </cell>
        </row>
        <row r="13118">
          <cell r="A13118" t="str">
            <v>2620WY57</v>
          </cell>
          <cell r="D13118" t="str">
            <v>FTW121KE</v>
          </cell>
          <cell r="E13118">
            <v>46176</v>
          </cell>
        </row>
        <row r="13119">
          <cell r="A13119" t="str">
            <v>2620KT37</v>
          </cell>
          <cell r="D13119" t="str">
            <v>KBP86</v>
          </cell>
          <cell r="E13119">
            <v>46176</v>
          </cell>
        </row>
        <row r="13120">
          <cell r="A13120" t="str">
            <v>2621KG37</v>
          </cell>
          <cell r="D13120" t="str">
            <v>KBP86</v>
          </cell>
          <cell r="E13120">
            <v>46176</v>
          </cell>
        </row>
        <row r="13121">
          <cell r="A13121" t="str">
            <v>2613GU37</v>
          </cell>
          <cell r="D13121" t="str">
            <v>FTW503</v>
          </cell>
          <cell r="E13121">
            <v>46176</v>
          </cell>
        </row>
        <row r="13122">
          <cell r="A13122" t="str">
            <v>2621KS47</v>
          </cell>
          <cell r="D13122" t="str">
            <v>FTW121KE</v>
          </cell>
          <cell r="E13122">
            <v>46176</v>
          </cell>
        </row>
        <row r="13123">
          <cell r="A13123" t="str">
            <v>2620HG57</v>
          </cell>
          <cell r="D13123" t="str">
            <v>KBP86</v>
          </cell>
          <cell r="E13123">
            <v>46176</v>
          </cell>
        </row>
        <row r="13124">
          <cell r="A13124" t="str">
            <v>2621J937</v>
          </cell>
          <cell r="D13124" t="str">
            <v>FTW121KE</v>
          </cell>
          <cell r="E13124">
            <v>46176</v>
          </cell>
        </row>
        <row r="13125">
          <cell r="A13125" t="str">
            <v>2620SQ57</v>
          </cell>
          <cell r="D13125" t="str">
            <v>KBP86</v>
          </cell>
          <cell r="E13125">
            <v>46176</v>
          </cell>
        </row>
        <row r="13126">
          <cell r="A13126" t="str">
            <v>2619F667</v>
          </cell>
          <cell r="D13126" t="str">
            <v>TTS50</v>
          </cell>
          <cell r="E13126">
            <v>46176</v>
          </cell>
        </row>
        <row r="13127">
          <cell r="A13127" t="str">
            <v>2621HF47</v>
          </cell>
          <cell r="D13127" t="str">
            <v>KBP126</v>
          </cell>
          <cell r="E13127">
            <v>46176</v>
          </cell>
        </row>
        <row r="13128">
          <cell r="A13128" t="str">
            <v>2620SI57</v>
          </cell>
          <cell r="D13128" t="str">
            <v>KBP86</v>
          </cell>
          <cell r="E13128">
            <v>46176</v>
          </cell>
        </row>
        <row r="13129">
          <cell r="A13129" t="str">
            <v>2621LI17</v>
          </cell>
          <cell r="D13129" t="str">
            <v>S706</v>
          </cell>
          <cell r="E13129">
            <v>46176</v>
          </cell>
        </row>
        <row r="13130">
          <cell r="A13130" t="str">
            <v>2620UJ57</v>
          </cell>
          <cell r="D13130" t="str">
            <v>S706</v>
          </cell>
          <cell r="E13130">
            <v>46176</v>
          </cell>
        </row>
        <row r="13131">
          <cell r="A13131" t="str">
            <v>2613D627</v>
          </cell>
          <cell r="D13131" t="str">
            <v>FTW503</v>
          </cell>
          <cell r="E13131">
            <v>46176</v>
          </cell>
        </row>
        <row r="13132">
          <cell r="A13132" t="str">
            <v>2620AD47</v>
          </cell>
          <cell r="D13132" t="str">
            <v>STA156KA</v>
          </cell>
          <cell r="E13132">
            <v>46176</v>
          </cell>
        </row>
        <row r="13133">
          <cell r="A13133" t="str">
            <v>2620LY27</v>
          </cell>
          <cell r="D13133" t="str">
            <v>TTS50</v>
          </cell>
          <cell r="E13133">
            <v>46176</v>
          </cell>
        </row>
        <row r="13134">
          <cell r="A13134" t="str">
            <v>2619DI47</v>
          </cell>
          <cell r="D13134" t="str">
            <v>TTS50</v>
          </cell>
          <cell r="E13134">
            <v>46176</v>
          </cell>
        </row>
        <row r="13135">
          <cell r="A13135" t="str">
            <v>2620EM80</v>
          </cell>
          <cell r="D13135" t="str">
            <v>TTS125</v>
          </cell>
          <cell r="E13135">
            <v>46176</v>
          </cell>
        </row>
        <row r="13136">
          <cell r="A13136" t="str">
            <v>2621KX27</v>
          </cell>
          <cell r="D13136" t="str">
            <v>KBP34</v>
          </cell>
          <cell r="E13136">
            <v>46176</v>
          </cell>
        </row>
        <row r="13137">
          <cell r="A13137" t="str">
            <v>2620V357</v>
          </cell>
          <cell r="D13137" t="str">
            <v>FTW503</v>
          </cell>
          <cell r="E13137">
            <v>46176</v>
          </cell>
        </row>
        <row r="13138">
          <cell r="A13138" t="str">
            <v>2620OX37</v>
          </cell>
          <cell r="D13138" t="str">
            <v>KBP52</v>
          </cell>
          <cell r="E13138">
            <v>46176</v>
          </cell>
        </row>
        <row r="13139">
          <cell r="A13139" t="str">
            <v>2621JX37</v>
          </cell>
          <cell r="D13139" t="str">
            <v>FTW121KE</v>
          </cell>
          <cell r="E13139">
            <v>46176</v>
          </cell>
        </row>
        <row r="13140">
          <cell r="A13140" t="str">
            <v>2620DQ67</v>
          </cell>
          <cell r="D13140" t="str">
            <v>KBP86</v>
          </cell>
          <cell r="E13140">
            <v>46176</v>
          </cell>
        </row>
        <row r="13141">
          <cell r="A13141" t="str">
            <v>2621FS27</v>
          </cell>
          <cell r="D13141" t="str">
            <v>KBP76</v>
          </cell>
          <cell r="E13141">
            <v>46176</v>
          </cell>
        </row>
        <row r="13142">
          <cell r="A13142" t="str">
            <v>2618FX57</v>
          </cell>
          <cell r="D13142" t="str">
            <v>KBP86</v>
          </cell>
          <cell r="E13142">
            <v>46176</v>
          </cell>
        </row>
        <row r="13143">
          <cell r="A13143" t="str">
            <v>2620PC57</v>
          </cell>
          <cell r="D13143" t="str">
            <v>STA156KA</v>
          </cell>
          <cell r="E13143">
            <v>46176</v>
          </cell>
        </row>
        <row r="13144">
          <cell r="A13144" t="str">
            <v>2620OH57</v>
          </cell>
          <cell r="D13144" t="str">
            <v>KBP126</v>
          </cell>
          <cell r="E13144">
            <v>46176</v>
          </cell>
        </row>
        <row r="13145">
          <cell r="A13145" t="str">
            <v>2619A757</v>
          </cell>
          <cell r="D13145" t="str">
            <v>FTW102K</v>
          </cell>
          <cell r="E13145">
            <v>46176</v>
          </cell>
        </row>
        <row r="13146">
          <cell r="A13146" t="str">
            <v>2620C567</v>
          </cell>
          <cell r="D13146" t="str">
            <v>KBP76</v>
          </cell>
          <cell r="E13146">
            <v>46176</v>
          </cell>
        </row>
        <row r="13147">
          <cell r="A13147" t="str">
            <v>2621QC47</v>
          </cell>
          <cell r="D13147" t="str">
            <v>TTS80</v>
          </cell>
          <cell r="E13147">
            <v>46176</v>
          </cell>
        </row>
        <row r="13148">
          <cell r="A13148" t="str">
            <v>2620D567</v>
          </cell>
          <cell r="D13148" t="str">
            <v>TTS80</v>
          </cell>
          <cell r="E13148">
            <v>46176</v>
          </cell>
        </row>
        <row r="13149">
          <cell r="A13149" t="str">
            <v>2613BC27</v>
          </cell>
          <cell r="D13149" t="str">
            <v>FTW503</v>
          </cell>
          <cell r="E13149">
            <v>46176</v>
          </cell>
        </row>
        <row r="13150">
          <cell r="A13150" t="str">
            <v>2617O957</v>
          </cell>
          <cell r="D13150" t="str">
            <v>FTW503</v>
          </cell>
          <cell r="E13150">
            <v>46176</v>
          </cell>
        </row>
        <row r="13151">
          <cell r="A13151" t="str">
            <v>2621LJ17</v>
          </cell>
          <cell r="D13151" t="str">
            <v>S706</v>
          </cell>
          <cell r="E13151">
            <v>46176</v>
          </cell>
        </row>
        <row r="13152">
          <cell r="A13152" t="str">
            <v>2619QB57</v>
          </cell>
          <cell r="D13152" t="str">
            <v>KBP76</v>
          </cell>
          <cell r="E13152">
            <v>46176</v>
          </cell>
        </row>
        <row r="13153">
          <cell r="A13153" t="str">
            <v>2620QY57</v>
          </cell>
          <cell r="D13153" t="str">
            <v>KBP86</v>
          </cell>
          <cell r="E13153">
            <v>46176</v>
          </cell>
        </row>
        <row r="13154">
          <cell r="A13154" t="str">
            <v>2613FT67</v>
          </cell>
          <cell r="D13154" t="str">
            <v>KBP52</v>
          </cell>
          <cell r="E13154">
            <v>46176</v>
          </cell>
        </row>
        <row r="13155">
          <cell r="A13155" t="str">
            <v>2617IJ47</v>
          </cell>
          <cell r="D13155" t="str">
            <v>KBP86</v>
          </cell>
          <cell r="E13155">
            <v>46176</v>
          </cell>
        </row>
        <row r="13156">
          <cell r="A13156" t="str">
            <v>2618FZ57</v>
          </cell>
          <cell r="D13156" t="str">
            <v>KBP86</v>
          </cell>
          <cell r="E13156">
            <v>46176</v>
          </cell>
        </row>
        <row r="13157">
          <cell r="A13157" t="str">
            <v>2620DY67</v>
          </cell>
          <cell r="D13157" t="str">
            <v>KBP86</v>
          </cell>
          <cell r="E13157">
            <v>46176</v>
          </cell>
        </row>
        <row r="13158">
          <cell r="A13158" t="str">
            <v>2619W557</v>
          </cell>
          <cell r="D13158" t="str">
            <v>STA156KA</v>
          </cell>
          <cell r="E13158">
            <v>46176</v>
          </cell>
        </row>
        <row r="13159">
          <cell r="A13159" t="str">
            <v>2618XD47</v>
          </cell>
          <cell r="D13159" t="str">
            <v>TTS50</v>
          </cell>
          <cell r="E13159">
            <v>46176</v>
          </cell>
        </row>
        <row r="13160">
          <cell r="A13160" t="str">
            <v>2619AA57</v>
          </cell>
          <cell r="D13160" t="str">
            <v>FTW102K</v>
          </cell>
          <cell r="E13160">
            <v>46176</v>
          </cell>
        </row>
        <row r="13161">
          <cell r="A13161" t="str">
            <v>2612VQ57</v>
          </cell>
          <cell r="D13161" t="str">
            <v>FTW102K</v>
          </cell>
          <cell r="E13161">
            <v>46176</v>
          </cell>
        </row>
        <row r="13162">
          <cell r="A13162" t="str">
            <v>2608UF57</v>
          </cell>
          <cell r="D13162" t="str">
            <v>FTP150</v>
          </cell>
          <cell r="E13162">
            <v>46176</v>
          </cell>
        </row>
        <row r="13163">
          <cell r="A13163" t="str">
            <v>2616OQ57</v>
          </cell>
          <cell r="D13163" t="str">
            <v>FTW503</v>
          </cell>
          <cell r="E13163">
            <v>46176</v>
          </cell>
        </row>
        <row r="13164">
          <cell r="A13164" t="str">
            <v>2617OD57</v>
          </cell>
          <cell r="D13164" t="str">
            <v>FTW503</v>
          </cell>
          <cell r="E13164">
            <v>46176</v>
          </cell>
        </row>
        <row r="13165">
          <cell r="A13165" t="str">
            <v>2620PX37</v>
          </cell>
          <cell r="D13165" t="str">
            <v>KBP76</v>
          </cell>
          <cell r="E13165">
            <v>46176</v>
          </cell>
        </row>
        <row r="13166">
          <cell r="A13166" t="str">
            <v>2620K927</v>
          </cell>
          <cell r="D13166" t="str">
            <v>KBP86</v>
          </cell>
          <cell r="E13166">
            <v>46176</v>
          </cell>
        </row>
        <row r="13167">
          <cell r="A13167" t="str">
            <v>2620W657</v>
          </cell>
          <cell r="D13167" t="str">
            <v>FTW121KE</v>
          </cell>
          <cell r="E13167">
            <v>46176</v>
          </cell>
        </row>
        <row r="13168">
          <cell r="A13168" t="str">
            <v>2620HY57</v>
          </cell>
          <cell r="D13168" t="str">
            <v>KBP86</v>
          </cell>
          <cell r="E13168">
            <v>46176</v>
          </cell>
        </row>
        <row r="13169">
          <cell r="A13169" t="str">
            <v>2621PV17</v>
          </cell>
          <cell r="D13169" t="str">
            <v>FTW102K</v>
          </cell>
          <cell r="E13169">
            <v>46176</v>
          </cell>
        </row>
        <row r="13170">
          <cell r="A13170" t="str">
            <v>2620CC47</v>
          </cell>
          <cell r="D13170" t="str">
            <v>KBP86</v>
          </cell>
          <cell r="E13170">
            <v>46176</v>
          </cell>
        </row>
        <row r="13171">
          <cell r="A13171" t="str">
            <v>2621HA27</v>
          </cell>
          <cell r="D13171" t="str">
            <v>FTW121KE</v>
          </cell>
          <cell r="E13171">
            <v>46176</v>
          </cell>
        </row>
        <row r="13172">
          <cell r="A13172" t="str">
            <v>2620DF67</v>
          </cell>
          <cell r="D13172" t="str">
            <v>TTS80</v>
          </cell>
          <cell r="E13172">
            <v>46176</v>
          </cell>
        </row>
        <row r="13173">
          <cell r="A13173" t="str">
            <v>2620WD57</v>
          </cell>
          <cell r="D13173" t="str">
            <v>FTW121KE</v>
          </cell>
          <cell r="E13173">
            <v>46176</v>
          </cell>
        </row>
        <row r="13174">
          <cell r="A13174" t="str">
            <v>2614HA57</v>
          </cell>
          <cell r="D13174" t="str">
            <v>KBP86</v>
          </cell>
          <cell r="E13174">
            <v>46176</v>
          </cell>
        </row>
        <row r="13175">
          <cell r="A13175" t="str">
            <v>2619AL57</v>
          </cell>
          <cell r="D13175" t="str">
            <v>KBP86</v>
          </cell>
          <cell r="E13175">
            <v>46176</v>
          </cell>
        </row>
        <row r="13176">
          <cell r="A13176" t="str">
            <v>2621JE27</v>
          </cell>
          <cell r="D13176" t="str">
            <v>KBP86</v>
          </cell>
          <cell r="E13176">
            <v>46176</v>
          </cell>
        </row>
        <row r="13177">
          <cell r="A13177" t="str">
            <v>2620C637</v>
          </cell>
          <cell r="D13177" t="str">
            <v>KBP126</v>
          </cell>
          <cell r="E13177">
            <v>46176</v>
          </cell>
        </row>
        <row r="13178">
          <cell r="A13178" t="str">
            <v>2621H927</v>
          </cell>
          <cell r="D13178" t="str">
            <v>FTW121KR</v>
          </cell>
          <cell r="E13178">
            <v>46176</v>
          </cell>
        </row>
        <row r="13179">
          <cell r="A13179" t="str">
            <v>2620XQ57</v>
          </cell>
          <cell r="D13179" t="str">
            <v>KBP86</v>
          </cell>
          <cell r="E13179">
            <v>46176</v>
          </cell>
        </row>
        <row r="13180">
          <cell r="A13180" t="str">
            <v>2615DJ20</v>
          </cell>
          <cell r="D13180" t="str">
            <v>TTS125</v>
          </cell>
          <cell r="E13180">
            <v>46176</v>
          </cell>
        </row>
        <row r="13181">
          <cell r="A13181" t="str">
            <v>2621F757</v>
          </cell>
          <cell r="D13181" t="str">
            <v>KBP55</v>
          </cell>
          <cell r="E13181">
            <v>46176</v>
          </cell>
        </row>
        <row r="13182">
          <cell r="A13182" t="str">
            <v>2620HS57</v>
          </cell>
          <cell r="D13182" t="str">
            <v>KBP86</v>
          </cell>
          <cell r="E13182">
            <v>46176</v>
          </cell>
        </row>
        <row r="13183">
          <cell r="A13183" t="str">
            <v>2620OX27</v>
          </cell>
          <cell r="D13183" t="str">
            <v>TTS80</v>
          </cell>
          <cell r="E13183">
            <v>46176</v>
          </cell>
        </row>
        <row r="13184">
          <cell r="A13184" t="str">
            <v>2620AT67</v>
          </cell>
          <cell r="D13184" t="str">
            <v>KBP86</v>
          </cell>
          <cell r="E13184">
            <v>46176</v>
          </cell>
        </row>
        <row r="13185">
          <cell r="A13185" t="str">
            <v>2617L827</v>
          </cell>
          <cell r="D13185" t="str">
            <v>FTW503</v>
          </cell>
          <cell r="E13185">
            <v>46176</v>
          </cell>
        </row>
        <row r="13186">
          <cell r="A13186" t="str">
            <v>2620Q537</v>
          </cell>
          <cell r="D13186" t="str">
            <v>KBP76</v>
          </cell>
          <cell r="E13186">
            <v>46176</v>
          </cell>
        </row>
        <row r="13187">
          <cell r="A13187" t="str">
            <v>2621IN17</v>
          </cell>
          <cell r="D13187" t="str">
            <v>KBP126</v>
          </cell>
          <cell r="E13187">
            <v>46176</v>
          </cell>
        </row>
        <row r="13188">
          <cell r="A13188" t="str">
            <v>2621Q417</v>
          </cell>
          <cell r="D13188" t="str">
            <v>KBP52</v>
          </cell>
          <cell r="E13188">
            <v>46176</v>
          </cell>
        </row>
        <row r="13189">
          <cell r="A13189" t="str">
            <v>2621AZ27</v>
          </cell>
          <cell r="D13189" t="str">
            <v>KBP126</v>
          </cell>
          <cell r="E13189">
            <v>46176</v>
          </cell>
        </row>
        <row r="13190">
          <cell r="A13190" t="str">
            <v>2621IH27</v>
          </cell>
          <cell r="D13190" t="str">
            <v>FTW121KR</v>
          </cell>
          <cell r="E13190">
            <v>46176</v>
          </cell>
        </row>
        <row r="13191">
          <cell r="A13191" t="str">
            <v>2620KX27</v>
          </cell>
          <cell r="D13191" t="str">
            <v>KBP86</v>
          </cell>
          <cell r="E13191">
            <v>46176</v>
          </cell>
        </row>
        <row r="13192">
          <cell r="A13192" t="str">
            <v>2621AW27</v>
          </cell>
          <cell r="D13192" t="str">
            <v>KBP126</v>
          </cell>
          <cell r="E13192">
            <v>46176</v>
          </cell>
        </row>
        <row r="13193">
          <cell r="A13193" t="str">
            <v>2615DJ10</v>
          </cell>
          <cell r="D13193" t="str">
            <v>TTS125</v>
          </cell>
          <cell r="E13193">
            <v>46176</v>
          </cell>
        </row>
        <row r="13194">
          <cell r="A13194" t="str">
            <v>2621HJ47</v>
          </cell>
          <cell r="D13194" t="str">
            <v>KBP126</v>
          </cell>
          <cell r="E13194">
            <v>46176</v>
          </cell>
        </row>
        <row r="13195">
          <cell r="A13195" t="str">
            <v>2620LE27</v>
          </cell>
          <cell r="D13195" t="str">
            <v>KBP86</v>
          </cell>
          <cell r="E13195">
            <v>46176</v>
          </cell>
        </row>
        <row r="13196">
          <cell r="A13196" t="str">
            <v>2619A957</v>
          </cell>
          <cell r="D13196" t="str">
            <v>FTW102K</v>
          </cell>
          <cell r="E13196">
            <v>46176</v>
          </cell>
        </row>
        <row r="13197">
          <cell r="A13197" t="str">
            <v>2616GR47</v>
          </cell>
          <cell r="D13197" t="str">
            <v>TTS50</v>
          </cell>
          <cell r="E13197">
            <v>46176</v>
          </cell>
        </row>
        <row r="13198">
          <cell r="A13198" t="str">
            <v>2620WE57</v>
          </cell>
          <cell r="D13198" t="str">
            <v>FTW121KR</v>
          </cell>
          <cell r="E13198">
            <v>46176</v>
          </cell>
        </row>
        <row r="13199">
          <cell r="A13199" t="str">
            <v>2618JD57</v>
          </cell>
          <cell r="D13199" t="str">
            <v>FTW102K</v>
          </cell>
          <cell r="E13199">
            <v>46176</v>
          </cell>
        </row>
        <row r="13200">
          <cell r="A13200" t="str">
            <v>2621HQ27</v>
          </cell>
          <cell r="D13200" t="str">
            <v>FTW121KR</v>
          </cell>
          <cell r="E13200">
            <v>46176</v>
          </cell>
        </row>
        <row r="13201">
          <cell r="A13201" t="str">
            <v>2621LF17</v>
          </cell>
          <cell r="D13201" t="str">
            <v>S706</v>
          </cell>
          <cell r="E13201">
            <v>46176</v>
          </cell>
        </row>
        <row r="13202">
          <cell r="A13202" t="str">
            <v>2621J737</v>
          </cell>
          <cell r="D13202" t="str">
            <v>KBP126</v>
          </cell>
          <cell r="E13202">
            <v>46176</v>
          </cell>
        </row>
        <row r="13203">
          <cell r="A13203" t="str">
            <v>2618HT17</v>
          </cell>
          <cell r="D13203" t="str">
            <v>FTW503</v>
          </cell>
          <cell r="E13203">
            <v>46176</v>
          </cell>
        </row>
        <row r="13204">
          <cell r="A13204" t="str">
            <v>2620OA37</v>
          </cell>
          <cell r="D13204" t="str">
            <v>KBP86</v>
          </cell>
          <cell r="E13204">
            <v>46176</v>
          </cell>
        </row>
        <row r="13205">
          <cell r="A13205" t="str">
            <v>2616OV57</v>
          </cell>
          <cell r="D13205" t="str">
            <v>FTW503</v>
          </cell>
          <cell r="E13205">
            <v>46176</v>
          </cell>
        </row>
        <row r="13206">
          <cell r="A13206" t="str">
            <v>2617L727</v>
          </cell>
          <cell r="D13206" t="str">
            <v>FTW503</v>
          </cell>
          <cell r="E13206">
            <v>46176</v>
          </cell>
        </row>
        <row r="13207">
          <cell r="A13207" t="str">
            <v>2620GB57</v>
          </cell>
          <cell r="D13207" t="str">
            <v>S706</v>
          </cell>
          <cell r="E13207">
            <v>46176</v>
          </cell>
        </row>
        <row r="13208">
          <cell r="A13208" t="str">
            <v>2606HD27</v>
          </cell>
          <cell r="D13208" t="str">
            <v>FTP150</v>
          </cell>
          <cell r="E13208">
            <v>46176</v>
          </cell>
        </row>
        <row r="13209">
          <cell r="A13209" t="str">
            <v>2613BX27</v>
          </cell>
          <cell r="D13209" t="str">
            <v>FTW503</v>
          </cell>
          <cell r="E13209">
            <v>46176</v>
          </cell>
        </row>
        <row r="13210">
          <cell r="A13210" t="str">
            <v>2618HZ17</v>
          </cell>
          <cell r="D13210" t="str">
            <v>FTW503</v>
          </cell>
          <cell r="E13210">
            <v>46176</v>
          </cell>
        </row>
        <row r="13211">
          <cell r="A13211" t="str">
            <v>2606HK27</v>
          </cell>
          <cell r="D13211" t="str">
            <v>FTP150</v>
          </cell>
          <cell r="E13211">
            <v>46176</v>
          </cell>
        </row>
        <row r="13212">
          <cell r="A13212" t="str">
            <v>2617IL17</v>
          </cell>
          <cell r="D13212" t="str">
            <v>FTW503</v>
          </cell>
          <cell r="E13212">
            <v>46176</v>
          </cell>
        </row>
        <row r="13213">
          <cell r="A13213" t="str">
            <v>2621K237</v>
          </cell>
          <cell r="D13213" t="str">
            <v>FTW121KR</v>
          </cell>
          <cell r="E13213">
            <v>46176</v>
          </cell>
        </row>
        <row r="13214">
          <cell r="A13214" t="str">
            <v>2620KD37</v>
          </cell>
          <cell r="D13214" t="str">
            <v>FTW121KE</v>
          </cell>
          <cell r="E13214">
            <v>46176</v>
          </cell>
        </row>
        <row r="13215">
          <cell r="A13215" t="str">
            <v>2620CL47</v>
          </cell>
          <cell r="D13215" t="str">
            <v>KBP86</v>
          </cell>
          <cell r="E13215">
            <v>46176</v>
          </cell>
        </row>
        <row r="13216">
          <cell r="A13216" t="str">
            <v>2620WF57</v>
          </cell>
          <cell r="D13216" t="str">
            <v>FTW121KE</v>
          </cell>
          <cell r="E13216">
            <v>46176</v>
          </cell>
        </row>
        <row r="13217">
          <cell r="A13217" t="str">
            <v>2621K537</v>
          </cell>
          <cell r="D13217" t="str">
            <v>FTW121KE</v>
          </cell>
          <cell r="E13217">
            <v>46176</v>
          </cell>
        </row>
        <row r="13218">
          <cell r="A13218" t="str">
            <v>2621PU17</v>
          </cell>
          <cell r="D13218" t="str">
            <v>FTW102K</v>
          </cell>
          <cell r="E13218">
            <v>46176</v>
          </cell>
        </row>
        <row r="13219">
          <cell r="A13219" t="str">
            <v>2620DC67</v>
          </cell>
          <cell r="D13219" t="str">
            <v>TTS80</v>
          </cell>
          <cell r="E13219">
            <v>46176</v>
          </cell>
        </row>
        <row r="13220">
          <cell r="A13220" t="str">
            <v>2613EA27</v>
          </cell>
          <cell r="D13220" t="str">
            <v>FTW102K</v>
          </cell>
          <cell r="E13220">
            <v>46176</v>
          </cell>
        </row>
        <row r="13221">
          <cell r="A13221" t="str">
            <v>2617FI37</v>
          </cell>
          <cell r="D13221" t="str">
            <v>FTW503</v>
          </cell>
          <cell r="E13221">
            <v>46176</v>
          </cell>
        </row>
        <row r="13222">
          <cell r="A13222" t="str">
            <v>2618GY27</v>
          </cell>
          <cell r="D13222" t="str">
            <v>FTW503</v>
          </cell>
          <cell r="E13222">
            <v>46176</v>
          </cell>
        </row>
        <row r="13223">
          <cell r="A13223" t="str">
            <v>2608QS27</v>
          </cell>
          <cell r="D13223" t="str">
            <v>KBP76</v>
          </cell>
          <cell r="E13223">
            <v>46176</v>
          </cell>
        </row>
        <row r="13224">
          <cell r="A13224" t="str">
            <v>2616OW57</v>
          </cell>
          <cell r="D13224" t="str">
            <v>FTW503</v>
          </cell>
          <cell r="E13224">
            <v>46176</v>
          </cell>
        </row>
        <row r="13225">
          <cell r="A13225" t="str">
            <v>2620QE37</v>
          </cell>
          <cell r="D13225" t="str">
            <v>FTP200</v>
          </cell>
          <cell r="E13225">
            <v>46176</v>
          </cell>
        </row>
        <row r="13226">
          <cell r="A13226" t="str">
            <v>2620IM57</v>
          </cell>
          <cell r="D13226" t="str">
            <v>FTP200</v>
          </cell>
          <cell r="E13226">
            <v>46176</v>
          </cell>
        </row>
        <row r="13227">
          <cell r="A13227" t="str">
            <v>2620XD57</v>
          </cell>
          <cell r="D13227" t="str">
            <v>KBP86</v>
          </cell>
          <cell r="E13227">
            <v>46176</v>
          </cell>
        </row>
        <row r="13228">
          <cell r="A13228" t="str">
            <v>2620ZY17</v>
          </cell>
          <cell r="D13228" t="str">
            <v>KBP86</v>
          </cell>
          <cell r="E13228">
            <v>46176</v>
          </cell>
        </row>
        <row r="13229">
          <cell r="A13229" t="str">
            <v>2620WN57</v>
          </cell>
          <cell r="D13229" t="str">
            <v>FTW121KR</v>
          </cell>
          <cell r="E13229">
            <v>46176</v>
          </cell>
        </row>
        <row r="13230">
          <cell r="A13230" t="str">
            <v>2610EB67</v>
          </cell>
          <cell r="D13230" t="str">
            <v>KBP76</v>
          </cell>
          <cell r="E13230">
            <v>46176</v>
          </cell>
        </row>
        <row r="13231">
          <cell r="A13231" t="str">
            <v>2620AX47</v>
          </cell>
          <cell r="D13231" t="str">
            <v>S706</v>
          </cell>
          <cell r="E13231">
            <v>46176</v>
          </cell>
        </row>
        <row r="13232">
          <cell r="A13232" t="str">
            <v>2616P257</v>
          </cell>
          <cell r="D13232" t="str">
            <v>FTW503</v>
          </cell>
          <cell r="E13232">
            <v>46176</v>
          </cell>
        </row>
        <row r="13233">
          <cell r="A13233" t="str">
            <v>2620QT37</v>
          </cell>
          <cell r="D13233" t="str">
            <v>TTS80</v>
          </cell>
          <cell r="E13233">
            <v>46176</v>
          </cell>
        </row>
        <row r="13234">
          <cell r="A13234" t="str">
            <v>2620SB57</v>
          </cell>
          <cell r="D13234" t="str">
            <v>KBP86</v>
          </cell>
          <cell r="E13234">
            <v>46176</v>
          </cell>
        </row>
        <row r="13235">
          <cell r="A13235" t="str">
            <v>2621OI37</v>
          </cell>
          <cell r="D13235" t="str">
            <v>FTW400</v>
          </cell>
          <cell r="E13235">
            <v>46176</v>
          </cell>
        </row>
        <row r="13236">
          <cell r="A13236" t="str">
            <v>2621KU17</v>
          </cell>
          <cell r="D13236" t="str">
            <v>KBP86</v>
          </cell>
          <cell r="E13236">
            <v>46176</v>
          </cell>
        </row>
        <row r="13237">
          <cell r="A13237" t="str">
            <v>2620GV57</v>
          </cell>
          <cell r="D13237" t="str">
            <v>FTW121KR</v>
          </cell>
          <cell r="E13237">
            <v>46176</v>
          </cell>
        </row>
        <row r="13238">
          <cell r="A13238" t="str">
            <v>2619AC57</v>
          </cell>
          <cell r="D13238" t="str">
            <v>FTW102K</v>
          </cell>
          <cell r="E13238">
            <v>46176</v>
          </cell>
        </row>
        <row r="13239">
          <cell r="A13239" t="str">
            <v>2620SH57</v>
          </cell>
          <cell r="D13239" t="str">
            <v>KBP86</v>
          </cell>
          <cell r="E13239">
            <v>46176</v>
          </cell>
        </row>
        <row r="13240">
          <cell r="A13240" t="str">
            <v>2620AP67</v>
          </cell>
          <cell r="D13240" t="str">
            <v>KBP52</v>
          </cell>
          <cell r="E13240">
            <v>46176</v>
          </cell>
        </row>
        <row r="13241">
          <cell r="A13241" t="str">
            <v>2618HC37</v>
          </cell>
          <cell r="D13241" t="str">
            <v>FTW503</v>
          </cell>
          <cell r="E13241">
            <v>46176</v>
          </cell>
        </row>
        <row r="13242">
          <cell r="A13242" t="str">
            <v>2620DL67</v>
          </cell>
          <cell r="D13242" t="str">
            <v>TTS80</v>
          </cell>
          <cell r="E13242">
            <v>46176</v>
          </cell>
        </row>
        <row r="13243">
          <cell r="A13243" t="str">
            <v>2620DH67</v>
          </cell>
          <cell r="D13243" t="str">
            <v>TTS80</v>
          </cell>
          <cell r="E13243">
            <v>46176</v>
          </cell>
        </row>
        <row r="13244">
          <cell r="A13244" t="str">
            <v>2621HN27</v>
          </cell>
          <cell r="D13244" t="str">
            <v>FTW121KR</v>
          </cell>
          <cell r="E13244">
            <v>46176</v>
          </cell>
        </row>
        <row r="13245">
          <cell r="A13245" t="str">
            <v>2620OJ57</v>
          </cell>
          <cell r="D13245" t="str">
            <v>KBP126</v>
          </cell>
          <cell r="E13245">
            <v>46176</v>
          </cell>
        </row>
        <row r="13246">
          <cell r="A13246" t="str">
            <v>2619YT57</v>
          </cell>
          <cell r="D13246" t="str">
            <v>KBP86</v>
          </cell>
          <cell r="E13246">
            <v>46176</v>
          </cell>
        </row>
        <row r="13247">
          <cell r="A13247" t="str">
            <v>2620SO57</v>
          </cell>
          <cell r="D13247" t="str">
            <v>KBP86</v>
          </cell>
          <cell r="E13247">
            <v>46176</v>
          </cell>
        </row>
        <row r="13248">
          <cell r="A13248" t="str">
            <v>2620WS57</v>
          </cell>
          <cell r="D13248" t="str">
            <v>FTW121KR</v>
          </cell>
          <cell r="E13248">
            <v>46176</v>
          </cell>
        </row>
        <row r="13249">
          <cell r="A13249" t="str">
            <v>2621PW47</v>
          </cell>
          <cell r="D13249" t="str">
            <v>KBP55</v>
          </cell>
          <cell r="E13249">
            <v>46176</v>
          </cell>
        </row>
        <row r="13250">
          <cell r="A13250" t="str">
            <v>2617IM17</v>
          </cell>
          <cell r="D13250" t="str">
            <v>FTW503</v>
          </cell>
          <cell r="E13250">
            <v>46176</v>
          </cell>
        </row>
        <row r="13251">
          <cell r="A13251" t="str">
            <v>2619AD57</v>
          </cell>
          <cell r="D13251" t="str">
            <v>FTW102K</v>
          </cell>
          <cell r="E13251">
            <v>46176</v>
          </cell>
        </row>
        <row r="13252">
          <cell r="A13252" t="str">
            <v>2620J927</v>
          </cell>
          <cell r="D13252" t="str">
            <v>TTS50</v>
          </cell>
          <cell r="E13252">
            <v>46176</v>
          </cell>
        </row>
        <row r="13253">
          <cell r="A13253" t="str">
            <v>2621UE17</v>
          </cell>
          <cell r="D13253" t="str">
            <v>KBP86</v>
          </cell>
          <cell r="E13253">
            <v>46176</v>
          </cell>
        </row>
        <row r="13254">
          <cell r="A13254" t="str">
            <v>2620OI57</v>
          </cell>
          <cell r="D13254" t="str">
            <v>KBP126</v>
          </cell>
          <cell r="E13254">
            <v>46176</v>
          </cell>
        </row>
        <row r="13255">
          <cell r="A13255" t="str">
            <v>2620C537</v>
          </cell>
          <cell r="D13255" t="str">
            <v>KBP126</v>
          </cell>
          <cell r="E13255">
            <v>46176</v>
          </cell>
        </row>
        <row r="13256">
          <cell r="A13256" t="str">
            <v>2621J127</v>
          </cell>
          <cell r="D13256" t="str">
            <v>KBP86</v>
          </cell>
          <cell r="E13256">
            <v>46176</v>
          </cell>
        </row>
        <row r="13257">
          <cell r="A13257" t="str">
            <v>2619Q257</v>
          </cell>
          <cell r="D13257" t="str">
            <v>KBP76</v>
          </cell>
          <cell r="E13257">
            <v>46176</v>
          </cell>
        </row>
        <row r="13258">
          <cell r="A13258" t="str">
            <v>2620CQ27</v>
          </cell>
          <cell r="D13258" t="str">
            <v>KBP126</v>
          </cell>
          <cell r="E13258">
            <v>46176</v>
          </cell>
        </row>
        <row r="13259">
          <cell r="A13259" t="str">
            <v>2620JK57</v>
          </cell>
          <cell r="D13259" t="str">
            <v>KBP55</v>
          </cell>
          <cell r="E13259">
            <v>46176</v>
          </cell>
        </row>
        <row r="13260">
          <cell r="A13260" t="str">
            <v>2621IU37</v>
          </cell>
          <cell r="D13260" t="str">
            <v>S706</v>
          </cell>
          <cell r="E13260">
            <v>46176</v>
          </cell>
        </row>
        <row r="13261">
          <cell r="A13261" t="str">
            <v>2621JQ37</v>
          </cell>
          <cell r="D13261" t="str">
            <v>FTW121KR</v>
          </cell>
          <cell r="E13261">
            <v>46176</v>
          </cell>
        </row>
        <row r="13262">
          <cell r="A13262" t="str">
            <v>2620AK67</v>
          </cell>
          <cell r="D13262" t="str">
            <v>KBP52</v>
          </cell>
          <cell r="E13262">
            <v>46176</v>
          </cell>
        </row>
        <row r="13263">
          <cell r="A13263" t="str">
            <v>2621OZ17</v>
          </cell>
          <cell r="D13263" t="str">
            <v>FTW121KR</v>
          </cell>
          <cell r="E13263">
            <v>46176</v>
          </cell>
        </row>
        <row r="13264">
          <cell r="A13264" t="str">
            <v>2621HU27</v>
          </cell>
          <cell r="D13264" t="str">
            <v>FTW121KR</v>
          </cell>
          <cell r="E13264">
            <v>46176</v>
          </cell>
        </row>
        <row r="13265">
          <cell r="A13265" t="str">
            <v>2621JW37</v>
          </cell>
          <cell r="D13265" t="str">
            <v>FTW121KR</v>
          </cell>
          <cell r="E13265">
            <v>46176</v>
          </cell>
        </row>
        <row r="13266">
          <cell r="A13266" t="str">
            <v>2619WI27</v>
          </cell>
          <cell r="D13266" t="str">
            <v>TTS50</v>
          </cell>
          <cell r="E13266">
            <v>46176</v>
          </cell>
        </row>
        <row r="13267">
          <cell r="A13267" t="str">
            <v>2619QL17</v>
          </cell>
          <cell r="D13267" t="str">
            <v>TTS50</v>
          </cell>
          <cell r="E13267">
            <v>46176</v>
          </cell>
        </row>
        <row r="13268">
          <cell r="A13268" t="str">
            <v>2619QJ17</v>
          </cell>
          <cell r="D13268" t="str">
            <v>TTS50</v>
          </cell>
          <cell r="E13268">
            <v>46176</v>
          </cell>
        </row>
        <row r="13269">
          <cell r="A13269" t="str">
            <v>2616HC57</v>
          </cell>
          <cell r="D13269" t="str">
            <v>STA156KA</v>
          </cell>
          <cell r="E13269">
            <v>46175</v>
          </cell>
        </row>
        <row r="13270">
          <cell r="A13270" t="str">
            <v>2616Z757</v>
          </cell>
          <cell r="D13270" t="str">
            <v>KBP86</v>
          </cell>
          <cell r="E13270">
            <v>46175</v>
          </cell>
        </row>
        <row r="13271">
          <cell r="A13271" t="str">
            <v>2618I317</v>
          </cell>
          <cell r="D13271" t="str">
            <v>FTW503</v>
          </cell>
          <cell r="E13271">
            <v>46175</v>
          </cell>
        </row>
        <row r="13272">
          <cell r="A13272" t="str">
            <v>2616I527</v>
          </cell>
          <cell r="D13272" t="str">
            <v>TTS50</v>
          </cell>
          <cell r="E13272">
            <v>46175</v>
          </cell>
        </row>
        <row r="13273">
          <cell r="A13273" t="str">
            <v>2617OJ57</v>
          </cell>
          <cell r="D13273" t="str">
            <v>FTW503</v>
          </cell>
          <cell r="E13273">
            <v>46175</v>
          </cell>
        </row>
        <row r="13274">
          <cell r="A13274" t="str">
            <v>2617Y117</v>
          </cell>
          <cell r="D13274" t="str">
            <v>KBP86</v>
          </cell>
          <cell r="E13274">
            <v>46175</v>
          </cell>
        </row>
        <row r="13275">
          <cell r="A13275" t="str">
            <v>2618I117</v>
          </cell>
          <cell r="D13275" t="str">
            <v>FTW503</v>
          </cell>
          <cell r="E13275">
            <v>46175</v>
          </cell>
        </row>
        <row r="13276">
          <cell r="A13276" t="str">
            <v>2621Q517</v>
          </cell>
          <cell r="D13276" t="str">
            <v>KBP52</v>
          </cell>
          <cell r="E13276">
            <v>46175</v>
          </cell>
        </row>
        <row r="13277">
          <cell r="A13277" t="str">
            <v>2621OQ17</v>
          </cell>
          <cell r="D13277" t="str">
            <v>FTW121KE</v>
          </cell>
          <cell r="E13277">
            <v>46175</v>
          </cell>
        </row>
        <row r="13278">
          <cell r="A13278" t="str">
            <v>2621OK17</v>
          </cell>
          <cell r="D13278" t="str">
            <v>FTW121KE</v>
          </cell>
          <cell r="E13278">
            <v>46175</v>
          </cell>
        </row>
        <row r="13279">
          <cell r="A13279" t="str">
            <v>2615JE57</v>
          </cell>
          <cell r="D13279" t="str">
            <v>KBP86</v>
          </cell>
          <cell r="E13279">
            <v>46175</v>
          </cell>
        </row>
        <row r="13280">
          <cell r="A13280" t="str">
            <v>2620VU57</v>
          </cell>
          <cell r="D13280" t="str">
            <v>FTW121KR</v>
          </cell>
          <cell r="E13280">
            <v>46175</v>
          </cell>
        </row>
        <row r="13281">
          <cell r="A13281" t="str">
            <v>2621EP67</v>
          </cell>
          <cell r="D13281" t="str">
            <v>S706</v>
          </cell>
          <cell r="E13281">
            <v>46175</v>
          </cell>
        </row>
        <row r="13282">
          <cell r="A13282" t="str">
            <v>2617IQ17</v>
          </cell>
          <cell r="D13282" t="str">
            <v>FTW503</v>
          </cell>
          <cell r="E13282">
            <v>46175</v>
          </cell>
        </row>
        <row r="13283">
          <cell r="A13283" t="str">
            <v>2616OR57</v>
          </cell>
          <cell r="D13283" t="str">
            <v>FTW503</v>
          </cell>
          <cell r="E13283">
            <v>46175</v>
          </cell>
        </row>
        <row r="13284">
          <cell r="A13284" t="str">
            <v>2621LQ37</v>
          </cell>
          <cell r="D13284" t="str">
            <v>S706</v>
          </cell>
          <cell r="E13284">
            <v>46175</v>
          </cell>
        </row>
        <row r="13285">
          <cell r="A13285" t="str">
            <v>2618I117</v>
          </cell>
          <cell r="D13285" t="str">
            <v>FTW503</v>
          </cell>
          <cell r="E13285">
            <v>46175</v>
          </cell>
        </row>
        <row r="13286">
          <cell r="A13286" t="str">
            <v>2617L527</v>
          </cell>
          <cell r="D13286" t="str">
            <v>FTW503</v>
          </cell>
          <cell r="E13286">
            <v>46175</v>
          </cell>
        </row>
        <row r="13287">
          <cell r="A13287" t="str">
            <v>2621P147</v>
          </cell>
          <cell r="D13287" t="str">
            <v>KBP52</v>
          </cell>
          <cell r="E13287">
            <v>46175</v>
          </cell>
        </row>
        <row r="13288">
          <cell r="A13288" t="str">
            <v>2621IX67</v>
          </cell>
          <cell r="D13288" t="str">
            <v>TTS80</v>
          </cell>
          <cell r="E13288">
            <v>46175</v>
          </cell>
        </row>
        <row r="13289">
          <cell r="A13289" t="str">
            <v>2620UN57</v>
          </cell>
          <cell r="D13289" t="str">
            <v>S706</v>
          </cell>
          <cell r="E13289">
            <v>46175</v>
          </cell>
        </row>
        <row r="13290">
          <cell r="A13290" t="str">
            <v>2613ER37</v>
          </cell>
          <cell r="D13290" t="str">
            <v>FTW503</v>
          </cell>
          <cell r="E13290">
            <v>46175</v>
          </cell>
        </row>
        <row r="13291">
          <cell r="A13291" t="str">
            <v>2620J557</v>
          </cell>
          <cell r="D13291" t="str">
            <v>KBP76</v>
          </cell>
          <cell r="E13291">
            <v>46175</v>
          </cell>
        </row>
        <row r="13292">
          <cell r="A13292" t="str">
            <v>2620C267</v>
          </cell>
          <cell r="D13292" t="str">
            <v>KBP76</v>
          </cell>
          <cell r="E13292">
            <v>46175</v>
          </cell>
        </row>
        <row r="13293">
          <cell r="A13293" t="str">
            <v>2620CR27</v>
          </cell>
          <cell r="D13293" t="str">
            <v>KBP126</v>
          </cell>
          <cell r="E13293">
            <v>46175</v>
          </cell>
        </row>
        <row r="13294">
          <cell r="A13294" t="str">
            <v>2610IS37</v>
          </cell>
          <cell r="D13294" t="str">
            <v>FTW700</v>
          </cell>
          <cell r="E13294">
            <v>46175</v>
          </cell>
        </row>
        <row r="13295">
          <cell r="A13295" t="str">
            <v>2613KD47</v>
          </cell>
          <cell r="D13295" t="str">
            <v>KBP52</v>
          </cell>
          <cell r="E13295">
            <v>46175</v>
          </cell>
        </row>
        <row r="13296">
          <cell r="A13296" t="str">
            <v>2620S257</v>
          </cell>
          <cell r="D13296" t="str">
            <v>KBP86</v>
          </cell>
          <cell r="E13296">
            <v>46175</v>
          </cell>
        </row>
        <row r="13297">
          <cell r="A13297" t="str">
            <v>2607IM47</v>
          </cell>
          <cell r="D13297" t="str">
            <v>FTP150</v>
          </cell>
          <cell r="E13297">
            <v>46175</v>
          </cell>
        </row>
        <row r="13298">
          <cell r="A13298" t="str">
            <v>2621OE17</v>
          </cell>
          <cell r="D13298" t="str">
            <v>FTW121KR</v>
          </cell>
          <cell r="E13298">
            <v>46175</v>
          </cell>
        </row>
        <row r="13299">
          <cell r="A13299" t="str">
            <v>2621OL17</v>
          </cell>
          <cell r="D13299" t="str">
            <v>FTW121KR</v>
          </cell>
          <cell r="E13299">
            <v>46175</v>
          </cell>
        </row>
        <row r="13300">
          <cell r="A13300" t="str">
            <v>2620ST57</v>
          </cell>
          <cell r="D13300" t="str">
            <v>KBP126</v>
          </cell>
          <cell r="E13300">
            <v>46175</v>
          </cell>
        </row>
        <row r="13301">
          <cell r="A13301" t="str">
            <v>2620DN67</v>
          </cell>
          <cell r="D13301" t="str">
            <v>TTS80</v>
          </cell>
          <cell r="E13301">
            <v>46175</v>
          </cell>
        </row>
        <row r="13302">
          <cell r="A13302" t="str">
            <v>2617IO17</v>
          </cell>
          <cell r="D13302" t="str">
            <v>FTW503</v>
          </cell>
          <cell r="E13302">
            <v>46175</v>
          </cell>
        </row>
        <row r="13303">
          <cell r="A13303" t="str">
            <v>2621OH17</v>
          </cell>
          <cell r="D13303" t="str">
            <v>FTW121KR</v>
          </cell>
          <cell r="E13303">
            <v>46175</v>
          </cell>
        </row>
        <row r="13304">
          <cell r="A13304" t="str">
            <v>2621AY27</v>
          </cell>
          <cell r="D13304" t="str">
            <v>KBP126</v>
          </cell>
          <cell r="E13304">
            <v>46175</v>
          </cell>
        </row>
        <row r="13305">
          <cell r="A13305" t="str">
            <v>2620JT67</v>
          </cell>
          <cell r="D13305" t="str">
            <v>TTS80</v>
          </cell>
          <cell r="E13305">
            <v>46175</v>
          </cell>
        </row>
        <row r="13306">
          <cell r="A13306" t="str">
            <v>2621JS27</v>
          </cell>
          <cell r="D13306" t="str">
            <v>KBP86</v>
          </cell>
          <cell r="E13306">
            <v>46175</v>
          </cell>
        </row>
        <row r="13307">
          <cell r="A13307" t="str">
            <v>2620GA57</v>
          </cell>
          <cell r="D13307" t="str">
            <v>S706</v>
          </cell>
          <cell r="E13307">
            <v>46175</v>
          </cell>
        </row>
        <row r="13308">
          <cell r="A13308" t="str">
            <v>2619U657</v>
          </cell>
          <cell r="D13308" t="str">
            <v>KBP126</v>
          </cell>
          <cell r="E13308">
            <v>46175</v>
          </cell>
        </row>
        <row r="13309">
          <cell r="A13309" t="str">
            <v>2621KM37</v>
          </cell>
          <cell r="D13309" t="str">
            <v>KBP86</v>
          </cell>
          <cell r="E13309">
            <v>46175</v>
          </cell>
        </row>
        <row r="13310">
          <cell r="A13310" t="str">
            <v>2619YO57</v>
          </cell>
          <cell r="D13310" t="str">
            <v>KBP86</v>
          </cell>
          <cell r="E13310">
            <v>46175</v>
          </cell>
        </row>
        <row r="13311">
          <cell r="A13311" t="str">
            <v>2621OV17</v>
          </cell>
          <cell r="D13311" t="str">
            <v>FTW121KR</v>
          </cell>
          <cell r="E13311">
            <v>46175</v>
          </cell>
        </row>
        <row r="13312">
          <cell r="A13312" t="str">
            <v>2620G957</v>
          </cell>
          <cell r="D13312" t="str">
            <v>S706</v>
          </cell>
          <cell r="E13312">
            <v>46175</v>
          </cell>
        </row>
        <row r="13313">
          <cell r="A13313" t="str">
            <v>2621LD37</v>
          </cell>
          <cell r="D13313" t="str">
            <v>KBP86</v>
          </cell>
          <cell r="E13313">
            <v>46175</v>
          </cell>
        </row>
        <row r="13314">
          <cell r="A13314" t="str">
            <v>2621O447</v>
          </cell>
          <cell r="D13314" t="str">
            <v>KBP86</v>
          </cell>
          <cell r="E13314">
            <v>46175</v>
          </cell>
        </row>
        <row r="13315">
          <cell r="A13315" t="str">
            <v>2621OD17</v>
          </cell>
          <cell r="D13315" t="str">
            <v>FTW121KR</v>
          </cell>
          <cell r="E13315">
            <v>46175</v>
          </cell>
        </row>
        <row r="13316">
          <cell r="A13316" t="str">
            <v>2617IX47</v>
          </cell>
          <cell r="D13316" t="str">
            <v>FTW503</v>
          </cell>
          <cell r="E13316">
            <v>46175</v>
          </cell>
        </row>
        <row r="13317">
          <cell r="A13317" t="str">
            <v>2621HG27</v>
          </cell>
          <cell r="D13317" t="str">
            <v>FTW121KR</v>
          </cell>
          <cell r="E13317">
            <v>46175</v>
          </cell>
        </row>
        <row r="13318">
          <cell r="A13318" t="str">
            <v>2613BJ27</v>
          </cell>
          <cell r="D13318" t="str">
            <v>FTW503</v>
          </cell>
          <cell r="E13318">
            <v>46175</v>
          </cell>
        </row>
        <row r="13319">
          <cell r="A13319" t="str">
            <v>2620EL17</v>
          </cell>
          <cell r="D13319" t="str">
            <v>KBP126</v>
          </cell>
          <cell r="E13319">
            <v>46175</v>
          </cell>
        </row>
        <row r="13320">
          <cell r="A13320" t="str">
            <v>2616ON57</v>
          </cell>
          <cell r="D13320" t="str">
            <v>FTW503</v>
          </cell>
          <cell r="E13320">
            <v>46175</v>
          </cell>
        </row>
        <row r="13321">
          <cell r="A13321" t="str">
            <v>2621P817</v>
          </cell>
          <cell r="D13321" t="str">
            <v>KBP86</v>
          </cell>
          <cell r="E13321">
            <v>46175</v>
          </cell>
        </row>
        <row r="13322">
          <cell r="A13322" t="str">
            <v>2621PL17</v>
          </cell>
          <cell r="D13322" t="str">
            <v>KBP86</v>
          </cell>
          <cell r="E13322">
            <v>46175</v>
          </cell>
        </row>
        <row r="13323">
          <cell r="A13323" t="str">
            <v>2617OJ57</v>
          </cell>
          <cell r="D13323" t="str">
            <v>FTW503</v>
          </cell>
          <cell r="E13323">
            <v>46175</v>
          </cell>
        </row>
        <row r="13324">
          <cell r="A13324" t="str">
            <v>2621OM17</v>
          </cell>
          <cell r="D13324" t="str">
            <v>FTW121KR</v>
          </cell>
          <cell r="E13324">
            <v>46175</v>
          </cell>
        </row>
        <row r="13325">
          <cell r="A13325" t="str">
            <v>2621OY17</v>
          </cell>
          <cell r="D13325" t="str">
            <v>FTW121KR</v>
          </cell>
          <cell r="E13325">
            <v>46175</v>
          </cell>
        </row>
        <row r="13326">
          <cell r="A13326" t="str">
            <v>2621PW27</v>
          </cell>
          <cell r="D13326" t="str">
            <v>KBP55</v>
          </cell>
          <cell r="E13326">
            <v>46175</v>
          </cell>
        </row>
        <row r="13327">
          <cell r="A13327" t="str">
            <v>2620VY57</v>
          </cell>
          <cell r="D13327" t="str">
            <v>FTW121KR</v>
          </cell>
          <cell r="E13327">
            <v>46175</v>
          </cell>
        </row>
        <row r="13328">
          <cell r="A13328" t="str">
            <v>2620DE67</v>
          </cell>
          <cell r="D13328" t="str">
            <v>TTS80</v>
          </cell>
          <cell r="E13328">
            <v>46175</v>
          </cell>
        </row>
        <row r="13329">
          <cell r="A13329" t="str">
            <v>2616D747</v>
          </cell>
          <cell r="D13329" t="str">
            <v>STA156KA</v>
          </cell>
          <cell r="E13329">
            <v>46175</v>
          </cell>
        </row>
        <row r="13330">
          <cell r="A13330" t="str">
            <v>2620DX67</v>
          </cell>
          <cell r="D13330" t="str">
            <v>KBP86</v>
          </cell>
          <cell r="E13330">
            <v>46175</v>
          </cell>
        </row>
        <row r="13331">
          <cell r="A13331" t="str">
            <v>2620BQ47</v>
          </cell>
          <cell r="D13331" t="str">
            <v>FTW121KR</v>
          </cell>
          <cell r="E13331">
            <v>46175</v>
          </cell>
        </row>
        <row r="13332">
          <cell r="A13332" t="str">
            <v>2620HJ57</v>
          </cell>
          <cell r="D13332" t="str">
            <v>KBP86</v>
          </cell>
          <cell r="E13332">
            <v>46175</v>
          </cell>
        </row>
        <row r="13333">
          <cell r="A13333" t="str">
            <v>2618HR17</v>
          </cell>
          <cell r="D13333" t="str">
            <v>FTW503</v>
          </cell>
          <cell r="E13333">
            <v>46175</v>
          </cell>
        </row>
        <row r="13334">
          <cell r="A13334" t="str">
            <v>2613BA27</v>
          </cell>
          <cell r="D13334" t="str">
            <v>FTW503</v>
          </cell>
          <cell r="E13334">
            <v>46175</v>
          </cell>
        </row>
        <row r="13335">
          <cell r="A13335" t="str">
            <v>2620P857</v>
          </cell>
          <cell r="D13335" t="str">
            <v>S15MB</v>
          </cell>
          <cell r="E13335">
            <v>46175</v>
          </cell>
        </row>
        <row r="13336">
          <cell r="A13336" t="str">
            <v>2620EL40</v>
          </cell>
          <cell r="D13336" t="str">
            <v>TTS125</v>
          </cell>
          <cell r="E13336">
            <v>46175</v>
          </cell>
        </row>
        <row r="13337">
          <cell r="A13337" t="str">
            <v>2621F767</v>
          </cell>
          <cell r="D13337" t="str">
            <v>S706</v>
          </cell>
          <cell r="E13337">
            <v>46175</v>
          </cell>
        </row>
        <row r="13338">
          <cell r="A13338" t="str">
            <v>2610PL37</v>
          </cell>
          <cell r="D13338" t="str">
            <v>KBP76</v>
          </cell>
          <cell r="E13338">
            <v>46175</v>
          </cell>
        </row>
        <row r="13339">
          <cell r="A13339" t="str">
            <v>2620WV57</v>
          </cell>
          <cell r="D13339" t="str">
            <v>FTW121KE</v>
          </cell>
          <cell r="E13339">
            <v>46175</v>
          </cell>
        </row>
        <row r="13340">
          <cell r="A13340" t="str">
            <v>2620VX57</v>
          </cell>
          <cell r="D13340" t="str">
            <v>FTW121KE</v>
          </cell>
          <cell r="E13340">
            <v>46175</v>
          </cell>
        </row>
        <row r="13341">
          <cell r="A13341" t="str">
            <v>2619LL47</v>
          </cell>
          <cell r="D13341" t="str">
            <v>S805</v>
          </cell>
          <cell r="E13341">
            <v>46175</v>
          </cell>
        </row>
        <row r="13342">
          <cell r="A13342" t="str">
            <v>2620P657</v>
          </cell>
          <cell r="D13342" t="str">
            <v>S15MB</v>
          </cell>
          <cell r="E13342">
            <v>46175</v>
          </cell>
        </row>
        <row r="13343">
          <cell r="A13343" t="str">
            <v>2621HM47</v>
          </cell>
          <cell r="D13343" t="str">
            <v>S15MB</v>
          </cell>
          <cell r="E13343">
            <v>46175</v>
          </cell>
        </row>
        <row r="13344">
          <cell r="A13344" t="str">
            <v>2621JJ27</v>
          </cell>
          <cell r="D13344" t="str">
            <v>KBP86</v>
          </cell>
          <cell r="E13344">
            <v>46175</v>
          </cell>
        </row>
        <row r="13345">
          <cell r="A13345" t="str">
            <v>2620XI57</v>
          </cell>
          <cell r="D13345" t="str">
            <v>KBP86</v>
          </cell>
          <cell r="E13345">
            <v>46175</v>
          </cell>
        </row>
        <row r="13346">
          <cell r="A13346" t="str">
            <v>2620XB57</v>
          </cell>
          <cell r="D13346" t="str">
            <v>FTP200</v>
          </cell>
          <cell r="E13346">
            <v>46175</v>
          </cell>
        </row>
        <row r="13347">
          <cell r="A13347" t="str">
            <v>2620E967</v>
          </cell>
          <cell r="D13347" t="str">
            <v>KBP86</v>
          </cell>
          <cell r="E13347">
            <v>46175</v>
          </cell>
        </row>
        <row r="13348">
          <cell r="A13348" t="str">
            <v>2621P627</v>
          </cell>
          <cell r="D13348" t="str">
            <v>KBP76</v>
          </cell>
          <cell r="E13348">
            <v>46175</v>
          </cell>
        </row>
        <row r="13349">
          <cell r="A13349" t="str">
            <v>2618I217</v>
          </cell>
          <cell r="D13349" t="str">
            <v>FTW503</v>
          </cell>
          <cell r="E13349">
            <v>46175</v>
          </cell>
        </row>
        <row r="13350">
          <cell r="A13350" t="str">
            <v>2621LH17</v>
          </cell>
          <cell r="D13350" t="str">
            <v>S706</v>
          </cell>
          <cell r="E13350">
            <v>46175</v>
          </cell>
        </row>
        <row r="13351">
          <cell r="A13351" t="str">
            <v>2621QU17</v>
          </cell>
          <cell r="D13351" t="str">
            <v>S706</v>
          </cell>
          <cell r="E13351">
            <v>46175</v>
          </cell>
        </row>
        <row r="13352">
          <cell r="A13352" t="str">
            <v>2620EV47</v>
          </cell>
          <cell r="D13352" t="str">
            <v>FTP200</v>
          </cell>
          <cell r="E13352">
            <v>46175</v>
          </cell>
        </row>
        <row r="13353">
          <cell r="A13353" t="str">
            <v>2613FU67</v>
          </cell>
          <cell r="D13353" t="str">
            <v>KBP52</v>
          </cell>
          <cell r="E13353">
            <v>46175</v>
          </cell>
        </row>
        <row r="13354">
          <cell r="A13354" t="str">
            <v>2617IJ17</v>
          </cell>
          <cell r="D13354" t="str">
            <v>FTW503</v>
          </cell>
          <cell r="E13354">
            <v>46175</v>
          </cell>
        </row>
        <row r="13355">
          <cell r="A13355" t="str">
            <v>2621O917</v>
          </cell>
          <cell r="D13355" t="str">
            <v>FTW121KE</v>
          </cell>
          <cell r="E13355">
            <v>46175</v>
          </cell>
        </row>
        <row r="13356">
          <cell r="A13356" t="str">
            <v>2620UH57</v>
          </cell>
          <cell r="D13356" t="str">
            <v>S706</v>
          </cell>
          <cell r="E13356">
            <v>46175</v>
          </cell>
        </row>
        <row r="13357">
          <cell r="A13357" t="str">
            <v>2621OA17</v>
          </cell>
          <cell r="D13357" t="str">
            <v>FTW121KE</v>
          </cell>
          <cell r="E13357">
            <v>46175</v>
          </cell>
        </row>
        <row r="13358">
          <cell r="A13358" t="str">
            <v>2619QE57</v>
          </cell>
          <cell r="D13358" t="str">
            <v>KBP76</v>
          </cell>
          <cell r="E13358">
            <v>46175</v>
          </cell>
        </row>
        <row r="13359">
          <cell r="A13359" t="str">
            <v>2621OX17</v>
          </cell>
          <cell r="D13359" t="str">
            <v>FTW121KE</v>
          </cell>
          <cell r="E13359">
            <v>46175</v>
          </cell>
        </row>
        <row r="13360">
          <cell r="A13360" t="str">
            <v>2621PU27</v>
          </cell>
          <cell r="D13360" t="str">
            <v>KBP55</v>
          </cell>
          <cell r="E13360">
            <v>46175</v>
          </cell>
        </row>
        <row r="13361">
          <cell r="A13361" t="str">
            <v>2620QZ57</v>
          </cell>
          <cell r="D13361" t="str">
            <v>KBP86</v>
          </cell>
          <cell r="E13361">
            <v>46175</v>
          </cell>
        </row>
        <row r="13362">
          <cell r="A13362" t="str">
            <v>2621OP17</v>
          </cell>
          <cell r="D13362" t="str">
            <v>FTW121KE</v>
          </cell>
          <cell r="E13362">
            <v>46175</v>
          </cell>
        </row>
        <row r="13363">
          <cell r="A13363" t="str">
            <v>2621KS17</v>
          </cell>
          <cell r="D13363" t="str">
            <v>KBP86</v>
          </cell>
          <cell r="E13363">
            <v>46175</v>
          </cell>
        </row>
        <row r="13364">
          <cell r="A13364" t="str">
            <v>2621KV17</v>
          </cell>
          <cell r="D13364" t="str">
            <v>KBP86</v>
          </cell>
          <cell r="E13364">
            <v>46175</v>
          </cell>
        </row>
        <row r="13365">
          <cell r="A13365" t="str">
            <v>2621OH37</v>
          </cell>
          <cell r="D13365" t="str">
            <v>FTW400</v>
          </cell>
          <cell r="E13365">
            <v>46175</v>
          </cell>
        </row>
        <row r="13366">
          <cell r="A13366" t="str">
            <v>2620SJ57</v>
          </cell>
          <cell r="D13366" t="str">
            <v>KBP86</v>
          </cell>
          <cell r="E13366">
            <v>46175</v>
          </cell>
        </row>
        <row r="13367">
          <cell r="A13367" t="str">
            <v>2620XH57</v>
          </cell>
          <cell r="D13367" t="str">
            <v>KBP86</v>
          </cell>
          <cell r="E13367">
            <v>46175</v>
          </cell>
        </row>
        <row r="13368">
          <cell r="A13368" t="str">
            <v>2621L437</v>
          </cell>
          <cell r="D13368" t="str">
            <v>KBP86</v>
          </cell>
          <cell r="E13368">
            <v>46175</v>
          </cell>
        </row>
        <row r="13369">
          <cell r="A13369" t="str">
            <v>2618I317</v>
          </cell>
          <cell r="D13369" t="str">
            <v>FTW503</v>
          </cell>
          <cell r="E13369">
            <v>46175</v>
          </cell>
        </row>
        <row r="13370">
          <cell r="A13370" t="str">
            <v>2619AW47</v>
          </cell>
          <cell r="D13370" t="str">
            <v>KBP76</v>
          </cell>
          <cell r="E13370">
            <v>46175</v>
          </cell>
        </row>
        <row r="13371">
          <cell r="A13371" t="str">
            <v>2613KF47</v>
          </cell>
          <cell r="D13371" t="str">
            <v>KBP52</v>
          </cell>
          <cell r="E13371">
            <v>46175</v>
          </cell>
        </row>
        <row r="13372">
          <cell r="A13372" t="str">
            <v>2619EF60</v>
          </cell>
          <cell r="D13372" t="str">
            <v>STA200KA</v>
          </cell>
          <cell r="E13372">
            <v>46175</v>
          </cell>
        </row>
        <row r="13373">
          <cell r="A13373" t="str">
            <v>2621QN17</v>
          </cell>
          <cell r="D13373" t="str">
            <v>TTS50</v>
          </cell>
          <cell r="E13373">
            <v>46175</v>
          </cell>
        </row>
        <row r="13374">
          <cell r="A13374" t="str">
            <v>2620DG67</v>
          </cell>
          <cell r="D13374" t="str">
            <v>TTS80</v>
          </cell>
          <cell r="E13374">
            <v>46175</v>
          </cell>
        </row>
        <row r="13375">
          <cell r="A13375" t="str">
            <v>2620EK47</v>
          </cell>
          <cell r="D13375" t="str">
            <v>KBP76</v>
          </cell>
          <cell r="E13375">
            <v>46175</v>
          </cell>
        </row>
        <row r="13376">
          <cell r="A13376" t="str">
            <v>2621HX27</v>
          </cell>
          <cell r="D13376" t="str">
            <v>FTW121KE</v>
          </cell>
          <cell r="E13376">
            <v>46175</v>
          </cell>
        </row>
        <row r="13377">
          <cell r="A13377" t="str">
            <v>2620JB37</v>
          </cell>
          <cell r="D13377" t="str">
            <v>S706</v>
          </cell>
          <cell r="E13377">
            <v>46175</v>
          </cell>
        </row>
        <row r="13378">
          <cell r="A13378" t="str">
            <v>2620WH57</v>
          </cell>
          <cell r="D13378" t="str">
            <v>FTW121KE</v>
          </cell>
          <cell r="E13378">
            <v>46175</v>
          </cell>
        </row>
        <row r="13379">
          <cell r="A13379" t="str">
            <v>2620DA67</v>
          </cell>
          <cell r="D13379" t="str">
            <v>TTS80</v>
          </cell>
          <cell r="E13379">
            <v>46175</v>
          </cell>
        </row>
        <row r="13380">
          <cell r="A13380" t="str">
            <v>2621AX27</v>
          </cell>
          <cell r="D13380" t="str">
            <v>KBP126</v>
          </cell>
          <cell r="E13380">
            <v>46175</v>
          </cell>
        </row>
        <row r="13381">
          <cell r="A13381" t="str">
            <v>2619IL37</v>
          </cell>
          <cell r="D13381" t="str">
            <v>TTS50</v>
          </cell>
          <cell r="E13381">
            <v>46175</v>
          </cell>
        </row>
        <row r="13382">
          <cell r="A13382" t="str">
            <v>2617J147</v>
          </cell>
          <cell r="D13382" t="str">
            <v>FTW503</v>
          </cell>
          <cell r="E13382">
            <v>46175</v>
          </cell>
        </row>
        <row r="13383">
          <cell r="A13383" t="str">
            <v>2621QF27</v>
          </cell>
          <cell r="D13383" t="str">
            <v>TTS80</v>
          </cell>
          <cell r="E13383">
            <v>46175</v>
          </cell>
        </row>
        <row r="13384">
          <cell r="A13384" t="str">
            <v>2620SM57</v>
          </cell>
          <cell r="D13384" t="str">
            <v>KBP86</v>
          </cell>
          <cell r="E13384">
            <v>46175</v>
          </cell>
        </row>
        <row r="13385">
          <cell r="A13385" t="str">
            <v>2620S357</v>
          </cell>
          <cell r="D13385" t="str">
            <v>KBP86</v>
          </cell>
          <cell r="E13385">
            <v>46175</v>
          </cell>
        </row>
        <row r="13386">
          <cell r="A13386" t="str">
            <v>2621PA47</v>
          </cell>
          <cell r="D13386" t="str">
            <v>TTS50</v>
          </cell>
          <cell r="E13386">
            <v>46175</v>
          </cell>
        </row>
        <row r="13387">
          <cell r="A13387" t="str">
            <v>2619AM57</v>
          </cell>
          <cell r="D13387" t="str">
            <v>KBP86</v>
          </cell>
          <cell r="E13387">
            <v>46175</v>
          </cell>
        </row>
        <row r="13388">
          <cell r="A13388" t="str">
            <v>2621JN27</v>
          </cell>
          <cell r="D13388" t="str">
            <v>KBP86</v>
          </cell>
          <cell r="E13388">
            <v>46175</v>
          </cell>
        </row>
        <row r="13389">
          <cell r="A13389" t="str">
            <v>2620JE57</v>
          </cell>
          <cell r="D13389" t="str">
            <v>KBP55</v>
          </cell>
          <cell r="E13389">
            <v>46175</v>
          </cell>
        </row>
        <row r="13390">
          <cell r="A13390" t="str">
            <v>2621KT37</v>
          </cell>
          <cell r="D13390" t="str">
            <v>KBP86</v>
          </cell>
          <cell r="E13390">
            <v>46175</v>
          </cell>
        </row>
        <row r="13391">
          <cell r="A13391" t="str">
            <v>2620HX57</v>
          </cell>
          <cell r="D13391" t="str">
            <v>KBP86</v>
          </cell>
          <cell r="E13391">
            <v>46175</v>
          </cell>
        </row>
        <row r="13392">
          <cell r="A13392" t="str">
            <v>2620I357</v>
          </cell>
          <cell r="D13392" t="str">
            <v>KBP86</v>
          </cell>
          <cell r="E13392">
            <v>46175</v>
          </cell>
        </row>
        <row r="13393">
          <cell r="A13393" t="str">
            <v>2617IC17</v>
          </cell>
          <cell r="D13393" t="str">
            <v>FTW503</v>
          </cell>
          <cell r="E13393">
            <v>46175</v>
          </cell>
        </row>
        <row r="13394">
          <cell r="A13394" t="str">
            <v>2620XE57</v>
          </cell>
          <cell r="D13394" t="str">
            <v>KBP86</v>
          </cell>
          <cell r="E13394">
            <v>46175</v>
          </cell>
        </row>
        <row r="13395">
          <cell r="A13395" t="str">
            <v>2619YX57</v>
          </cell>
          <cell r="D13395" t="str">
            <v>KBP86</v>
          </cell>
          <cell r="E13395">
            <v>46175</v>
          </cell>
        </row>
        <row r="13396">
          <cell r="A13396" t="str">
            <v>2618HL17</v>
          </cell>
          <cell r="D13396" t="str">
            <v>FTW503</v>
          </cell>
          <cell r="E13396">
            <v>46175</v>
          </cell>
        </row>
        <row r="13397">
          <cell r="A13397" t="str">
            <v>2611QE57</v>
          </cell>
          <cell r="D13397" t="str">
            <v>FTW102K</v>
          </cell>
          <cell r="E13397">
            <v>46175</v>
          </cell>
        </row>
        <row r="13398">
          <cell r="A13398" t="str">
            <v>2620XA57</v>
          </cell>
          <cell r="D13398" t="str">
            <v>FTP200</v>
          </cell>
          <cell r="E13398">
            <v>46175</v>
          </cell>
        </row>
        <row r="13399">
          <cell r="A13399" t="str">
            <v>2616OY57</v>
          </cell>
          <cell r="D13399" t="str">
            <v>FTW503</v>
          </cell>
          <cell r="E13399">
            <v>46175</v>
          </cell>
        </row>
        <row r="13400">
          <cell r="A13400" t="str">
            <v>2621Q827</v>
          </cell>
          <cell r="D13400" t="str">
            <v>KBP55</v>
          </cell>
          <cell r="E13400">
            <v>46175</v>
          </cell>
        </row>
        <row r="13401">
          <cell r="A13401" t="str">
            <v>2621UI17</v>
          </cell>
          <cell r="D13401" t="str">
            <v>KBP86</v>
          </cell>
          <cell r="E13401">
            <v>46175</v>
          </cell>
        </row>
        <row r="13402">
          <cell r="A13402" t="str">
            <v>2621LO37</v>
          </cell>
          <cell r="D13402" t="str">
            <v>S706</v>
          </cell>
          <cell r="E13402">
            <v>46175</v>
          </cell>
        </row>
        <row r="13403">
          <cell r="A13403" t="str">
            <v>2618HE37</v>
          </cell>
          <cell r="D13403" t="str">
            <v>FTW503</v>
          </cell>
          <cell r="E13403">
            <v>46175</v>
          </cell>
        </row>
        <row r="13404">
          <cell r="A13404" t="str">
            <v>2620D967</v>
          </cell>
          <cell r="D13404" t="str">
            <v>TTS80</v>
          </cell>
          <cell r="E13404">
            <v>46175</v>
          </cell>
        </row>
        <row r="13405">
          <cell r="A13405" t="str">
            <v>2621IV37</v>
          </cell>
          <cell r="D13405" t="str">
            <v>S706</v>
          </cell>
          <cell r="E13405">
            <v>46175</v>
          </cell>
        </row>
        <row r="13406">
          <cell r="A13406" t="str">
            <v>2621IQ17</v>
          </cell>
          <cell r="D13406" t="str">
            <v>S15MB</v>
          </cell>
          <cell r="E13406">
            <v>46175</v>
          </cell>
        </row>
        <row r="13407">
          <cell r="A13407" t="str">
            <v>2620XF57</v>
          </cell>
          <cell r="D13407" t="str">
            <v>KBP86</v>
          </cell>
          <cell r="E13407">
            <v>46175</v>
          </cell>
        </row>
        <row r="13408">
          <cell r="A13408" t="str">
            <v>2620AZ67</v>
          </cell>
          <cell r="D13408" t="str">
            <v>KBP86</v>
          </cell>
          <cell r="E13408">
            <v>46175</v>
          </cell>
        </row>
        <row r="13409">
          <cell r="A13409" t="str">
            <v>2621L517</v>
          </cell>
          <cell r="D13409" t="str">
            <v>KBP76</v>
          </cell>
          <cell r="E13409">
            <v>46175</v>
          </cell>
        </row>
        <row r="13410">
          <cell r="A13410" t="str">
            <v>2621QR17</v>
          </cell>
          <cell r="D13410" t="str">
            <v>TTS50</v>
          </cell>
          <cell r="E13410">
            <v>46175</v>
          </cell>
        </row>
        <row r="13411">
          <cell r="A13411" t="str">
            <v>2620JU67</v>
          </cell>
          <cell r="D13411" t="str">
            <v>TTS80</v>
          </cell>
          <cell r="E13411">
            <v>46175</v>
          </cell>
        </row>
        <row r="13412">
          <cell r="A13412" t="str">
            <v>2621P227</v>
          </cell>
          <cell r="D13412" t="str">
            <v>KBP76</v>
          </cell>
          <cell r="E13412">
            <v>46175</v>
          </cell>
        </row>
        <row r="13413">
          <cell r="A13413" t="str">
            <v>2621UL57</v>
          </cell>
          <cell r="D13413" t="str">
            <v>KBP86</v>
          </cell>
          <cell r="E13413">
            <v>46175</v>
          </cell>
        </row>
        <row r="13414">
          <cell r="A13414" t="str">
            <v>2620LH17</v>
          </cell>
          <cell r="D13414" t="str">
            <v>TTS50</v>
          </cell>
          <cell r="E13414">
            <v>46175</v>
          </cell>
        </row>
        <row r="13415">
          <cell r="A13415" t="str">
            <v>2621LZ27</v>
          </cell>
          <cell r="D13415" t="str">
            <v>TTS50</v>
          </cell>
          <cell r="E13415">
            <v>46175</v>
          </cell>
        </row>
        <row r="13416">
          <cell r="A13416" t="str">
            <v>2621UG57</v>
          </cell>
          <cell r="D13416" t="str">
            <v>KBP86</v>
          </cell>
          <cell r="E13416">
            <v>46175</v>
          </cell>
        </row>
        <row r="13417">
          <cell r="A13417" t="str">
            <v>2620E847</v>
          </cell>
          <cell r="D13417" t="str">
            <v>TTS50</v>
          </cell>
          <cell r="E13417">
            <v>46175</v>
          </cell>
        </row>
        <row r="13418">
          <cell r="A13418" t="str">
            <v>2621OO17</v>
          </cell>
          <cell r="D13418" t="str">
            <v>FTW121KE</v>
          </cell>
          <cell r="E13418">
            <v>46175</v>
          </cell>
        </row>
        <row r="13419">
          <cell r="A13419" t="str">
            <v>2621UH57</v>
          </cell>
          <cell r="D13419" t="str">
            <v>KBP86</v>
          </cell>
          <cell r="E13419">
            <v>46175</v>
          </cell>
        </row>
        <row r="13420">
          <cell r="A13420" t="str">
            <v>2620H557</v>
          </cell>
          <cell r="D13420" t="str">
            <v>FTW121KE</v>
          </cell>
          <cell r="E13420">
            <v>46175</v>
          </cell>
        </row>
        <row r="13421">
          <cell r="A13421" t="str">
            <v>2620WW57</v>
          </cell>
          <cell r="D13421" t="str">
            <v>FTW121KE</v>
          </cell>
          <cell r="E13421">
            <v>46175</v>
          </cell>
        </row>
        <row r="13422">
          <cell r="A13422" t="str">
            <v>2620PC37</v>
          </cell>
          <cell r="D13422" t="str">
            <v>HV80</v>
          </cell>
          <cell r="E13422">
            <v>46175</v>
          </cell>
        </row>
        <row r="13423">
          <cell r="A13423" t="str">
            <v>2620DX47</v>
          </cell>
          <cell r="D13423" t="str">
            <v>HV80</v>
          </cell>
          <cell r="E13423">
            <v>46175</v>
          </cell>
        </row>
        <row r="13424">
          <cell r="A13424" t="str">
            <v>2620IR57</v>
          </cell>
          <cell r="D13424" t="str">
            <v>HV80</v>
          </cell>
          <cell r="E13424">
            <v>46175</v>
          </cell>
        </row>
        <row r="13425">
          <cell r="A13425" t="str">
            <v>2620DU47</v>
          </cell>
          <cell r="D13425" t="str">
            <v>HV80</v>
          </cell>
          <cell r="E13425">
            <v>46175</v>
          </cell>
        </row>
        <row r="13426">
          <cell r="A13426" t="str">
            <v>2619F157</v>
          </cell>
          <cell r="D13426" t="str">
            <v>HV80</v>
          </cell>
          <cell r="E13426">
            <v>46175</v>
          </cell>
        </row>
        <row r="13427">
          <cell r="A13427" t="str">
            <v>2621LQ27</v>
          </cell>
          <cell r="D13427" t="str">
            <v>HV80</v>
          </cell>
          <cell r="E13427">
            <v>46175</v>
          </cell>
        </row>
        <row r="13428">
          <cell r="A13428" t="str">
            <v>2621LV27</v>
          </cell>
          <cell r="D13428" t="str">
            <v>HV80</v>
          </cell>
          <cell r="E13428">
            <v>46175</v>
          </cell>
        </row>
        <row r="13429">
          <cell r="A13429" t="str">
            <v>2619CP47</v>
          </cell>
          <cell r="D13429" t="str">
            <v>HV80</v>
          </cell>
          <cell r="E13429">
            <v>46175</v>
          </cell>
        </row>
        <row r="13430">
          <cell r="A13430" t="str">
            <v>2620EM30</v>
          </cell>
          <cell r="D13430" t="str">
            <v>S706</v>
          </cell>
          <cell r="E13430">
            <v>46175</v>
          </cell>
        </row>
        <row r="13431">
          <cell r="A13431" t="str">
            <v>2620EN20</v>
          </cell>
          <cell r="D13431" t="str">
            <v>S706</v>
          </cell>
          <cell r="E13431">
            <v>46175</v>
          </cell>
        </row>
        <row r="13432">
          <cell r="A13432" t="str">
            <v>2616HC57</v>
          </cell>
          <cell r="D13432" t="str">
            <v>STA156KA</v>
          </cell>
          <cell r="E13432">
            <v>46175</v>
          </cell>
        </row>
        <row r="13433">
          <cell r="A13433" t="str">
            <v>2621IP37</v>
          </cell>
          <cell r="D13433" t="str">
            <v>KBP76</v>
          </cell>
          <cell r="E13433">
            <v>46175</v>
          </cell>
        </row>
        <row r="13434">
          <cell r="A13434" t="str">
            <v>2620D437</v>
          </cell>
          <cell r="D13434" t="str">
            <v>S15MB</v>
          </cell>
          <cell r="E13434">
            <v>46175</v>
          </cell>
        </row>
        <row r="13435">
          <cell r="A13435" t="str">
            <v>2620EL47</v>
          </cell>
          <cell r="D13435" t="str">
            <v>KBP76</v>
          </cell>
          <cell r="E13435">
            <v>46175</v>
          </cell>
        </row>
        <row r="13436">
          <cell r="A13436" t="str">
            <v>2620I557</v>
          </cell>
          <cell r="D13436" t="str">
            <v>KBP86</v>
          </cell>
          <cell r="E13436">
            <v>46175</v>
          </cell>
        </row>
        <row r="13437">
          <cell r="A13437" t="str">
            <v>2621PY17</v>
          </cell>
          <cell r="D13437" t="str">
            <v>KBP34</v>
          </cell>
          <cell r="E13437">
            <v>46175</v>
          </cell>
        </row>
        <row r="13438">
          <cell r="A13438" t="str">
            <v>2621PX17</v>
          </cell>
          <cell r="D13438" t="str">
            <v>KBP34</v>
          </cell>
          <cell r="E13438">
            <v>46175</v>
          </cell>
        </row>
        <row r="13439">
          <cell r="A13439" t="str">
            <v>2620UM57</v>
          </cell>
          <cell r="D13439" t="str">
            <v>S706</v>
          </cell>
          <cell r="E13439">
            <v>46175</v>
          </cell>
        </row>
        <row r="13440">
          <cell r="A13440" t="str">
            <v>2621QP17</v>
          </cell>
          <cell r="D13440" t="str">
            <v>TTS50</v>
          </cell>
          <cell r="E13440">
            <v>46175</v>
          </cell>
        </row>
        <row r="13441">
          <cell r="A13441" t="str">
            <v>2621P727</v>
          </cell>
          <cell r="D13441" t="str">
            <v>KBP76</v>
          </cell>
          <cell r="E13441">
            <v>46175</v>
          </cell>
        </row>
        <row r="13442">
          <cell r="A13442" t="str">
            <v>2620PC37</v>
          </cell>
          <cell r="D13442" t="str">
            <v>HV80</v>
          </cell>
          <cell r="E13442">
            <v>46175</v>
          </cell>
        </row>
        <row r="13443">
          <cell r="A13443" t="str">
            <v>2621LV27</v>
          </cell>
          <cell r="D13443" t="str">
            <v>HV80</v>
          </cell>
          <cell r="E13443">
            <v>46175</v>
          </cell>
        </row>
        <row r="13444">
          <cell r="A13444" t="str">
            <v>2619F157</v>
          </cell>
          <cell r="D13444" t="str">
            <v>HV80</v>
          </cell>
          <cell r="E13444">
            <v>46175</v>
          </cell>
        </row>
        <row r="13445">
          <cell r="A13445" t="str">
            <v>2616BT47</v>
          </cell>
          <cell r="D13445" t="str">
            <v>STA156KA</v>
          </cell>
          <cell r="E13445">
            <v>46174</v>
          </cell>
        </row>
        <row r="13446">
          <cell r="A13446" t="str">
            <v>2620E567</v>
          </cell>
          <cell r="D13446" t="str">
            <v>KBP86</v>
          </cell>
          <cell r="E13446">
            <v>46174</v>
          </cell>
        </row>
        <row r="13447">
          <cell r="A13447" t="str">
            <v>2620AY47</v>
          </cell>
          <cell r="D13447" t="str">
            <v>S706</v>
          </cell>
          <cell r="E13447">
            <v>46174</v>
          </cell>
        </row>
        <row r="13448">
          <cell r="A13448" t="str">
            <v>2619E457</v>
          </cell>
          <cell r="D13448" t="str">
            <v>KBP76</v>
          </cell>
          <cell r="E13448">
            <v>46174</v>
          </cell>
        </row>
        <row r="13449">
          <cell r="A13449" t="str">
            <v>2617CY47</v>
          </cell>
          <cell r="D13449" t="str">
            <v>STA156KA</v>
          </cell>
          <cell r="E13449">
            <v>46174</v>
          </cell>
        </row>
        <row r="13450">
          <cell r="A13450" t="str">
            <v>2620LA17</v>
          </cell>
          <cell r="D13450" t="str">
            <v>TTS50</v>
          </cell>
          <cell r="E13450">
            <v>46174</v>
          </cell>
        </row>
        <row r="13451">
          <cell r="A13451" t="str">
            <v>2619E457</v>
          </cell>
          <cell r="D13451" t="str">
            <v>KBP76</v>
          </cell>
          <cell r="E13451">
            <v>46174</v>
          </cell>
        </row>
        <row r="13452">
          <cell r="A13452" t="str">
            <v>2620DT47</v>
          </cell>
          <cell r="D13452" t="str">
            <v>HV80</v>
          </cell>
          <cell r="E13452">
            <v>46174</v>
          </cell>
        </row>
        <row r="13453">
          <cell r="A13453" t="str">
            <v>2620D367</v>
          </cell>
          <cell r="D13453" t="str">
            <v>KBP74</v>
          </cell>
          <cell r="E13453">
            <v>46174</v>
          </cell>
        </row>
        <row r="13454">
          <cell r="A13454" t="str">
            <v>2620PN37</v>
          </cell>
          <cell r="D13454" t="str">
            <v>TTS50</v>
          </cell>
          <cell r="E13454">
            <v>46174</v>
          </cell>
        </row>
        <row r="13455">
          <cell r="A13455" t="str">
            <v>2620E567</v>
          </cell>
          <cell r="D13455" t="str">
            <v>KBP86</v>
          </cell>
          <cell r="E13455">
            <v>46174</v>
          </cell>
        </row>
        <row r="13456">
          <cell r="A13456" t="str">
            <v>2619E457</v>
          </cell>
          <cell r="D13456" t="str">
            <v>KBP76</v>
          </cell>
          <cell r="E13456">
            <v>46174</v>
          </cell>
        </row>
        <row r="13457">
          <cell r="A13457" t="str">
            <v>2620D367</v>
          </cell>
          <cell r="D13457" t="str">
            <v>KBP74</v>
          </cell>
          <cell r="E13457">
            <v>46174</v>
          </cell>
        </row>
        <row r="13458">
          <cell r="A13458" t="str">
            <v>2620WR57</v>
          </cell>
          <cell r="D13458" t="str">
            <v>FTW121KR</v>
          </cell>
          <cell r="E13458">
            <v>46174</v>
          </cell>
        </row>
        <row r="13459">
          <cell r="A13459" t="str">
            <v>2620E567</v>
          </cell>
          <cell r="D13459" t="str">
            <v>KBP86</v>
          </cell>
          <cell r="E13459">
            <v>46174</v>
          </cell>
        </row>
        <row r="13460">
          <cell r="A13460" t="str">
            <v>2620KX17</v>
          </cell>
          <cell r="D13460" t="str">
            <v>HV80</v>
          </cell>
          <cell r="E13460">
            <v>46174</v>
          </cell>
        </row>
        <row r="13461">
          <cell r="A13461" t="str">
            <v>2619LJ47</v>
          </cell>
          <cell r="D13461" t="str">
            <v>KBP74</v>
          </cell>
          <cell r="E13461">
            <v>46174</v>
          </cell>
        </row>
        <row r="13462">
          <cell r="A13462" t="str">
            <v>2617LB27</v>
          </cell>
          <cell r="D13462" t="str">
            <v>FTW503</v>
          </cell>
          <cell r="E13462">
            <v>46174</v>
          </cell>
        </row>
        <row r="13463">
          <cell r="A13463" t="str">
            <v>2620E567</v>
          </cell>
          <cell r="D13463" t="str">
            <v>KBP86</v>
          </cell>
          <cell r="E13463">
            <v>46174</v>
          </cell>
        </row>
        <row r="13464">
          <cell r="A13464" t="str">
            <v>2619E457</v>
          </cell>
          <cell r="D13464" t="str">
            <v>KBP76</v>
          </cell>
          <cell r="E13464">
            <v>46174</v>
          </cell>
        </row>
        <row r="13465">
          <cell r="A13465" t="str">
            <v>2619KF37</v>
          </cell>
          <cell r="D13465" t="str">
            <v>KBP74</v>
          </cell>
          <cell r="E13465">
            <v>46174</v>
          </cell>
        </row>
        <row r="13466">
          <cell r="A13466" t="str">
            <v>2617IK17</v>
          </cell>
          <cell r="D13466" t="str">
            <v>FTW503</v>
          </cell>
          <cell r="E13466">
            <v>46174</v>
          </cell>
        </row>
        <row r="13467">
          <cell r="A13467" t="str">
            <v>2619LJ47</v>
          </cell>
          <cell r="D13467" t="str">
            <v>KBP74</v>
          </cell>
          <cell r="E13467">
            <v>46174</v>
          </cell>
        </row>
        <row r="13468">
          <cell r="A13468" t="str">
            <v>2619CY47</v>
          </cell>
          <cell r="D13468" t="str">
            <v>HV80</v>
          </cell>
          <cell r="E13468">
            <v>46174</v>
          </cell>
        </row>
        <row r="13469">
          <cell r="A13469" t="str">
            <v>2620D367</v>
          </cell>
          <cell r="D13469" t="str">
            <v>KBP74</v>
          </cell>
          <cell r="E13469">
            <v>46174</v>
          </cell>
        </row>
        <row r="13470">
          <cell r="A13470" t="str">
            <v>2620SN57</v>
          </cell>
          <cell r="D13470" t="str">
            <v>KBP86</v>
          </cell>
          <cell r="E13470">
            <v>46174</v>
          </cell>
        </row>
        <row r="13471">
          <cell r="A13471" t="str">
            <v>2619LJ47</v>
          </cell>
          <cell r="D13471" t="str">
            <v>KBP74</v>
          </cell>
          <cell r="E13471">
            <v>46174</v>
          </cell>
        </row>
        <row r="13472">
          <cell r="A13472" t="str">
            <v>2619E457</v>
          </cell>
          <cell r="D13472" t="str">
            <v>KBP76</v>
          </cell>
          <cell r="E13472">
            <v>46174</v>
          </cell>
        </row>
        <row r="13473">
          <cell r="A13473" t="str">
            <v>2607J637</v>
          </cell>
          <cell r="D13473" t="str">
            <v>FTW503</v>
          </cell>
          <cell r="E13473">
            <v>46174</v>
          </cell>
        </row>
        <row r="13474">
          <cell r="A13474" t="str">
            <v>2620J657</v>
          </cell>
          <cell r="D13474" t="str">
            <v>KBP76</v>
          </cell>
          <cell r="E13474">
            <v>46174</v>
          </cell>
        </row>
        <row r="13475">
          <cell r="A13475" t="str">
            <v>2619LJ47</v>
          </cell>
          <cell r="D13475" t="str">
            <v>KBP74</v>
          </cell>
          <cell r="E13475">
            <v>46174</v>
          </cell>
        </row>
        <row r="13476">
          <cell r="A13476" t="str">
            <v>2620KX17</v>
          </cell>
          <cell r="D13476" t="str">
            <v>HV80</v>
          </cell>
          <cell r="E13476">
            <v>46174</v>
          </cell>
        </row>
        <row r="13477">
          <cell r="A13477" t="str">
            <v>2607JU47</v>
          </cell>
          <cell r="D13477" t="str">
            <v>FTW503</v>
          </cell>
          <cell r="E13477">
            <v>46174</v>
          </cell>
        </row>
        <row r="13478">
          <cell r="A13478" t="str">
            <v>2621J637</v>
          </cell>
          <cell r="D13478" t="str">
            <v>TTS50</v>
          </cell>
          <cell r="E13478">
            <v>46174</v>
          </cell>
        </row>
        <row r="13479">
          <cell r="A13479" t="str">
            <v>2619LJ47</v>
          </cell>
          <cell r="D13479" t="str">
            <v>KBP74</v>
          </cell>
          <cell r="E13479">
            <v>46174</v>
          </cell>
        </row>
        <row r="13480">
          <cell r="A13480" t="str">
            <v>2619F857</v>
          </cell>
          <cell r="D13480" t="str">
            <v>HV80</v>
          </cell>
          <cell r="E13480">
            <v>46174</v>
          </cell>
        </row>
        <row r="13481">
          <cell r="A13481" t="str">
            <v>2607JK47</v>
          </cell>
          <cell r="D13481" t="str">
            <v>FTW503</v>
          </cell>
          <cell r="E13481">
            <v>46174</v>
          </cell>
        </row>
        <row r="13482">
          <cell r="A13482" t="str">
            <v>2620I157</v>
          </cell>
          <cell r="D13482" t="str">
            <v>KBP86</v>
          </cell>
          <cell r="E13482">
            <v>46174</v>
          </cell>
        </row>
        <row r="13483">
          <cell r="A13483" t="str">
            <v>2619KF37</v>
          </cell>
          <cell r="D13483" t="str">
            <v>KBP74</v>
          </cell>
          <cell r="E13483">
            <v>46174</v>
          </cell>
        </row>
        <row r="13484">
          <cell r="A13484" t="str">
            <v>2620LS27</v>
          </cell>
          <cell r="D13484" t="str">
            <v>HV80</v>
          </cell>
          <cell r="E13484">
            <v>46174</v>
          </cell>
        </row>
        <row r="13485">
          <cell r="A13485" t="str">
            <v>2607JT47</v>
          </cell>
          <cell r="D13485" t="str">
            <v>FTW503</v>
          </cell>
          <cell r="E13485">
            <v>46174</v>
          </cell>
        </row>
        <row r="13486">
          <cell r="A13486" t="str">
            <v>2619E457</v>
          </cell>
          <cell r="D13486" t="str">
            <v>KBP76</v>
          </cell>
          <cell r="E13486">
            <v>46174</v>
          </cell>
        </row>
        <row r="13487">
          <cell r="A13487" t="str">
            <v>2619KF37</v>
          </cell>
          <cell r="D13487" t="str">
            <v>KBP74</v>
          </cell>
          <cell r="E13487">
            <v>46174</v>
          </cell>
        </row>
        <row r="13488">
          <cell r="A13488" t="str">
            <v>2620P437</v>
          </cell>
          <cell r="D13488" t="str">
            <v>HV80</v>
          </cell>
          <cell r="E13488">
            <v>46174</v>
          </cell>
        </row>
        <row r="13489">
          <cell r="A13489" t="str">
            <v>2612GA47</v>
          </cell>
          <cell r="D13489" t="str">
            <v>FTW503</v>
          </cell>
          <cell r="E13489">
            <v>46174</v>
          </cell>
        </row>
        <row r="13490">
          <cell r="A13490" t="str">
            <v>2616HI47</v>
          </cell>
          <cell r="D13490" t="str">
            <v>FTW700</v>
          </cell>
          <cell r="E13490">
            <v>46174</v>
          </cell>
        </row>
        <row r="13491">
          <cell r="A13491" t="str">
            <v>2619KF37</v>
          </cell>
          <cell r="D13491" t="str">
            <v>KBP74</v>
          </cell>
          <cell r="E13491">
            <v>46174</v>
          </cell>
        </row>
        <row r="13492">
          <cell r="A13492" t="str">
            <v>2620P237</v>
          </cell>
          <cell r="D13492" t="str">
            <v>HV80</v>
          </cell>
          <cell r="E13492">
            <v>46174</v>
          </cell>
        </row>
        <row r="13493">
          <cell r="A13493" t="str">
            <v>2612GT47</v>
          </cell>
          <cell r="D13493" t="str">
            <v>FTW503</v>
          </cell>
          <cell r="E13493">
            <v>46174</v>
          </cell>
        </row>
        <row r="13494">
          <cell r="A13494" t="str">
            <v>2621SB17</v>
          </cell>
          <cell r="D13494" t="str">
            <v>KBP76</v>
          </cell>
          <cell r="E13494">
            <v>46174</v>
          </cell>
        </row>
        <row r="13495">
          <cell r="A13495" t="str">
            <v>2620D367</v>
          </cell>
          <cell r="D13495" t="str">
            <v>KBP74</v>
          </cell>
          <cell r="E13495">
            <v>46174</v>
          </cell>
        </row>
        <row r="13496">
          <cell r="A13496" t="str">
            <v>2620LS27</v>
          </cell>
          <cell r="D13496" t="str">
            <v>HV80</v>
          </cell>
          <cell r="E13496">
            <v>46174</v>
          </cell>
        </row>
        <row r="13497">
          <cell r="A13497" t="str">
            <v>2612U357</v>
          </cell>
          <cell r="D13497" t="str">
            <v>FTW503</v>
          </cell>
          <cell r="E13497">
            <v>46174</v>
          </cell>
        </row>
        <row r="13498">
          <cell r="A13498" t="str">
            <v>2621SA17</v>
          </cell>
          <cell r="D13498" t="str">
            <v>KBP76</v>
          </cell>
          <cell r="E13498">
            <v>46174</v>
          </cell>
        </row>
        <row r="13499">
          <cell r="A13499" t="str">
            <v>2612UE57</v>
          </cell>
          <cell r="D13499" t="str">
            <v>FTW503</v>
          </cell>
          <cell r="E13499">
            <v>46174</v>
          </cell>
        </row>
        <row r="13500">
          <cell r="A13500" t="str">
            <v>2619CY47</v>
          </cell>
          <cell r="D13500" t="str">
            <v>HV80</v>
          </cell>
          <cell r="E13500">
            <v>46174</v>
          </cell>
        </row>
        <row r="13501">
          <cell r="A13501" t="str">
            <v>2620EE47</v>
          </cell>
          <cell r="D13501" t="str">
            <v>TTS50</v>
          </cell>
          <cell r="E13501">
            <v>46174</v>
          </cell>
        </row>
        <row r="13502">
          <cell r="A13502" t="str">
            <v>2620O217</v>
          </cell>
          <cell r="D13502" t="str">
            <v>TTS80</v>
          </cell>
          <cell r="E13502">
            <v>46174</v>
          </cell>
        </row>
        <row r="13503">
          <cell r="A13503" t="str">
            <v>2620LW27</v>
          </cell>
          <cell r="D13503" t="str">
            <v>TTS50</v>
          </cell>
          <cell r="E13503">
            <v>46174</v>
          </cell>
        </row>
        <row r="13504">
          <cell r="A13504" t="str">
            <v>2620LM27</v>
          </cell>
          <cell r="D13504" t="str">
            <v>HV80</v>
          </cell>
          <cell r="E13504">
            <v>46174</v>
          </cell>
        </row>
        <row r="13505">
          <cell r="A13505" t="str">
            <v>2620L517</v>
          </cell>
          <cell r="D13505" t="str">
            <v>TTS50</v>
          </cell>
          <cell r="E13505">
            <v>46174</v>
          </cell>
        </row>
        <row r="13506">
          <cell r="A13506" t="str">
            <v>2620WU57</v>
          </cell>
          <cell r="D13506" t="str">
            <v>FTW121KE</v>
          </cell>
          <cell r="E13506">
            <v>46174</v>
          </cell>
        </row>
        <row r="13507">
          <cell r="A13507" t="str">
            <v>2620LZ27</v>
          </cell>
          <cell r="D13507" t="str">
            <v>TTS50</v>
          </cell>
          <cell r="E13507">
            <v>46174</v>
          </cell>
        </row>
        <row r="13508">
          <cell r="A13508" t="str">
            <v>2620DT47</v>
          </cell>
          <cell r="D13508" t="str">
            <v>HV80</v>
          </cell>
          <cell r="E13508">
            <v>46174</v>
          </cell>
        </row>
        <row r="13509">
          <cell r="A13509" t="str">
            <v>2620PR37</v>
          </cell>
          <cell r="D13509" t="str">
            <v>TTS50</v>
          </cell>
          <cell r="E13509">
            <v>46174</v>
          </cell>
        </row>
        <row r="13510">
          <cell r="A13510" t="str">
            <v>2619AX47</v>
          </cell>
          <cell r="D13510" t="str">
            <v>KBP76</v>
          </cell>
          <cell r="E13510">
            <v>46174</v>
          </cell>
        </row>
        <row r="13511">
          <cell r="A13511" t="str">
            <v>2620LX27</v>
          </cell>
          <cell r="D13511" t="str">
            <v>TTS50</v>
          </cell>
          <cell r="E13511">
            <v>46174</v>
          </cell>
        </row>
        <row r="13512">
          <cell r="A13512" t="str">
            <v>2619CS47</v>
          </cell>
          <cell r="D13512" t="str">
            <v>HV80</v>
          </cell>
          <cell r="E13512">
            <v>46174</v>
          </cell>
        </row>
        <row r="13513">
          <cell r="A13513" t="str">
            <v>2620W457</v>
          </cell>
          <cell r="D13513" t="str">
            <v>FTW121KR</v>
          </cell>
          <cell r="E13513">
            <v>46174</v>
          </cell>
        </row>
        <row r="13514">
          <cell r="A13514" t="str">
            <v>2620H457</v>
          </cell>
          <cell r="D13514" t="str">
            <v>FTW121KE</v>
          </cell>
          <cell r="E13514">
            <v>46174</v>
          </cell>
        </row>
        <row r="13515">
          <cell r="A13515" t="str">
            <v>2620GN57</v>
          </cell>
          <cell r="D13515" t="str">
            <v>FTW121KR</v>
          </cell>
          <cell r="E13515">
            <v>46174</v>
          </cell>
        </row>
        <row r="13516">
          <cell r="A13516" t="str">
            <v>2619CZ47</v>
          </cell>
          <cell r="D13516" t="str">
            <v>HV80</v>
          </cell>
          <cell r="E13516">
            <v>46174</v>
          </cell>
        </row>
        <row r="13517">
          <cell r="A13517" t="str">
            <v>2620E747</v>
          </cell>
          <cell r="D13517" t="str">
            <v>TTS50</v>
          </cell>
          <cell r="E13517">
            <v>46174</v>
          </cell>
        </row>
        <row r="13518">
          <cell r="A13518" t="str">
            <v>2621H727</v>
          </cell>
          <cell r="D13518" t="str">
            <v>KBP126</v>
          </cell>
          <cell r="E13518">
            <v>46174</v>
          </cell>
        </row>
        <row r="13519">
          <cell r="A13519" t="str">
            <v>2620PT37</v>
          </cell>
          <cell r="D13519" t="str">
            <v>TTS50</v>
          </cell>
          <cell r="E13519">
            <v>46174</v>
          </cell>
        </row>
        <row r="13520">
          <cell r="A13520" t="str">
            <v>2620P437</v>
          </cell>
          <cell r="D13520" t="str">
            <v>HV80</v>
          </cell>
          <cell r="E13520">
            <v>46174</v>
          </cell>
        </row>
        <row r="13521">
          <cell r="A13521" t="str">
            <v>2620PS37</v>
          </cell>
          <cell r="D13521" t="str">
            <v>TTS50</v>
          </cell>
          <cell r="E13521">
            <v>46174</v>
          </cell>
        </row>
        <row r="13522">
          <cell r="A13522" t="str">
            <v>2620H657</v>
          </cell>
          <cell r="D13522" t="str">
            <v>FTW121KE</v>
          </cell>
          <cell r="E13522">
            <v>46174</v>
          </cell>
        </row>
        <row r="13523">
          <cell r="A13523" t="str">
            <v>2621IA27</v>
          </cell>
          <cell r="D13523" t="str">
            <v>FTW121KE</v>
          </cell>
          <cell r="E13523">
            <v>46174</v>
          </cell>
        </row>
        <row r="13524">
          <cell r="A13524" t="str">
            <v>2621O117</v>
          </cell>
          <cell r="D13524" t="str">
            <v>KBP126</v>
          </cell>
          <cell r="E13524">
            <v>46174</v>
          </cell>
        </row>
        <row r="13525">
          <cell r="A13525" t="str">
            <v>2620QT57</v>
          </cell>
          <cell r="D13525" t="str">
            <v>KBP86</v>
          </cell>
          <cell r="E13525">
            <v>46174</v>
          </cell>
        </row>
        <row r="13526">
          <cell r="A13526" t="str">
            <v>2620KR27</v>
          </cell>
          <cell r="D13526" t="str">
            <v>KBP86</v>
          </cell>
          <cell r="E13526">
            <v>46174</v>
          </cell>
        </row>
        <row r="13527">
          <cell r="A13527" t="str">
            <v>2620SK57</v>
          </cell>
          <cell r="D13527" t="str">
            <v>KBP86</v>
          </cell>
          <cell r="E13527">
            <v>46174</v>
          </cell>
        </row>
        <row r="13528">
          <cell r="A13528" t="str">
            <v>2610A767</v>
          </cell>
          <cell r="D13528" t="str">
            <v>FTW700</v>
          </cell>
          <cell r="E13528">
            <v>46174</v>
          </cell>
        </row>
        <row r="13529">
          <cell r="A13529" t="str">
            <v>2620KF27</v>
          </cell>
          <cell r="D13529" t="str">
            <v>KBP86</v>
          </cell>
          <cell r="E13529">
            <v>46174</v>
          </cell>
        </row>
        <row r="13530">
          <cell r="A13530" t="str">
            <v>2620KC27</v>
          </cell>
          <cell r="D13530" t="str">
            <v>KBP86</v>
          </cell>
          <cell r="E13530">
            <v>46174</v>
          </cell>
        </row>
        <row r="13531">
          <cell r="A13531" t="str">
            <v>2620ON37</v>
          </cell>
          <cell r="D13531" t="str">
            <v>KBP86</v>
          </cell>
          <cell r="E13531">
            <v>46174</v>
          </cell>
        </row>
        <row r="13532">
          <cell r="A13532" t="str">
            <v>2620E567</v>
          </cell>
          <cell r="D13532" t="str">
            <v>KBP86</v>
          </cell>
          <cell r="E13532">
            <v>46174</v>
          </cell>
        </row>
        <row r="13533">
          <cell r="A13533" t="str">
            <v>2620VS57</v>
          </cell>
          <cell r="D13533" t="str">
            <v>FTW121KE</v>
          </cell>
          <cell r="E13533">
            <v>46174</v>
          </cell>
        </row>
        <row r="13534">
          <cell r="A13534" t="str">
            <v>2619G767</v>
          </cell>
          <cell r="D13534" t="str">
            <v>TTS80</v>
          </cell>
          <cell r="E13534">
            <v>46174</v>
          </cell>
        </row>
        <row r="13535">
          <cell r="A13535" t="str">
            <v>2620BR47</v>
          </cell>
          <cell r="D13535" t="str">
            <v>FTW121KE</v>
          </cell>
          <cell r="E13535">
            <v>46174</v>
          </cell>
        </row>
        <row r="13536">
          <cell r="A13536" t="str">
            <v>2620SF57</v>
          </cell>
          <cell r="D13536" t="str">
            <v>KBP86</v>
          </cell>
          <cell r="E13536">
            <v>46174</v>
          </cell>
        </row>
        <row r="13537">
          <cell r="A13537" t="str">
            <v>2620HO57</v>
          </cell>
          <cell r="D13537" t="str">
            <v>KBP86</v>
          </cell>
          <cell r="E13537">
            <v>46174</v>
          </cell>
        </row>
        <row r="13538">
          <cell r="A13538" t="str">
            <v>2613HQ37</v>
          </cell>
          <cell r="D13538" t="str">
            <v>FTW102K</v>
          </cell>
          <cell r="E13538">
            <v>46174</v>
          </cell>
        </row>
        <row r="13539">
          <cell r="A13539" t="str">
            <v>2620O317</v>
          </cell>
          <cell r="D13539" t="str">
            <v>TTS80</v>
          </cell>
          <cell r="E13539">
            <v>46174</v>
          </cell>
        </row>
        <row r="13540">
          <cell r="A13540" t="str">
            <v>2613D327</v>
          </cell>
          <cell r="D13540" t="str">
            <v>FTW503</v>
          </cell>
          <cell r="E13540">
            <v>46174</v>
          </cell>
        </row>
        <row r="13541">
          <cell r="A13541" t="str">
            <v>2618GL57</v>
          </cell>
          <cell r="D13541" t="str">
            <v>FTP150</v>
          </cell>
          <cell r="E13541">
            <v>46174</v>
          </cell>
        </row>
        <row r="13542">
          <cell r="A13542" t="str">
            <v>2620W857</v>
          </cell>
          <cell r="D13542" t="str">
            <v>FTW121KE</v>
          </cell>
          <cell r="E13542">
            <v>46174</v>
          </cell>
        </row>
        <row r="13543">
          <cell r="A13543" t="str">
            <v>2613EW27</v>
          </cell>
          <cell r="D13543" t="str">
            <v>FTW102K</v>
          </cell>
          <cell r="E13543">
            <v>46174</v>
          </cell>
        </row>
        <row r="13544">
          <cell r="A13544" t="str">
            <v>2620B167</v>
          </cell>
          <cell r="D13544" t="str">
            <v>KBP52</v>
          </cell>
          <cell r="E13544">
            <v>46174</v>
          </cell>
        </row>
        <row r="13545">
          <cell r="A13545" t="str">
            <v>2620EJ90</v>
          </cell>
          <cell r="D13545" t="str">
            <v>TTS125</v>
          </cell>
          <cell r="E13545">
            <v>46174</v>
          </cell>
        </row>
        <row r="13546">
          <cell r="A13546" t="str">
            <v>2621IR17</v>
          </cell>
          <cell r="D13546" t="str">
            <v>S15MB</v>
          </cell>
          <cell r="E13546">
            <v>46174</v>
          </cell>
        </row>
        <row r="13547">
          <cell r="A13547" t="str">
            <v>2620AY67</v>
          </cell>
          <cell r="D13547" t="str">
            <v>KBP86</v>
          </cell>
          <cell r="E13547">
            <v>46174</v>
          </cell>
        </row>
        <row r="13548">
          <cell r="A13548" t="str">
            <v>2620HQ57</v>
          </cell>
          <cell r="D13548" t="str">
            <v>KBP86</v>
          </cell>
          <cell r="E13548">
            <v>46174</v>
          </cell>
        </row>
        <row r="13549">
          <cell r="A13549" t="str">
            <v>2620GU57</v>
          </cell>
          <cell r="D13549" t="str">
            <v>FTW121KE</v>
          </cell>
          <cell r="E13549">
            <v>46174</v>
          </cell>
        </row>
        <row r="13550">
          <cell r="A13550" t="str">
            <v>2619DU67</v>
          </cell>
          <cell r="D13550" t="str">
            <v>KBP86</v>
          </cell>
          <cell r="E13550">
            <v>46174</v>
          </cell>
        </row>
        <row r="13551">
          <cell r="A13551" t="str">
            <v>2618B747</v>
          </cell>
          <cell r="D13551" t="str">
            <v>STA156KA</v>
          </cell>
          <cell r="E13551">
            <v>46174</v>
          </cell>
        </row>
        <row r="13552">
          <cell r="A13552" t="str">
            <v>2619S127</v>
          </cell>
          <cell r="D13552" t="str">
            <v>TTS50</v>
          </cell>
          <cell r="E13552">
            <v>46174</v>
          </cell>
        </row>
        <row r="13553">
          <cell r="A13553" t="str">
            <v>2621FT27</v>
          </cell>
          <cell r="D13553" t="str">
            <v>KBP76</v>
          </cell>
          <cell r="E13553">
            <v>46174</v>
          </cell>
        </row>
        <row r="13554">
          <cell r="A13554" t="str">
            <v>2619AK57</v>
          </cell>
          <cell r="D13554" t="str">
            <v>KBP86</v>
          </cell>
          <cell r="E13554">
            <v>46174</v>
          </cell>
        </row>
        <row r="13555">
          <cell r="A13555" t="str">
            <v>2620J737</v>
          </cell>
          <cell r="D13555" t="str">
            <v>KBP76</v>
          </cell>
          <cell r="E13555">
            <v>46174</v>
          </cell>
        </row>
        <row r="13556">
          <cell r="A13556" t="str">
            <v>2612ZA40</v>
          </cell>
          <cell r="D13556" t="str">
            <v>FTP150</v>
          </cell>
          <cell r="E13556">
            <v>46174</v>
          </cell>
        </row>
        <row r="13557">
          <cell r="A13557" t="str">
            <v>2620AB47</v>
          </cell>
          <cell r="D13557" t="str">
            <v>KBP126</v>
          </cell>
          <cell r="E13557">
            <v>46174</v>
          </cell>
        </row>
        <row r="13558">
          <cell r="A13558" t="str">
            <v>2619SF27</v>
          </cell>
          <cell r="D13558" t="str">
            <v>TTS50</v>
          </cell>
          <cell r="E13558">
            <v>46174</v>
          </cell>
        </row>
        <row r="13559">
          <cell r="A13559" t="str">
            <v>2620QU57</v>
          </cell>
          <cell r="D13559" t="str">
            <v>KBP86</v>
          </cell>
          <cell r="E13559">
            <v>46174</v>
          </cell>
        </row>
        <row r="13560">
          <cell r="A13560" t="str">
            <v>2620KO27</v>
          </cell>
          <cell r="D13560" t="str">
            <v>KBP86</v>
          </cell>
          <cell r="E13560">
            <v>46174</v>
          </cell>
        </row>
        <row r="13561">
          <cell r="A13561" t="str">
            <v>2620O717</v>
          </cell>
          <cell r="D13561" t="str">
            <v>TTS80</v>
          </cell>
          <cell r="E13561">
            <v>46174</v>
          </cell>
        </row>
        <row r="13562">
          <cell r="A13562" t="str">
            <v>2620EM47</v>
          </cell>
          <cell r="D13562" t="str">
            <v>KBP76</v>
          </cell>
          <cell r="E13562">
            <v>46174</v>
          </cell>
        </row>
        <row r="13563">
          <cell r="A13563" t="str">
            <v>2618BO57</v>
          </cell>
          <cell r="D13563" t="str">
            <v>KBP52</v>
          </cell>
          <cell r="E13563">
            <v>46174</v>
          </cell>
        </row>
        <row r="13564">
          <cell r="A13564" t="str">
            <v>2620W157</v>
          </cell>
          <cell r="D13564" t="str">
            <v>FTW121KE</v>
          </cell>
          <cell r="E13564">
            <v>46174</v>
          </cell>
        </row>
        <row r="13565">
          <cell r="A13565" t="str">
            <v>2619SB57</v>
          </cell>
          <cell r="D13565" t="str">
            <v>TTS80</v>
          </cell>
          <cell r="E13565">
            <v>46174</v>
          </cell>
        </row>
        <row r="13566">
          <cell r="A13566" t="str">
            <v>2620UG57</v>
          </cell>
          <cell r="D13566" t="str">
            <v>S706</v>
          </cell>
          <cell r="E13566">
            <v>46174</v>
          </cell>
        </row>
        <row r="13567">
          <cell r="A13567" t="str">
            <v>2620GW57</v>
          </cell>
          <cell r="D13567" t="str">
            <v>FTW121KE</v>
          </cell>
          <cell r="E13567">
            <v>46174</v>
          </cell>
        </row>
        <row r="13568">
          <cell r="A13568" t="str">
            <v>2620OE37</v>
          </cell>
          <cell r="D13568" t="str">
            <v>KBP86</v>
          </cell>
          <cell r="E13568">
            <v>46174</v>
          </cell>
        </row>
        <row r="13569">
          <cell r="A13569" t="str">
            <v>2619Z257</v>
          </cell>
          <cell r="D13569" t="str">
            <v>KBP86</v>
          </cell>
          <cell r="E13569">
            <v>46174</v>
          </cell>
        </row>
        <row r="13570">
          <cell r="A13570" t="str">
            <v>2620KJ27</v>
          </cell>
          <cell r="D13570" t="str">
            <v>KBP86</v>
          </cell>
          <cell r="E13570">
            <v>46174</v>
          </cell>
        </row>
        <row r="13571">
          <cell r="A13571" t="str">
            <v>2620IF57</v>
          </cell>
          <cell r="D13571" t="str">
            <v>KBP86</v>
          </cell>
          <cell r="E13571">
            <v>46174</v>
          </cell>
        </row>
        <row r="13572">
          <cell r="A13572" t="str">
            <v>2620UK57</v>
          </cell>
          <cell r="D13572" t="str">
            <v>S706</v>
          </cell>
          <cell r="E13572">
            <v>46174</v>
          </cell>
        </row>
        <row r="13573">
          <cell r="A13573" t="str">
            <v>2613EU37</v>
          </cell>
          <cell r="D13573" t="str">
            <v>FTW503</v>
          </cell>
          <cell r="E13573">
            <v>46174</v>
          </cell>
        </row>
        <row r="13574">
          <cell r="A13574" t="str">
            <v>2621H827</v>
          </cell>
          <cell r="D13574" t="str">
            <v>KBP126</v>
          </cell>
          <cell r="E13574">
            <v>46174</v>
          </cell>
        </row>
        <row r="13575">
          <cell r="A13575" t="str">
            <v>2620AV67</v>
          </cell>
          <cell r="D13575" t="str">
            <v>KBP86</v>
          </cell>
          <cell r="E13575">
            <v>46174</v>
          </cell>
        </row>
        <row r="13576">
          <cell r="A13576" t="str">
            <v>2619YY57</v>
          </cell>
          <cell r="D13576" t="str">
            <v>KBP86</v>
          </cell>
          <cell r="E13576">
            <v>46174</v>
          </cell>
        </row>
        <row r="13577">
          <cell r="A13577" t="str">
            <v>2621BX27</v>
          </cell>
          <cell r="D13577" t="str">
            <v>S15MB</v>
          </cell>
          <cell r="E13577">
            <v>46174</v>
          </cell>
        </row>
        <row r="13578">
          <cell r="A13578" t="str">
            <v>2620YS17</v>
          </cell>
          <cell r="D13578" t="str">
            <v>KBP86</v>
          </cell>
          <cell r="E13578">
            <v>46174</v>
          </cell>
        </row>
        <row r="13579">
          <cell r="A13579" t="str">
            <v>2617CY47</v>
          </cell>
          <cell r="D13579" t="str">
            <v>STA156KA</v>
          </cell>
          <cell r="E13579">
            <v>46174</v>
          </cell>
        </row>
        <row r="13580">
          <cell r="A13580" t="str">
            <v>2620EC67</v>
          </cell>
          <cell r="D13580" t="str">
            <v>KBP86</v>
          </cell>
          <cell r="E13580">
            <v>46174</v>
          </cell>
        </row>
        <row r="13581">
          <cell r="A13581" t="str">
            <v>2621E827</v>
          </cell>
          <cell r="D13581" t="str">
            <v>KBP76</v>
          </cell>
          <cell r="E13581">
            <v>46174</v>
          </cell>
        </row>
        <row r="13582">
          <cell r="A13582" t="str">
            <v>2621HT27</v>
          </cell>
          <cell r="D13582" t="str">
            <v>FTW121KE</v>
          </cell>
          <cell r="E13582">
            <v>46174</v>
          </cell>
        </row>
        <row r="13583">
          <cell r="A13583" t="str">
            <v>2619IH17</v>
          </cell>
          <cell r="D13583" t="str">
            <v>FTP150</v>
          </cell>
          <cell r="E13583">
            <v>46174</v>
          </cell>
        </row>
        <row r="13584">
          <cell r="A13584" t="str">
            <v>2620CQ67</v>
          </cell>
          <cell r="D13584" t="str">
            <v>KBP74</v>
          </cell>
          <cell r="E13584">
            <v>46174</v>
          </cell>
        </row>
        <row r="13585">
          <cell r="A13585" t="str">
            <v>2618GQ27</v>
          </cell>
          <cell r="D13585" t="str">
            <v>FTW503</v>
          </cell>
          <cell r="E13585">
            <v>46174</v>
          </cell>
        </row>
        <row r="13586">
          <cell r="A13586" t="str">
            <v>2613I447</v>
          </cell>
          <cell r="D13586" t="str">
            <v>FTW503</v>
          </cell>
          <cell r="E13586">
            <v>46174</v>
          </cell>
        </row>
        <row r="13587">
          <cell r="A13587" t="str">
            <v>2618BM57</v>
          </cell>
          <cell r="D13587" t="str">
            <v>KBP52</v>
          </cell>
          <cell r="E13587">
            <v>46174</v>
          </cell>
        </row>
        <row r="13588">
          <cell r="A13588" t="str">
            <v>2621OS17</v>
          </cell>
          <cell r="D13588" t="str">
            <v>FTW121KR</v>
          </cell>
          <cell r="E13588">
            <v>46174</v>
          </cell>
        </row>
        <row r="13589">
          <cell r="A13589" t="str">
            <v>2620AA47</v>
          </cell>
          <cell r="D13589" t="str">
            <v>KBP126</v>
          </cell>
          <cell r="E13589">
            <v>46174</v>
          </cell>
        </row>
        <row r="13590">
          <cell r="A13590" t="str">
            <v>2620P927</v>
          </cell>
          <cell r="D13590" t="str">
            <v>TTS80</v>
          </cell>
          <cell r="E13590">
            <v>46174</v>
          </cell>
        </row>
        <row r="13591">
          <cell r="A13591" t="str">
            <v>2619SE57</v>
          </cell>
          <cell r="D13591" t="str">
            <v>TTS80</v>
          </cell>
          <cell r="E13591">
            <v>46174</v>
          </cell>
        </row>
        <row r="13592">
          <cell r="A13592" t="str">
            <v>2620AX67</v>
          </cell>
          <cell r="D13592" t="str">
            <v>KBP86</v>
          </cell>
          <cell r="E13592">
            <v>46174</v>
          </cell>
        </row>
        <row r="13593">
          <cell r="A13593" t="str">
            <v>2620CA47</v>
          </cell>
          <cell r="D13593" t="str">
            <v>FTW121KR</v>
          </cell>
          <cell r="E13593">
            <v>46174</v>
          </cell>
        </row>
        <row r="13594">
          <cell r="A13594" t="str">
            <v>2613BM27</v>
          </cell>
          <cell r="D13594" t="str">
            <v>FTW503</v>
          </cell>
          <cell r="E13594">
            <v>46174</v>
          </cell>
        </row>
        <row r="13595">
          <cell r="A13595" t="str">
            <v>2620J527</v>
          </cell>
          <cell r="D13595" t="str">
            <v>TTS50</v>
          </cell>
          <cell r="E13595">
            <v>46174</v>
          </cell>
        </row>
        <row r="13596">
          <cell r="A13596" t="str">
            <v>2619ZT57</v>
          </cell>
          <cell r="D13596" t="str">
            <v>KBP86</v>
          </cell>
          <cell r="E13596">
            <v>46174</v>
          </cell>
        </row>
        <row r="13597">
          <cell r="A13597" t="str">
            <v>2618HB37</v>
          </cell>
          <cell r="D13597" t="str">
            <v>FTW503</v>
          </cell>
          <cell r="E13597">
            <v>46174</v>
          </cell>
        </row>
        <row r="13598">
          <cell r="A13598" t="str">
            <v>2620YO17</v>
          </cell>
          <cell r="D13598" t="str">
            <v>KBP86</v>
          </cell>
          <cell r="E13598">
            <v>46174</v>
          </cell>
        </row>
        <row r="13599">
          <cell r="A13599" t="str">
            <v>2620S757</v>
          </cell>
          <cell r="D13599" t="str">
            <v>KBP86</v>
          </cell>
          <cell r="E13599">
            <v>46174</v>
          </cell>
        </row>
        <row r="13600">
          <cell r="A13600" t="str">
            <v>2620YQ17</v>
          </cell>
          <cell r="D13600" t="str">
            <v>KBP86</v>
          </cell>
          <cell r="E13600">
            <v>46174</v>
          </cell>
        </row>
        <row r="13601">
          <cell r="A13601" t="str">
            <v>2620GT57</v>
          </cell>
          <cell r="D13601" t="str">
            <v>FTW121KR</v>
          </cell>
          <cell r="E13601">
            <v>46174</v>
          </cell>
        </row>
        <row r="13602">
          <cell r="A13602" t="str">
            <v>2620CB47</v>
          </cell>
          <cell r="D13602" t="str">
            <v>FTW121KR</v>
          </cell>
          <cell r="E13602">
            <v>46174</v>
          </cell>
        </row>
        <row r="13603">
          <cell r="A13603" t="str">
            <v>2620W557</v>
          </cell>
          <cell r="D13603" t="str">
            <v>FTW121KR</v>
          </cell>
          <cell r="E13603">
            <v>46174</v>
          </cell>
        </row>
        <row r="13604">
          <cell r="A13604" t="str">
            <v>2620AY47</v>
          </cell>
          <cell r="D13604" t="str">
            <v>S706</v>
          </cell>
          <cell r="E13604">
            <v>46174</v>
          </cell>
        </row>
        <row r="13605">
          <cell r="A13605" t="str">
            <v>2620Q237</v>
          </cell>
          <cell r="D13605" t="str">
            <v>KBP76</v>
          </cell>
          <cell r="E13605">
            <v>46174</v>
          </cell>
        </row>
        <row r="13606">
          <cell r="A13606" t="str">
            <v>2620W257</v>
          </cell>
          <cell r="D13606" t="str">
            <v>FTW121KR</v>
          </cell>
          <cell r="E13606">
            <v>46174</v>
          </cell>
        </row>
        <row r="13607">
          <cell r="A13607" t="str">
            <v>2620P727</v>
          </cell>
          <cell r="D13607" t="str">
            <v>TTS80</v>
          </cell>
          <cell r="E13607">
            <v>46174</v>
          </cell>
        </row>
        <row r="13608">
          <cell r="A13608" t="str">
            <v>2613CF27</v>
          </cell>
          <cell r="D13608" t="str">
            <v>FTW503</v>
          </cell>
          <cell r="E13608">
            <v>46174</v>
          </cell>
        </row>
        <row r="13609">
          <cell r="A13609" t="str">
            <v>2621H227</v>
          </cell>
          <cell r="D13609" t="str">
            <v>FTW102K</v>
          </cell>
          <cell r="E13609">
            <v>46174</v>
          </cell>
        </row>
        <row r="13610">
          <cell r="A13610" t="str">
            <v>2620A317</v>
          </cell>
          <cell r="D13610" t="str">
            <v>KBP76</v>
          </cell>
          <cell r="E13610">
            <v>46174</v>
          </cell>
        </row>
        <row r="13611">
          <cell r="A13611" t="str">
            <v>2620EA47</v>
          </cell>
          <cell r="D13611" t="str">
            <v>TTS50</v>
          </cell>
          <cell r="E13611">
            <v>46174</v>
          </cell>
        </row>
        <row r="13612">
          <cell r="A13612" t="str">
            <v>2620SP57</v>
          </cell>
          <cell r="D13612" t="str">
            <v>KBP86</v>
          </cell>
          <cell r="E13612">
            <v>46174</v>
          </cell>
        </row>
        <row r="13613">
          <cell r="A13613" t="str">
            <v>2620WC57</v>
          </cell>
          <cell r="D13613" t="str">
            <v>FTW121KR</v>
          </cell>
          <cell r="E13613">
            <v>46174</v>
          </cell>
        </row>
        <row r="13614">
          <cell r="A13614" t="str">
            <v>2620QR57</v>
          </cell>
          <cell r="D13614" t="str">
            <v>KBP86</v>
          </cell>
          <cell r="E13614">
            <v>46174</v>
          </cell>
        </row>
        <row r="13615">
          <cell r="A13615" t="str">
            <v>2616BT47</v>
          </cell>
          <cell r="D13615" t="str">
            <v>STA156KA</v>
          </cell>
          <cell r="E13615">
            <v>46174</v>
          </cell>
        </row>
        <row r="13616">
          <cell r="A13616" t="str">
            <v>2621IT17</v>
          </cell>
          <cell r="D13616" t="str">
            <v>KBP126</v>
          </cell>
          <cell r="E13616">
            <v>46174</v>
          </cell>
        </row>
        <row r="13617">
          <cell r="A13617" t="str">
            <v>2617OL27</v>
          </cell>
          <cell r="D13617" t="str">
            <v>FTP200</v>
          </cell>
          <cell r="E13617">
            <v>46174</v>
          </cell>
        </row>
        <row r="13618">
          <cell r="A13618" t="str">
            <v>2621SG17</v>
          </cell>
          <cell r="D13618" t="str">
            <v>KBP74</v>
          </cell>
          <cell r="E13618">
            <v>46174</v>
          </cell>
        </row>
        <row r="13619">
          <cell r="A13619" t="str">
            <v>2620IZ57</v>
          </cell>
          <cell r="D13619" t="str">
            <v>TTS50</v>
          </cell>
          <cell r="E13619">
            <v>46174</v>
          </cell>
        </row>
        <row r="13620">
          <cell r="A13620" t="str">
            <v>2619YN57</v>
          </cell>
          <cell r="D13620" t="str">
            <v>KBP86</v>
          </cell>
          <cell r="E13620">
            <v>46174</v>
          </cell>
        </row>
        <row r="13621">
          <cell r="A13621" t="str">
            <v>2620CR47</v>
          </cell>
          <cell r="D13621" t="str">
            <v>KBP86</v>
          </cell>
          <cell r="E13621">
            <v>46174</v>
          </cell>
        </row>
        <row r="13622">
          <cell r="A13622" t="str">
            <v>2617OA57</v>
          </cell>
          <cell r="D13622" t="str">
            <v>FTW503</v>
          </cell>
          <cell r="E13622">
            <v>46174</v>
          </cell>
        </row>
        <row r="13623">
          <cell r="A13623" t="str">
            <v>2620DS67</v>
          </cell>
          <cell r="D13623" t="str">
            <v>KBP86</v>
          </cell>
          <cell r="E13623">
            <v>46174</v>
          </cell>
        </row>
        <row r="13624">
          <cell r="A13624" t="str">
            <v>2620D667</v>
          </cell>
          <cell r="D13624" t="str">
            <v>TTS80</v>
          </cell>
          <cell r="E13624">
            <v>46174</v>
          </cell>
        </row>
        <row r="13625">
          <cell r="A13625" t="str">
            <v>2621S917</v>
          </cell>
          <cell r="D13625" t="str">
            <v>KBP76</v>
          </cell>
          <cell r="E13625">
            <v>46174</v>
          </cell>
        </row>
        <row r="13626">
          <cell r="A13626" t="str">
            <v>2613F327</v>
          </cell>
          <cell r="D13626" t="str">
            <v>FTW102K</v>
          </cell>
          <cell r="E13626">
            <v>46174</v>
          </cell>
        </row>
        <row r="13627">
          <cell r="A13627" t="str">
            <v>2621SF17</v>
          </cell>
          <cell r="D13627" t="str">
            <v>KBP74</v>
          </cell>
          <cell r="E13627">
            <v>46174</v>
          </cell>
        </row>
        <row r="13628">
          <cell r="A13628" t="str">
            <v>2616JY37</v>
          </cell>
          <cell r="D13628" t="str">
            <v>FTW700</v>
          </cell>
          <cell r="E13628">
            <v>46174</v>
          </cell>
        </row>
        <row r="13629">
          <cell r="A13629" t="str">
            <v>2620VZ57</v>
          </cell>
          <cell r="D13629" t="str">
            <v>FTW121KE</v>
          </cell>
          <cell r="E13629">
            <v>46174</v>
          </cell>
        </row>
        <row r="13630">
          <cell r="A13630" t="str">
            <v>2621SE17</v>
          </cell>
          <cell r="D13630" t="str">
            <v>KBP76</v>
          </cell>
          <cell r="E13630">
            <v>46174</v>
          </cell>
        </row>
        <row r="13631">
          <cell r="A13631" t="str">
            <v>2620A217</v>
          </cell>
          <cell r="D13631" t="str">
            <v>KBP76</v>
          </cell>
          <cell r="E13631">
            <v>46174</v>
          </cell>
        </row>
        <row r="13632">
          <cell r="A13632" t="str">
            <v>2621IF27</v>
          </cell>
          <cell r="D13632" t="str">
            <v>FTW121KR</v>
          </cell>
          <cell r="E13632">
            <v>46174</v>
          </cell>
        </row>
        <row r="13633">
          <cell r="A13633" t="str">
            <v>2620VW57</v>
          </cell>
          <cell r="D13633" t="str">
            <v>FTW121KR</v>
          </cell>
          <cell r="E13633">
            <v>46174</v>
          </cell>
        </row>
        <row r="13634">
          <cell r="A13634" t="str">
            <v>2621IS17</v>
          </cell>
          <cell r="D13634" t="str">
            <v>S15MB</v>
          </cell>
          <cell r="E13634">
            <v>46174</v>
          </cell>
        </row>
        <row r="13635">
          <cell r="A13635" t="str">
            <v>2620IE57</v>
          </cell>
          <cell r="D13635" t="str">
            <v>KBP86</v>
          </cell>
          <cell r="E13635">
            <v>46174</v>
          </cell>
        </row>
        <row r="13636">
          <cell r="A13636" t="str">
            <v>2620AU67</v>
          </cell>
          <cell r="D13636" t="str">
            <v>KBP86</v>
          </cell>
          <cell r="E13636">
            <v>46174</v>
          </cell>
        </row>
        <row r="13637">
          <cell r="A13637" t="str">
            <v>2620VV57</v>
          </cell>
          <cell r="D13637" t="str">
            <v>FTW121KR</v>
          </cell>
          <cell r="E13637">
            <v>46174</v>
          </cell>
        </row>
        <row r="13638">
          <cell r="A13638" t="str">
            <v>2619E657</v>
          </cell>
          <cell r="D13638" t="str">
            <v>KBP76</v>
          </cell>
          <cell r="E13638">
            <v>46173</v>
          </cell>
        </row>
        <row r="13639">
          <cell r="A13639" t="str">
            <v>2619E657</v>
          </cell>
          <cell r="D13639" t="str">
            <v>KBP76</v>
          </cell>
          <cell r="E13639">
            <v>46173</v>
          </cell>
        </row>
        <row r="13640">
          <cell r="A13640" t="str">
            <v>2618Z427</v>
          </cell>
          <cell r="D13640" t="str">
            <v>S706</v>
          </cell>
          <cell r="E13640">
            <v>46173</v>
          </cell>
        </row>
        <row r="13641">
          <cell r="A13641" t="str">
            <v>2618Z427</v>
          </cell>
          <cell r="D13641" t="str">
            <v>S706</v>
          </cell>
          <cell r="E13641">
            <v>46173</v>
          </cell>
        </row>
        <row r="13642">
          <cell r="A13642" t="str">
            <v>2621SJ17</v>
          </cell>
          <cell r="D13642" t="str">
            <v>KBP55</v>
          </cell>
          <cell r="E13642">
            <v>46173</v>
          </cell>
        </row>
        <row r="13643">
          <cell r="A13643" t="str">
            <v>2620LP27</v>
          </cell>
          <cell r="D13643" t="str">
            <v>HV80</v>
          </cell>
          <cell r="E13643">
            <v>46173</v>
          </cell>
        </row>
        <row r="13644">
          <cell r="A13644" t="str">
            <v>2618GP27</v>
          </cell>
          <cell r="D13644" t="str">
            <v>FTW503</v>
          </cell>
          <cell r="E13644">
            <v>46173</v>
          </cell>
        </row>
        <row r="13645">
          <cell r="A13645" t="str">
            <v>2620LD27</v>
          </cell>
          <cell r="D13645" t="str">
            <v>KBP86</v>
          </cell>
          <cell r="E13645">
            <v>46173</v>
          </cell>
        </row>
        <row r="13646">
          <cell r="A13646" t="str">
            <v>2618Z527</v>
          </cell>
          <cell r="D13646" t="str">
            <v>S706</v>
          </cell>
          <cell r="E13646">
            <v>46173</v>
          </cell>
        </row>
        <row r="13647">
          <cell r="A13647" t="str">
            <v>2619E657</v>
          </cell>
          <cell r="D13647" t="str">
            <v>KBP76</v>
          </cell>
          <cell r="E13647">
            <v>46173</v>
          </cell>
        </row>
        <row r="13648">
          <cell r="A13648" t="str">
            <v>2620C547</v>
          </cell>
          <cell r="D13648" t="str">
            <v>FTW121KE</v>
          </cell>
          <cell r="E13648">
            <v>46173</v>
          </cell>
        </row>
        <row r="13649">
          <cell r="A13649" t="str">
            <v>2618Z527</v>
          </cell>
          <cell r="D13649" t="str">
            <v>S706</v>
          </cell>
          <cell r="E13649">
            <v>46173</v>
          </cell>
        </row>
        <row r="13650">
          <cell r="A13650" t="str">
            <v>2620BP47</v>
          </cell>
          <cell r="D13650" t="str">
            <v>FTW121KE</v>
          </cell>
          <cell r="E13650">
            <v>46173</v>
          </cell>
        </row>
        <row r="13651">
          <cell r="A13651" t="str">
            <v>2620KW17</v>
          </cell>
          <cell r="D13651" t="str">
            <v>HV80</v>
          </cell>
          <cell r="E13651">
            <v>46173</v>
          </cell>
        </row>
        <row r="13652">
          <cell r="A13652" t="str">
            <v>2619SQ57</v>
          </cell>
          <cell r="D13652" t="str">
            <v>TTS80</v>
          </cell>
          <cell r="E13652">
            <v>46173</v>
          </cell>
        </row>
        <row r="13653">
          <cell r="A13653" t="str">
            <v>2621PM27</v>
          </cell>
          <cell r="D13653" t="str">
            <v>KBP74</v>
          </cell>
          <cell r="E13653">
            <v>46173</v>
          </cell>
        </row>
        <row r="13654">
          <cell r="A13654" t="str">
            <v>2620JY27</v>
          </cell>
          <cell r="D13654" t="str">
            <v>FTW121KE</v>
          </cell>
          <cell r="E13654">
            <v>46173</v>
          </cell>
        </row>
        <row r="13655">
          <cell r="A13655" t="str">
            <v>2619E657</v>
          </cell>
          <cell r="D13655" t="str">
            <v>KBP76</v>
          </cell>
          <cell r="E13655">
            <v>46173</v>
          </cell>
        </row>
        <row r="13656">
          <cell r="A13656" t="str">
            <v>2620DV67</v>
          </cell>
          <cell r="D13656" t="str">
            <v>KBP86</v>
          </cell>
          <cell r="E13656">
            <v>46173</v>
          </cell>
        </row>
        <row r="13657">
          <cell r="A13657" t="str">
            <v>2621BY27</v>
          </cell>
          <cell r="D13657" t="str">
            <v>S15MB</v>
          </cell>
          <cell r="E13657">
            <v>46173</v>
          </cell>
        </row>
        <row r="13658">
          <cell r="A13658" t="str">
            <v>2620HU57</v>
          </cell>
          <cell r="D13658" t="str">
            <v>KBP86</v>
          </cell>
          <cell r="E13658">
            <v>46173</v>
          </cell>
        </row>
        <row r="13659">
          <cell r="A13659" t="str">
            <v>2619F957</v>
          </cell>
          <cell r="D13659" t="str">
            <v>HV80</v>
          </cell>
          <cell r="E13659">
            <v>46173</v>
          </cell>
        </row>
        <row r="13660">
          <cell r="A13660" t="str">
            <v>2620BZ47</v>
          </cell>
          <cell r="D13660" t="str">
            <v>FTW121KR</v>
          </cell>
          <cell r="E13660">
            <v>46173</v>
          </cell>
        </row>
        <row r="13661">
          <cell r="A13661" t="str">
            <v>2613FL37</v>
          </cell>
          <cell r="D13661" t="str">
            <v>FTW503</v>
          </cell>
          <cell r="E13661">
            <v>46173</v>
          </cell>
        </row>
        <row r="13662">
          <cell r="A13662" t="str">
            <v>2621H627</v>
          </cell>
          <cell r="D13662" t="str">
            <v>KBP126</v>
          </cell>
          <cell r="E13662">
            <v>46173</v>
          </cell>
        </row>
        <row r="13663">
          <cell r="A13663" t="str">
            <v>2619E657</v>
          </cell>
          <cell r="D13663" t="str">
            <v>KBP76</v>
          </cell>
          <cell r="E13663">
            <v>46173</v>
          </cell>
        </row>
        <row r="13664">
          <cell r="A13664" t="str">
            <v>2621OC17</v>
          </cell>
          <cell r="D13664" t="str">
            <v>FTW121KR</v>
          </cell>
          <cell r="E13664">
            <v>46173</v>
          </cell>
        </row>
        <row r="13665">
          <cell r="A13665" t="str">
            <v>2619ZW57</v>
          </cell>
          <cell r="D13665" t="str">
            <v>KBP86</v>
          </cell>
          <cell r="E13665">
            <v>46173</v>
          </cell>
        </row>
        <row r="13666">
          <cell r="A13666" t="str">
            <v>2620GP57</v>
          </cell>
          <cell r="D13666" t="str">
            <v>FTW121KR</v>
          </cell>
          <cell r="E13666">
            <v>46173</v>
          </cell>
        </row>
        <row r="13667">
          <cell r="A13667" t="str">
            <v>2620KV17</v>
          </cell>
          <cell r="D13667" t="str">
            <v>HV80</v>
          </cell>
          <cell r="E13667">
            <v>46173</v>
          </cell>
        </row>
        <row r="13668">
          <cell r="A13668" t="str">
            <v>2620P957</v>
          </cell>
          <cell r="D13668" t="str">
            <v>S15MB</v>
          </cell>
          <cell r="E13668">
            <v>46173</v>
          </cell>
        </row>
        <row r="13669">
          <cell r="A13669" t="str">
            <v>2617KM27</v>
          </cell>
          <cell r="D13669" t="str">
            <v>KBP76</v>
          </cell>
          <cell r="E13669">
            <v>46173</v>
          </cell>
        </row>
        <row r="13670">
          <cell r="A13670" t="str">
            <v>2621LX17</v>
          </cell>
          <cell r="D13670" t="str">
            <v>TTS50</v>
          </cell>
          <cell r="E13670">
            <v>46173</v>
          </cell>
        </row>
        <row r="13671">
          <cell r="A13671" t="str">
            <v>2619F257</v>
          </cell>
          <cell r="D13671" t="str">
            <v>HV80</v>
          </cell>
          <cell r="E13671">
            <v>46173</v>
          </cell>
        </row>
        <row r="13672">
          <cell r="A13672" t="str">
            <v>2619YM57</v>
          </cell>
          <cell r="D13672" t="str">
            <v>KBP86</v>
          </cell>
          <cell r="E13672">
            <v>46173</v>
          </cell>
        </row>
        <row r="13673">
          <cell r="A13673" t="str">
            <v>2620CS67</v>
          </cell>
          <cell r="D13673" t="str">
            <v>KBP74</v>
          </cell>
          <cell r="E13673">
            <v>46173</v>
          </cell>
        </row>
        <row r="13674">
          <cell r="A13674" t="str">
            <v>2620HZ57</v>
          </cell>
          <cell r="D13674" t="str">
            <v>KBP86</v>
          </cell>
          <cell r="E13674">
            <v>46173</v>
          </cell>
        </row>
        <row r="13675">
          <cell r="A13675" t="str">
            <v>2620DZ47</v>
          </cell>
          <cell r="D13675" t="str">
            <v>HV80</v>
          </cell>
          <cell r="E13675">
            <v>46173</v>
          </cell>
        </row>
        <row r="13676">
          <cell r="A13676" t="str">
            <v>2620Q137</v>
          </cell>
          <cell r="D13676" t="str">
            <v>KBP76</v>
          </cell>
          <cell r="E13676">
            <v>46173</v>
          </cell>
        </row>
        <row r="13677">
          <cell r="A13677" t="str">
            <v>2620KZ17</v>
          </cell>
          <cell r="D13677" t="str">
            <v>TTS50</v>
          </cell>
          <cell r="E13677">
            <v>46173</v>
          </cell>
        </row>
        <row r="13678">
          <cell r="A13678" t="str">
            <v>2619Q957</v>
          </cell>
          <cell r="D13678" t="str">
            <v>KBP76</v>
          </cell>
          <cell r="E13678">
            <v>46173</v>
          </cell>
        </row>
        <row r="13679">
          <cell r="A13679" t="str">
            <v>2619ET57</v>
          </cell>
          <cell r="D13679" t="str">
            <v>HV80</v>
          </cell>
          <cell r="E13679">
            <v>46173</v>
          </cell>
        </row>
        <row r="13680">
          <cell r="A13680" t="str">
            <v>2621G827</v>
          </cell>
          <cell r="D13680" t="str">
            <v>KBP76</v>
          </cell>
          <cell r="E13680">
            <v>46173</v>
          </cell>
        </row>
        <row r="13681">
          <cell r="A13681" t="str">
            <v>2620PQ37</v>
          </cell>
          <cell r="D13681" t="str">
            <v>TTS50</v>
          </cell>
          <cell r="E13681">
            <v>46173</v>
          </cell>
        </row>
        <row r="13682">
          <cell r="A13682" t="str">
            <v>2620OU37</v>
          </cell>
          <cell r="D13682" t="str">
            <v>KBP52</v>
          </cell>
          <cell r="E13682">
            <v>46173</v>
          </cell>
        </row>
        <row r="13683">
          <cell r="A13683" t="str">
            <v>2620KM17</v>
          </cell>
          <cell r="D13683" t="str">
            <v>HV80</v>
          </cell>
          <cell r="E13683">
            <v>46173</v>
          </cell>
        </row>
        <row r="13684">
          <cell r="A13684" t="str">
            <v>2621SJ17</v>
          </cell>
          <cell r="D13684" t="str">
            <v>KBP55</v>
          </cell>
          <cell r="E13684">
            <v>46173</v>
          </cell>
        </row>
        <row r="13685">
          <cell r="A13685" t="str">
            <v>2620PM37</v>
          </cell>
          <cell r="D13685" t="str">
            <v>TTS50</v>
          </cell>
          <cell r="E13685">
            <v>46173</v>
          </cell>
        </row>
        <row r="13686">
          <cell r="A13686" t="str">
            <v>2620BS47</v>
          </cell>
          <cell r="D13686" t="str">
            <v>FTW121KR</v>
          </cell>
          <cell r="E13686">
            <v>46173</v>
          </cell>
        </row>
        <row r="13687">
          <cell r="A13687" t="str">
            <v>2620EJ80</v>
          </cell>
          <cell r="D13687" t="str">
            <v>TTS125</v>
          </cell>
          <cell r="E13687">
            <v>46173</v>
          </cell>
        </row>
        <row r="13688">
          <cell r="A13688" t="str">
            <v>2620YH17</v>
          </cell>
          <cell r="D13688" t="str">
            <v>KBP86</v>
          </cell>
          <cell r="E13688">
            <v>46173</v>
          </cell>
        </row>
        <row r="13689">
          <cell r="A13689" t="str">
            <v>2612I527</v>
          </cell>
          <cell r="D13689" t="str">
            <v>FTW700</v>
          </cell>
          <cell r="E13689">
            <v>46173</v>
          </cell>
        </row>
        <row r="13690">
          <cell r="A13690" t="str">
            <v>2620O517</v>
          </cell>
          <cell r="D13690" t="str">
            <v>TTS80</v>
          </cell>
          <cell r="E13690">
            <v>46173</v>
          </cell>
        </row>
        <row r="13691">
          <cell r="A13691" t="str">
            <v>2620KW17</v>
          </cell>
          <cell r="D13691" t="str">
            <v>HV80</v>
          </cell>
          <cell r="E13691">
            <v>46173</v>
          </cell>
        </row>
        <row r="13692">
          <cell r="A13692" t="str">
            <v>2620GR57</v>
          </cell>
          <cell r="D13692" t="str">
            <v>FTW121KR</v>
          </cell>
          <cell r="E13692">
            <v>46173</v>
          </cell>
        </row>
        <row r="13693">
          <cell r="A13693" t="str">
            <v>2620J137</v>
          </cell>
          <cell r="D13693" t="str">
            <v>KBP86</v>
          </cell>
          <cell r="E13693">
            <v>46173</v>
          </cell>
        </row>
        <row r="13694">
          <cell r="A13694" t="str">
            <v>2620JZ27</v>
          </cell>
          <cell r="D13694" t="str">
            <v>FTW121KR</v>
          </cell>
          <cell r="E13694">
            <v>46173</v>
          </cell>
        </row>
        <row r="13695">
          <cell r="A13695" t="str">
            <v>2620KV17</v>
          </cell>
          <cell r="D13695" t="str">
            <v>HV80</v>
          </cell>
          <cell r="E13695">
            <v>46173</v>
          </cell>
        </row>
        <row r="13696">
          <cell r="A13696" t="str">
            <v>2620WP57</v>
          </cell>
          <cell r="D13696" t="str">
            <v>FTW121KR</v>
          </cell>
          <cell r="E13696">
            <v>46173</v>
          </cell>
        </row>
        <row r="13697">
          <cell r="A13697" t="str">
            <v>2619E657</v>
          </cell>
          <cell r="D13697" t="str">
            <v>KBP76</v>
          </cell>
          <cell r="E13697">
            <v>46173</v>
          </cell>
        </row>
        <row r="13698">
          <cell r="A13698" t="str">
            <v>2621IP17</v>
          </cell>
          <cell r="D13698" t="str">
            <v>S15MB</v>
          </cell>
          <cell r="E13698">
            <v>46173</v>
          </cell>
        </row>
        <row r="13699">
          <cell r="A13699" t="str">
            <v>2620DZ47</v>
          </cell>
          <cell r="D13699" t="str">
            <v>HV80</v>
          </cell>
          <cell r="E13699">
            <v>46173</v>
          </cell>
        </row>
        <row r="13700">
          <cell r="A13700" t="str">
            <v>2620C347</v>
          </cell>
          <cell r="D13700" t="str">
            <v>FTW121KR</v>
          </cell>
          <cell r="E13700">
            <v>46173</v>
          </cell>
        </row>
        <row r="13701">
          <cell r="A13701" t="str">
            <v>2620S857</v>
          </cell>
          <cell r="D13701" t="str">
            <v>KBP86</v>
          </cell>
          <cell r="E13701">
            <v>46173</v>
          </cell>
        </row>
        <row r="13702">
          <cell r="A13702" t="str">
            <v>2621OU17</v>
          </cell>
          <cell r="D13702" t="str">
            <v>FTW121KR</v>
          </cell>
          <cell r="E13702">
            <v>46173</v>
          </cell>
        </row>
        <row r="13703">
          <cell r="A13703" t="str">
            <v>2620KM17</v>
          </cell>
          <cell r="D13703" t="str">
            <v>HV80</v>
          </cell>
          <cell r="E13703">
            <v>46173</v>
          </cell>
        </row>
        <row r="13704">
          <cell r="A13704" t="str">
            <v>2620II67</v>
          </cell>
          <cell r="D13704" t="str">
            <v>KBP76</v>
          </cell>
          <cell r="E13704">
            <v>46173</v>
          </cell>
        </row>
        <row r="13705">
          <cell r="A13705" t="str">
            <v>2609QN57</v>
          </cell>
          <cell r="D13705" t="str">
            <v>FTW700</v>
          </cell>
          <cell r="E13705">
            <v>46173</v>
          </cell>
        </row>
        <row r="13706">
          <cell r="A13706" t="str">
            <v>2620EA67</v>
          </cell>
          <cell r="D13706" t="str">
            <v>KBP86</v>
          </cell>
          <cell r="E13706">
            <v>46173</v>
          </cell>
        </row>
        <row r="13707">
          <cell r="A13707" t="str">
            <v>2620E447</v>
          </cell>
          <cell r="D13707" t="str">
            <v>TTS50</v>
          </cell>
          <cell r="E13707">
            <v>46173</v>
          </cell>
        </row>
        <row r="13708">
          <cell r="A13708" t="str">
            <v>2620KB17</v>
          </cell>
          <cell r="D13708" t="str">
            <v>FTW121KR</v>
          </cell>
          <cell r="E13708">
            <v>46173</v>
          </cell>
        </row>
        <row r="13709">
          <cell r="A13709" t="str">
            <v>2620PI37</v>
          </cell>
          <cell r="D13709" t="str">
            <v>TTS50</v>
          </cell>
          <cell r="E13709">
            <v>46173</v>
          </cell>
        </row>
        <row r="13710">
          <cell r="A13710" t="str">
            <v>2620KH37</v>
          </cell>
          <cell r="D13710" t="str">
            <v>FTW121KR</v>
          </cell>
          <cell r="E13710">
            <v>46173</v>
          </cell>
        </row>
        <row r="13711">
          <cell r="A13711" t="str">
            <v>2620BO67</v>
          </cell>
          <cell r="D13711" t="str">
            <v>TTS50</v>
          </cell>
          <cell r="E13711">
            <v>46173</v>
          </cell>
        </row>
        <row r="13712">
          <cell r="A13712" t="str">
            <v>2621LN37</v>
          </cell>
          <cell r="D13712" t="str">
            <v>S706</v>
          </cell>
          <cell r="E13712">
            <v>46173</v>
          </cell>
        </row>
        <row r="13713">
          <cell r="A13713" t="str">
            <v>2620JY17</v>
          </cell>
          <cell r="D13713" t="str">
            <v>FTW121KE</v>
          </cell>
          <cell r="E13713">
            <v>46173</v>
          </cell>
        </row>
        <row r="13714">
          <cell r="A13714" t="str">
            <v>2621O627</v>
          </cell>
          <cell r="D13714" t="str">
            <v>S706</v>
          </cell>
          <cell r="E13714">
            <v>46173</v>
          </cell>
        </row>
        <row r="13715">
          <cell r="A13715" t="str">
            <v>2621SC17</v>
          </cell>
          <cell r="D13715" t="str">
            <v>KBP76</v>
          </cell>
          <cell r="E13715">
            <v>46173</v>
          </cell>
        </row>
        <row r="13716">
          <cell r="A13716" t="str">
            <v>2621QX17</v>
          </cell>
          <cell r="D13716" t="str">
            <v>S706</v>
          </cell>
          <cell r="E13716">
            <v>46173</v>
          </cell>
        </row>
        <row r="13717">
          <cell r="A13717" t="str">
            <v>2621P527</v>
          </cell>
          <cell r="D13717" t="str">
            <v>KBP76</v>
          </cell>
          <cell r="E13717">
            <v>46173</v>
          </cell>
        </row>
        <row r="13718">
          <cell r="A13718" t="str">
            <v>2621O527</v>
          </cell>
          <cell r="D13718" t="str">
            <v>S706</v>
          </cell>
          <cell r="E13718">
            <v>46173</v>
          </cell>
        </row>
        <row r="13719">
          <cell r="A13719" t="str">
            <v>2620OD37</v>
          </cell>
          <cell r="D13719" t="str">
            <v>KBP86</v>
          </cell>
          <cell r="E13719">
            <v>46173</v>
          </cell>
        </row>
        <row r="13720">
          <cell r="A13720" t="str">
            <v>2620OK37</v>
          </cell>
          <cell r="D13720" t="str">
            <v>KBP86</v>
          </cell>
          <cell r="E13720">
            <v>46173</v>
          </cell>
        </row>
        <row r="13721">
          <cell r="A13721" t="str">
            <v>2619SL57</v>
          </cell>
          <cell r="D13721" t="str">
            <v>TTS80</v>
          </cell>
          <cell r="E13721">
            <v>46173</v>
          </cell>
        </row>
        <row r="13722">
          <cell r="A13722" t="str">
            <v>2620KD17</v>
          </cell>
          <cell r="D13722" t="str">
            <v>FTW121KE</v>
          </cell>
          <cell r="E13722">
            <v>46173</v>
          </cell>
        </row>
        <row r="13723">
          <cell r="A13723" t="str">
            <v>2619ST27</v>
          </cell>
          <cell r="D13723" t="str">
            <v>TTS50</v>
          </cell>
          <cell r="E13723">
            <v>46173</v>
          </cell>
        </row>
        <row r="13724">
          <cell r="A13724" t="str">
            <v>2620IK27</v>
          </cell>
          <cell r="D13724" t="str">
            <v>KBP86</v>
          </cell>
          <cell r="E13724">
            <v>46173</v>
          </cell>
        </row>
        <row r="13725">
          <cell r="A13725" t="str">
            <v>2619Y757</v>
          </cell>
          <cell r="D13725" t="str">
            <v>KBP86</v>
          </cell>
          <cell r="E13725">
            <v>46173</v>
          </cell>
        </row>
        <row r="13726">
          <cell r="A13726" t="str">
            <v>2619CW37</v>
          </cell>
          <cell r="D13726" t="str">
            <v>FTP150</v>
          </cell>
          <cell r="E13726">
            <v>46173</v>
          </cell>
        </row>
        <row r="13727">
          <cell r="A13727" t="str">
            <v>2620AS67</v>
          </cell>
          <cell r="D13727" t="str">
            <v>KBP86</v>
          </cell>
          <cell r="E13727">
            <v>46173</v>
          </cell>
        </row>
        <row r="13728">
          <cell r="A13728" t="str">
            <v>2612AP67</v>
          </cell>
          <cell r="D13728" t="str">
            <v>KBP76</v>
          </cell>
          <cell r="E13728">
            <v>46173</v>
          </cell>
        </row>
        <row r="13729">
          <cell r="A13729" t="str">
            <v>2621O517</v>
          </cell>
          <cell r="D13729" t="str">
            <v>KBP126</v>
          </cell>
          <cell r="E13729">
            <v>46173</v>
          </cell>
        </row>
        <row r="13730">
          <cell r="A13730" t="str">
            <v>2621BV27</v>
          </cell>
          <cell r="D13730" t="str">
            <v>S15MB</v>
          </cell>
          <cell r="E13730">
            <v>46173</v>
          </cell>
        </row>
        <row r="13731">
          <cell r="A13731" t="str">
            <v>2621O417</v>
          </cell>
          <cell r="D13731" t="str">
            <v>KBP126</v>
          </cell>
          <cell r="E13731">
            <v>46173</v>
          </cell>
        </row>
        <row r="13732">
          <cell r="A13732" t="str">
            <v>2621O317</v>
          </cell>
          <cell r="D13732" t="str">
            <v>KBP126</v>
          </cell>
          <cell r="E13732">
            <v>46173</v>
          </cell>
        </row>
        <row r="13733">
          <cell r="A13733" t="str">
            <v>2617J247</v>
          </cell>
          <cell r="D13733" t="str">
            <v>FTW503</v>
          </cell>
          <cell r="E13733">
            <v>46173</v>
          </cell>
        </row>
        <row r="13734">
          <cell r="A13734" t="str">
            <v>2620P827</v>
          </cell>
          <cell r="D13734" t="str">
            <v>TTS80</v>
          </cell>
          <cell r="E13734">
            <v>46173</v>
          </cell>
        </row>
        <row r="13735">
          <cell r="A13735" t="str">
            <v>2620YN17</v>
          </cell>
          <cell r="D13735" t="str">
            <v>KBP86</v>
          </cell>
          <cell r="E13735">
            <v>46173</v>
          </cell>
        </row>
        <row r="13736">
          <cell r="A13736" t="str">
            <v>2619F467</v>
          </cell>
          <cell r="D13736" t="str">
            <v>KBP86</v>
          </cell>
          <cell r="E13736">
            <v>46173</v>
          </cell>
        </row>
        <row r="13737">
          <cell r="A13737" t="str">
            <v>2621G527</v>
          </cell>
          <cell r="D13737" t="str">
            <v>KBP86</v>
          </cell>
          <cell r="E13737">
            <v>46173</v>
          </cell>
        </row>
        <row r="13738">
          <cell r="A13738" t="str">
            <v>2620BY47</v>
          </cell>
          <cell r="D13738" t="str">
            <v>FTW121KR</v>
          </cell>
          <cell r="E13738">
            <v>46173</v>
          </cell>
        </row>
        <row r="13739">
          <cell r="A13739" t="str">
            <v>2620OZ27</v>
          </cell>
          <cell r="D13739" t="str">
            <v>TTS80</v>
          </cell>
          <cell r="E13739">
            <v>46173</v>
          </cell>
        </row>
        <row r="13740">
          <cell r="A13740" t="str">
            <v>2619EC57</v>
          </cell>
          <cell r="D13740" t="str">
            <v>TTS50</v>
          </cell>
          <cell r="E13740">
            <v>46173</v>
          </cell>
        </row>
        <row r="13741">
          <cell r="A13741" t="str">
            <v>2620KA27</v>
          </cell>
          <cell r="D13741" t="str">
            <v>KBP86</v>
          </cell>
          <cell r="E13741">
            <v>46173</v>
          </cell>
        </row>
        <row r="13742">
          <cell r="A13742" t="str">
            <v>2620C647</v>
          </cell>
          <cell r="D13742" t="str">
            <v>FTW121KR</v>
          </cell>
          <cell r="E13742">
            <v>46173</v>
          </cell>
        </row>
        <row r="13743">
          <cell r="A13743" t="str">
            <v>2619AI57</v>
          </cell>
          <cell r="D13743" t="str">
            <v>KBP86</v>
          </cell>
          <cell r="E13743">
            <v>46173</v>
          </cell>
        </row>
        <row r="13744">
          <cell r="A13744" t="str">
            <v>2621LZ17</v>
          </cell>
          <cell r="D13744" t="str">
            <v>KBP126</v>
          </cell>
          <cell r="E13744">
            <v>46173</v>
          </cell>
        </row>
        <row r="13745">
          <cell r="A13745" t="str">
            <v>2620OI27</v>
          </cell>
          <cell r="D13745" t="str">
            <v>KBP76</v>
          </cell>
          <cell r="E13745">
            <v>46173</v>
          </cell>
        </row>
        <row r="13746">
          <cell r="A13746" t="str">
            <v>2613CE27</v>
          </cell>
          <cell r="D13746" t="str">
            <v>FTW503</v>
          </cell>
          <cell r="E13746">
            <v>46173</v>
          </cell>
        </row>
        <row r="13747">
          <cell r="A13747" t="str">
            <v>2621PK27</v>
          </cell>
          <cell r="D13747" t="str">
            <v>KBP74</v>
          </cell>
          <cell r="E13747">
            <v>46173</v>
          </cell>
        </row>
        <row r="13748">
          <cell r="A13748" t="str">
            <v>2619FX67</v>
          </cell>
          <cell r="D13748" t="str">
            <v>FTP200</v>
          </cell>
          <cell r="E13748">
            <v>46173</v>
          </cell>
        </row>
        <row r="13749">
          <cell r="A13749" t="str">
            <v>2620A117</v>
          </cell>
          <cell r="D13749" t="str">
            <v>KBP76</v>
          </cell>
          <cell r="E13749">
            <v>46173</v>
          </cell>
        </row>
        <row r="13750">
          <cell r="A13750" t="str">
            <v>2613CN27</v>
          </cell>
          <cell r="D13750" t="str">
            <v>FTW503</v>
          </cell>
          <cell r="E13750">
            <v>46173</v>
          </cell>
        </row>
        <row r="13751">
          <cell r="A13751" t="str">
            <v>2621BT27</v>
          </cell>
          <cell r="D13751" t="str">
            <v>S15MB</v>
          </cell>
          <cell r="E13751">
            <v>46173</v>
          </cell>
        </row>
        <row r="13752">
          <cell r="A13752" t="str">
            <v>2620HW57</v>
          </cell>
          <cell r="D13752" t="str">
            <v>KBP86</v>
          </cell>
          <cell r="E13752">
            <v>46173</v>
          </cell>
        </row>
        <row r="13753">
          <cell r="A13753" t="str">
            <v>2620O937</v>
          </cell>
          <cell r="D13753" t="str">
            <v>KBP86</v>
          </cell>
          <cell r="E13753">
            <v>46173</v>
          </cell>
        </row>
        <row r="13754">
          <cell r="A13754" t="str">
            <v>2619Z657</v>
          </cell>
          <cell r="D13754" t="str">
            <v>KBP86</v>
          </cell>
          <cell r="E13754">
            <v>46173</v>
          </cell>
        </row>
        <row r="13755">
          <cell r="A13755" t="str">
            <v>2620CS47</v>
          </cell>
          <cell r="D13755" t="str">
            <v>KBP86</v>
          </cell>
          <cell r="E13755">
            <v>46173</v>
          </cell>
        </row>
        <row r="13756">
          <cell r="A13756" t="str">
            <v>2620QU37</v>
          </cell>
          <cell r="D13756" t="str">
            <v>TTS80</v>
          </cell>
          <cell r="E13756">
            <v>46173</v>
          </cell>
        </row>
        <row r="13757">
          <cell r="A13757" t="str">
            <v>2620JR17</v>
          </cell>
          <cell r="D13757" t="str">
            <v>FTW121KR</v>
          </cell>
          <cell r="E13757">
            <v>46173</v>
          </cell>
        </row>
        <row r="13758">
          <cell r="A13758" t="str">
            <v>2621BZ27</v>
          </cell>
          <cell r="D13758" t="str">
            <v>S15MB</v>
          </cell>
          <cell r="E13758">
            <v>46173</v>
          </cell>
        </row>
        <row r="13759">
          <cell r="A13759" t="str">
            <v>2615A427</v>
          </cell>
          <cell r="D13759" t="str">
            <v>FTP150</v>
          </cell>
          <cell r="E13759">
            <v>46173</v>
          </cell>
        </row>
        <row r="13760">
          <cell r="A13760" t="str">
            <v>2620KI17</v>
          </cell>
          <cell r="D13760" t="str">
            <v>KBP86</v>
          </cell>
          <cell r="E13760">
            <v>46173</v>
          </cell>
        </row>
        <row r="13761">
          <cell r="A13761" t="str">
            <v>2621O217</v>
          </cell>
          <cell r="D13761" t="str">
            <v>KBP126</v>
          </cell>
          <cell r="E13761">
            <v>46173</v>
          </cell>
        </row>
        <row r="13762">
          <cell r="A13762" t="str">
            <v>2620SL57</v>
          </cell>
          <cell r="D13762" t="str">
            <v>KBP86</v>
          </cell>
          <cell r="E13762">
            <v>46173</v>
          </cell>
        </row>
        <row r="13763">
          <cell r="A13763" t="str">
            <v>2620OS27</v>
          </cell>
          <cell r="D13763" t="str">
            <v>FTP200</v>
          </cell>
          <cell r="E13763">
            <v>46173</v>
          </cell>
        </row>
        <row r="13764">
          <cell r="A13764" t="str">
            <v>2621BU27</v>
          </cell>
          <cell r="D13764" t="str">
            <v>S15MB</v>
          </cell>
          <cell r="E13764">
            <v>46173</v>
          </cell>
        </row>
        <row r="13765">
          <cell r="A13765" t="str">
            <v>2620ER47</v>
          </cell>
          <cell r="D13765" t="str">
            <v>KBP55</v>
          </cell>
          <cell r="E13765">
            <v>46173</v>
          </cell>
        </row>
        <row r="13766">
          <cell r="A13766" t="str">
            <v>2617JK37</v>
          </cell>
          <cell r="D13766" t="str">
            <v>KBP74</v>
          </cell>
          <cell r="E13766">
            <v>46173</v>
          </cell>
        </row>
        <row r="13767">
          <cell r="A13767" t="str">
            <v>2617EG57</v>
          </cell>
          <cell r="D13767" t="str">
            <v>FTP150</v>
          </cell>
          <cell r="E13767">
            <v>46173</v>
          </cell>
        </row>
        <row r="13768">
          <cell r="A13768" t="str">
            <v>2612B667</v>
          </cell>
          <cell r="D13768" t="str">
            <v>FTW503</v>
          </cell>
          <cell r="E13768">
            <v>46173</v>
          </cell>
        </row>
        <row r="13769">
          <cell r="A13769" t="str">
            <v>2620P557</v>
          </cell>
          <cell r="D13769" t="str">
            <v>S15MB</v>
          </cell>
          <cell r="E13769">
            <v>46173</v>
          </cell>
        </row>
        <row r="13770">
          <cell r="A13770" t="str">
            <v>2620H257</v>
          </cell>
          <cell r="D13770" t="str">
            <v>FTW121KE</v>
          </cell>
          <cell r="E13770">
            <v>46173</v>
          </cell>
        </row>
        <row r="13771">
          <cell r="A13771" t="str">
            <v>2621J437</v>
          </cell>
          <cell r="D13771" t="str">
            <v>TTS50</v>
          </cell>
          <cell r="E13771">
            <v>46173</v>
          </cell>
        </row>
        <row r="13772">
          <cell r="A13772" t="str">
            <v>2621IU17</v>
          </cell>
          <cell r="D13772" t="str">
            <v>KBP76</v>
          </cell>
          <cell r="E13772">
            <v>46173</v>
          </cell>
        </row>
        <row r="13773">
          <cell r="A13773" t="str">
            <v>2620CE47</v>
          </cell>
          <cell r="D13773" t="str">
            <v>KBP86</v>
          </cell>
          <cell r="E13773">
            <v>46173</v>
          </cell>
        </row>
        <row r="13774">
          <cell r="A13774" t="str">
            <v>2617IY47</v>
          </cell>
          <cell r="D13774" t="str">
            <v>FTW503</v>
          </cell>
          <cell r="E13774">
            <v>46173</v>
          </cell>
        </row>
        <row r="13775">
          <cell r="A13775" t="str">
            <v>2619QZ27</v>
          </cell>
          <cell r="D13775" t="str">
            <v>TTS50</v>
          </cell>
          <cell r="E13775">
            <v>46173</v>
          </cell>
        </row>
        <row r="13776">
          <cell r="A13776" t="str">
            <v>2620C867</v>
          </cell>
          <cell r="D13776" t="str">
            <v>KBP76</v>
          </cell>
          <cell r="E13776">
            <v>46173</v>
          </cell>
        </row>
        <row r="13777">
          <cell r="A13777" t="str">
            <v>2620KH27</v>
          </cell>
          <cell r="D13777" t="str">
            <v>KBP86</v>
          </cell>
          <cell r="E13777">
            <v>46173</v>
          </cell>
        </row>
        <row r="13778">
          <cell r="A13778" t="str">
            <v>2619SF57</v>
          </cell>
          <cell r="D13778" t="str">
            <v>TTS80</v>
          </cell>
          <cell r="E13778">
            <v>46173</v>
          </cell>
        </row>
        <row r="13779">
          <cell r="A13779" t="str">
            <v>2620KQ27</v>
          </cell>
          <cell r="D13779" t="str">
            <v>KBP86</v>
          </cell>
          <cell r="E13779">
            <v>46173</v>
          </cell>
        </row>
        <row r="13780">
          <cell r="A13780" t="str">
            <v>2620OY27</v>
          </cell>
          <cell r="D13780" t="str">
            <v>TTS80</v>
          </cell>
          <cell r="E13780">
            <v>46173</v>
          </cell>
        </row>
        <row r="13781">
          <cell r="A13781" t="str">
            <v>2620EK50</v>
          </cell>
          <cell r="D13781" t="str">
            <v>TTS125</v>
          </cell>
          <cell r="E13781">
            <v>46173</v>
          </cell>
        </row>
        <row r="13782">
          <cell r="A13782" t="str">
            <v>2617FC37</v>
          </cell>
          <cell r="D13782" t="str">
            <v>FTW503</v>
          </cell>
          <cell r="E13782">
            <v>46173</v>
          </cell>
        </row>
        <row r="13783">
          <cell r="A13783" t="str">
            <v>2621E727</v>
          </cell>
          <cell r="D13783" t="str">
            <v>KBP76</v>
          </cell>
          <cell r="E13783">
            <v>46173</v>
          </cell>
        </row>
        <row r="13784">
          <cell r="A13784" t="str">
            <v>2621S517</v>
          </cell>
          <cell r="D13784" t="str">
            <v>KBP76</v>
          </cell>
          <cell r="E13784">
            <v>46173</v>
          </cell>
        </row>
        <row r="13785">
          <cell r="A13785" t="str">
            <v>2619AG57</v>
          </cell>
          <cell r="D13785" t="str">
            <v>KBP86</v>
          </cell>
          <cell r="E13785">
            <v>46173</v>
          </cell>
        </row>
        <row r="13786">
          <cell r="A13786" t="str">
            <v>2617UY57</v>
          </cell>
          <cell r="D13786" t="str">
            <v>KBP74</v>
          </cell>
          <cell r="E13786">
            <v>46173</v>
          </cell>
        </row>
        <row r="13787">
          <cell r="A13787" t="str">
            <v>2617GD57</v>
          </cell>
          <cell r="D13787" t="str">
            <v>FTP200</v>
          </cell>
          <cell r="E13787">
            <v>46173</v>
          </cell>
        </row>
        <row r="13788">
          <cell r="A13788" t="str">
            <v>2621SI17</v>
          </cell>
          <cell r="D13788" t="str">
            <v>KBP55</v>
          </cell>
          <cell r="E13788">
            <v>46173</v>
          </cell>
        </row>
        <row r="13789">
          <cell r="A13789" t="str">
            <v>2620II27</v>
          </cell>
          <cell r="D13789" t="str">
            <v>KBP86</v>
          </cell>
          <cell r="E13789">
            <v>46173</v>
          </cell>
        </row>
        <row r="13790">
          <cell r="A13790" t="str">
            <v>2620QH37</v>
          </cell>
          <cell r="D13790" t="str">
            <v>TTS80</v>
          </cell>
          <cell r="E13790">
            <v>46173</v>
          </cell>
        </row>
        <row r="13791">
          <cell r="A13791" t="str">
            <v>2619YV57</v>
          </cell>
          <cell r="D13791" t="str">
            <v>KBP86</v>
          </cell>
          <cell r="E13791">
            <v>46173</v>
          </cell>
        </row>
        <row r="13792">
          <cell r="A13792" t="str">
            <v>2621BW27</v>
          </cell>
          <cell r="D13792" t="str">
            <v>S15MB</v>
          </cell>
          <cell r="E13792">
            <v>46173</v>
          </cell>
        </row>
        <row r="13793">
          <cell r="A13793" t="str">
            <v>2616JW37</v>
          </cell>
          <cell r="D13793" t="str">
            <v>FTW700</v>
          </cell>
          <cell r="E13793">
            <v>46173</v>
          </cell>
        </row>
        <row r="13794">
          <cell r="A13794" t="str">
            <v>2612GW37</v>
          </cell>
          <cell r="D13794" t="str">
            <v>KBP76</v>
          </cell>
          <cell r="E13794">
            <v>46173</v>
          </cell>
        </row>
        <row r="13795">
          <cell r="A13795" t="str">
            <v>2620C947</v>
          </cell>
          <cell r="D13795" t="str">
            <v>FTW121KE</v>
          </cell>
          <cell r="E13795">
            <v>46173</v>
          </cell>
        </row>
        <row r="13796">
          <cell r="A13796" t="str">
            <v>2620CA67</v>
          </cell>
          <cell r="D13796" t="str">
            <v>KBP76</v>
          </cell>
          <cell r="E13796">
            <v>46173</v>
          </cell>
        </row>
        <row r="13797">
          <cell r="A13797" t="str">
            <v>2620C147</v>
          </cell>
          <cell r="D13797" t="str">
            <v>FTW121KE</v>
          </cell>
          <cell r="E13797">
            <v>46173</v>
          </cell>
        </row>
        <row r="13798">
          <cell r="A13798" t="str">
            <v>2620XV57</v>
          </cell>
          <cell r="D13798" t="str">
            <v>KBP86</v>
          </cell>
          <cell r="E13798">
            <v>46173</v>
          </cell>
        </row>
        <row r="13799">
          <cell r="A13799" t="str">
            <v>2620C447</v>
          </cell>
          <cell r="D13799" t="str">
            <v>FTW121KE</v>
          </cell>
          <cell r="E13799">
            <v>46173</v>
          </cell>
        </row>
        <row r="13800">
          <cell r="A13800" t="str">
            <v>2621SH17</v>
          </cell>
          <cell r="D13800" t="str">
            <v>KBP74</v>
          </cell>
          <cell r="E13800">
            <v>46173</v>
          </cell>
        </row>
        <row r="13801">
          <cell r="A13801" t="str">
            <v>2617OM57</v>
          </cell>
          <cell r="D13801" t="str">
            <v>FTW503</v>
          </cell>
          <cell r="E13801">
            <v>46173</v>
          </cell>
        </row>
        <row r="13802">
          <cell r="A13802" t="str">
            <v>2620YE17</v>
          </cell>
          <cell r="D13802" t="str">
            <v>KBP86</v>
          </cell>
          <cell r="E13802">
            <v>46173</v>
          </cell>
        </row>
        <row r="13803">
          <cell r="A13803" t="str">
            <v>2620KC37</v>
          </cell>
          <cell r="D13803" t="str">
            <v>FTW121KE</v>
          </cell>
          <cell r="E13803">
            <v>46173</v>
          </cell>
        </row>
        <row r="13804">
          <cell r="A13804" t="str">
            <v>2617HZ17</v>
          </cell>
          <cell r="D13804" t="str">
            <v>STA156KA</v>
          </cell>
          <cell r="E13804">
            <v>46173</v>
          </cell>
        </row>
        <row r="13805">
          <cell r="A13805" t="str">
            <v>2612BK67</v>
          </cell>
          <cell r="D13805" t="str">
            <v>FTW503</v>
          </cell>
          <cell r="E13805">
            <v>46173</v>
          </cell>
        </row>
        <row r="13806">
          <cell r="A13806" t="str">
            <v>2620IW37</v>
          </cell>
          <cell r="D13806" t="str">
            <v>KBP86</v>
          </cell>
          <cell r="E13806">
            <v>46173</v>
          </cell>
        </row>
        <row r="13807">
          <cell r="A13807" t="str">
            <v>2621O327</v>
          </cell>
          <cell r="D13807" t="str">
            <v>S706</v>
          </cell>
          <cell r="E13807">
            <v>46173</v>
          </cell>
        </row>
        <row r="13808">
          <cell r="A13808" t="str">
            <v>2621O427</v>
          </cell>
          <cell r="D13808" t="str">
            <v>S706</v>
          </cell>
          <cell r="E13808">
            <v>46173</v>
          </cell>
        </row>
        <row r="13809">
          <cell r="A13809" t="str">
            <v>2621LS37</v>
          </cell>
          <cell r="D13809" t="str">
            <v>S706</v>
          </cell>
          <cell r="E13809">
            <v>46173</v>
          </cell>
        </row>
        <row r="13810">
          <cell r="A13810" t="str">
            <v>2612BL67</v>
          </cell>
          <cell r="D13810" t="str">
            <v>FTW503</v>
          </cell>
          <cell r="E13810">
            <v>46173</v>
          </cell>
        </row>
        <row r="13811">
          <cell r="A13811" t="str">
            <v>2612BN67</v>
          </cell>
          <cell r="D13811" t="str">
            <v>FTW503</v>
          </cell>
          <cell r="E13811">
            <v>46173</v>
          </cell>
        </row>
        <row r="13812">
          <cell r="A13812" t="str">
            <v>2612BO67</v>
          </cell>
          <cell r="D13812" t="str">
            <v>FTW503</v>
          </cell>
          <cell r="E13812">
            <v>46173</v>
          </cell>
        </row>
        <row r="13813">
          <cell r="A13813" t="str">
            <v>2612H247</v>
          </cell>
          <cell r="D13813" t="str">
            <v>FTW503</v>
          </cell>
          <cell r="E13813">
            <v>46173</v>
          </cell>
        </row>
        <row r="13814">
          <cell r="A13814" t="str">
            <v>2612BM67</v>
          </cell>
          <cell r="D13814" t="str">
            <v>FTW503</v>
          </cell>
          <cell r="E13814">
            <v>46173</v>
          </cell>
        </row>
        <row r="13815">
          <cell r="A13815" t="str">
            <v>2612GP47</v>
          </cell>
          <cell r="D13815" t="str">
            <v>FTW503</v>
          </cell>
          <cell r="E13815">
            <v>46173</v>
          </cell>
        </row>
        <row r="13816">
          <cell r="A13816" t="str">
            <v>2612GY47</v>
          </cell>
          <cell r="D13816" t="str">
            <v>FTW503</v>
          </cell>
          <cell r="E13816">
            <v>46173</v>
          </cell>
        </row>
        <row r="13817">
          <cell r="A13817" t="str">
            <v>2612SZ57</v>
          </cell>
          <cell r="D13817" t="str">
            <v>FTW503</v>
          </cell>
          <cell r="E13817">
            <v>46173</v>
          </cell>
        </row>
        <row r="13818">
          <cell r="A13818" t="str">
            <v>2619EG10</v>
          </cell>
          <cell r="D13818" t="str">
            <v>STA200KA</v>
          </cell>
          <cell r="E13818">
            <v>46173</v>
          </cell>
        </row>
        <row r="13819">
          <cell r="A13819" t="str">
            <v>2619EF90</v>
          </cell>
          <cell r="D13819" t="str">
            <v>STA200KA</v>
          </cell>
          <cell r="E13819">
            <v>46173</v>
          </cell>
        </row>
        <row r="13820">
          <cell r="A13820" t="str">
            <v>2619Y757</v>
          </cell>
          <cell r="D13820" t="str">
            <v>KBP86</v>
          </cell>
          <cell r="E13820">
            <v>46173</v>
          </cell>
        </row>
        <row r="13821">
          <cell r="A13821" t="str">
            <v>2619Y757</v>
          </cell>
          <cell r="D13821" t="str">
            <v>KBP86</v>
          </cell>
          <cell r="E13821">
            <v>46173</v>
          </cell>
        </row>
        <row r="13822">
          <cell r="A13822" t="str">
            <v>2619Y757</v>
          </cell>
          <cell r="D13822" t="str">
            <v>KBP86</v>
          </cell>
          <cell r="E13822">
            <v>46173</v>
          </cell>
        </row>
        <row r="13823">
          <cell r="A13823" t="str">
            <v>2619Y757</v>
          </cell>
          <cell r="D13823" t="str">
            <v>KBP86</v>
          </cell>
          <cell r="E13823">
            <v>46173</v>
          </cell>
        </row>
        <row r="13824">
          <cell r="A13824" t="str">
            <v>2619Y757</v>
          </cell>
          <cell r="D13824" t="str">
            <v>KBP86</v>
          </cell>
          <cell r="E13824">
            <v>46173</v>
          </cell>
        </row>
        <row r="13825">
          <cell r="A13825" t="str">
            <v>2619Y757</v>
          </cell>
          <cell r="D13825" t="str">
            <v>KBP86</v>
          </cell>
          <cell r="E13825">
            <v>46173</v>
          </cell>
        </row>
        <row r="13826">
          <cell r="A13826" t="str">
            <v>2619E557</v>
          </cell>
          <cell r="D13826" t="str">
            <v>KBP76</v>
          </cell>
          <cell r="E13826">
            <v>46172</v>
          </cell>
        </row>
        <row r="13827">
          <cell r="A13827" t="str">
            <v>2620QG37</v>
          </cell>
          <cell r="D13827" t="str">
            <v>TTS80</v>
          </cell>
          <cell r="E13827">
            <v>46172</v>
          </cell>
        </row>
        <row r="13828">
          <cell r="A13828" t="str">
            <v>2621P427</v>
          </cell>
          <cell r="D13828" t="str">
            <v>KBP76</v>
          </cell>
          <cell r="E13828">
            <v>46172</v>
          </cell>
        </row>
        <row r="13829">
          <cell r="A13829" t="str">
            <v>2620DT67</v>
          </cell>
          <cell r="D13829" t="str">
            <v>KBP86</v>
          </cell>
          <cell r="E13829">
            <v>46172</v>
          </cell>
        </row>
        <row r="13830">
          <cell r="A13830" t="str">
            <v>2616EI57</v>
          </cell>
          <cell r="D13830" t="str">
            <v>KBP52</v>
          </cell>
          <cell r="E13830">
            <v>46172</v>
          </cell>
        </row>
        <row r="13831">
          <cell r="A13831" t="str">
            <v>2619E557</v>
          </cell>
          <cell r="D13831" t="str">
            <v>KBP76</v>
          </cell>
          <cell r="E13831">
            <v>46172</v>
          </cell>
        </row>
        <row r="13832">
          <cell r="A13832" t="str">
            <v>2621P327</v>
          </cell>
          <cell r="D13832" t="str">
            <v>KBP76</v>
          </cell>
          <cell r="E13832">
            <v>46172</v>
          </cell>
        </row>
        <row r="13833">
          <cell r="A13833" t="str">
            <v>2620KE37</v>
          </cell>
          <cell r="D13833" t="str">
            <v>FTW121KR</v>
          </cell>
          <cell r="E13833">
            <v>46172</v>
          </cell>
        </row>
        <row r="13834">
          <cell r="A13834" t="str">
            <v>2619E557</v>
          </cell>
          <cell r="D13834" t="str">
            <v>KBP76</v>
          </cell>
          <cell r="E13834">
            <v>46172</v>
          </cell>
        </row>
        <row r="13835">
          <cell r="A13835" t="str">
            <v>2620DT67</v>
          </cell>
          <cell r="D13835" t="str">
            <v>KBP86</v>
          </cell>
          <cell r="E13835">
            <v>46172</v>
          </cell>
        </row>
        <row r="13836">
          <cell r="A13836" t="str">
            <v>2620LE17</v>
          </cell>
          <cell r="D13836" t="str">
            <v>TTS50</v>
          </cell>
          <cell r="E13836">
            <v>46172</v>
          </cell>
        </row>
        <row r="13837">
          <cell r="A13837" t="str">
            <v>2620CD67</v>
          </cell>
          <cell r="D13837" t="str">
            <v>KBP76</v>
          </cell>
          <cell r="E13837">
            <v>46172</v>
          </cell>
        </row>
        <row r="13838">
          <cell r="A13838" t="str">
            <v>2620KQ17</v>
          </cell>
          <cell r="D13838" t="str">
            <v>HV80</v>
          </cell>
          <cell r="E13838">
            <v>46172</v>
          </cell>
        </row>
        <row r="13839">
          <cell r="A13839" t="str">
            <v>2620DT67</v>
          </cell>
          <cell r="D13839" t="str">
            <v>KBP86</v>
          </cell>
          <cell r="E13839">
            <v>46172</v>
          </cell>
        </row>
        <row r="13840">
          <cell r="A13840" t="str">
            <v>2620O227</v>
          </cell>
          <cell r="D13840" t="str">
            <v>TTS50</v>
          </cell>
          <cell r="E13840">
            <v>46172</v>
          </cell>
        </row>
        <row r="13841">
          <cell r="A13841" t="str">
            <v>2620K327</v>
          </cell>
          <cell r="D13841" t="str">
            <v>FTW121KR</v>
          </cell>
          <cell r="E13841">
            <v>46172</v>
          </cell>
        </row>
        <row r="13842">
          <cell r="A13842" t="str">
            <v>2619E557</v>
          </cell>
          <cell r="D13842" t="str">
            <v>KBP76</v>
          </cell>
          <cell r="E13842">
            <v>46172</v>
          </cell>
        </row>
        <row r="13843">
          <cell r="A13843" t="str">
            <v>2620DT67</v>
          </cell>
          <cell r="D13843" t="str">
            <v>KBP86</v>
          </cell>
          <cell r="E13843">
            <v>46172</v>
          </cell>
        </row>
        <row r="13844">
          <cell r="A13844" t="str">
            <v>2620BM67</v>
          </cell>
          <cell r="D13844" t="str">
            <v>TTS50</v>
          </cell>
          <cell r="E13844">
            <v>46172</v>
          </cell>
        </row>
        <row r="13845">
          <cell r="A13845" t="str">
            <v>2620UO57</v>
          </cell>
          <cell r="D13845" t="str">
            <v>S706</v>
          </cell>
          <cell r="E13845">
            <v>46172</v>
          </cell>
        </row>
        <row r="13846">
          <cell r="A13846" t="str">
            <v>2620LK27</v>
          </cell>
          <cell r="D13846" t="str">
            <v>HV80</v>
          </cell>
          <cell r="E13846">
            <v>46172</v>
          </cell>
        </row>
        <row r="13847">
          <cell r="A13847" t="str">
            <v>2620EF67</v>
          </cell>
          <cell r="D13847" t="str">
            <v>KBP86</v>
          </cell>
          <cell r="E13847">
            <v>46172</v>
          </cell>
        </row>
        <row r="13848">
          <cell r="A13848" t="str">
            <v>2620PP37</v>
          </cell>
          <cell r="D13848" t="str">
            <v>TTS50</v>
          </cell>
          <cell r="E13848">
            <v>46172</v>
          </cell>
        </row>
        <row r="13849">
          <cell r="A13849" t="str">
            <v>2619Y357</v>
          </cell>
          <cell r="D13849" t="str">
            <v>KBP86</v>
          </cell>
          <cell r="E13849">
            <v>46172</v>
          </cell>
        </row>
        <row r="13850">
          <cell r="A13850" t="str">
            <v>2619E557</v>
          </cell>
          <cell r="D13850" t="str">
            <v>KBP76</v>
          </cell>
          <cell r="E13850">
            <v>46172</v>
          </cell>
        </row>
        <row r="13851">
          <cell r="A13851" t="str">
            <v>2620EF67</v>
          </cell>
          <cell r="D13851" t="str">
            <v>KBP86</v>
          </cell>
          <cell r="E13851">
            <v>46172</v>
          </cell>
        </row>
        <row r="13852">
          <cell r="A13852" t="str">
            <v>2620JQ27</v>
          </cell>
          <cell r="D13852" t="str">
            <v>FTW121KE</v>
          </cell>
          <cell r="E13852">
            <v>46172</v>
          </cell>
        </row>
        <row r="13853">
          <cell r="A13853" t="str">
            <v>2621LR37</v>
          </cell>
          <cell r="D13853" t="str">
            <v>S706</v>
          </cell>
          <cell r="E13853">
            <v>46172</v>
          </cell>
        </row>
        <row r="13854">
          <cell r="A13854" t="str">
            <v>2620EK40</v>
          </cell>
          <cell r="D13854" t="str">
            <v>TTS125</v>
          </cell>
          <cell r="E13854">
            <v>46172</v>
          </cell>
        </row>
        <row r="13855">
          <cell r="A13855" t="str">
            <v>2620EF67</v>
          </cell>
          <cell r="D13855" t="str">
            <v>KBP86</v>
          </cell>
          <cell r="E13855">
            <v>46172</v>
          </cell>
        </row>
        <row r="13856">
          <cell r="A13856" t="str">
            <v>2620K217</v>
          </cell>
          <cell r="D13856" t="str">
            <v>FTW121KE</v>
          </cell>
          <cell r="E13856">
            <v>46172</v>
          </cell>
        </row>
        <row r="13857">
          <cell r="A13857" t="str">
            <v>2612U657</v>
          </cell>
          <cell r="D13857" t="str">
            <v>FTW503</v>
          </cell>
          <cell r="E13857">
            <v>46172</v>
          </cell>
        </row>
        <row r="13858">
          <cell r="A13858" t="str">
            <v>2620P637</v>
          </cell>
          <cell r="D13858" t="str">
            <v>HV80</v>
          </cell>
          <cell r="E13858">
            <v>46172</v>
          </cell>
        </row>
        <row r="13859">
          <cell r="A13859" t="str">
            <v>2612AZ67</v>
          </cell>
          <cell r="D13859" t="str">
            <v>FTW503</v>
          </cell>
          <cell r="E13859">
            <v>46172</v>
          </cell>
        </row>
        <row r="13860">
          <cell r="A13860" t="str">
            <v>2619LN57</v>
          </cell>
          <cell r="D13860" t="str">
            <v>FTW121KE</v>
          </cell>
          <cell r="E13860">
            <v>46172</v>
          </cell>
        </row>
        <row r="13861">
          <cell r="A13861" t="str">
            <v>2612B567</v>
          </cell>
          <cell r="D13861" t="str">
            <v>FTW503</v>
          </cell>
          <cell r="E13861">
            <v>46172</v>
          </cell>
        </row>
        <row r="13862">
          <cell r="A13862" t="str">
            <v>2620KQ17</v>
          </cell>
          <cell r="D13862" t="str">
            <v>HV80</v>
          </cell>
          <cell r="E13862">
            <v>46172</v>
          </cell>
        </row>
        <row r="13863">
          <cell r="A13863" t="str">
            <v>2612BB67</v>
          </cell>
          <cell r="D13863" t="str">
            <v>FTW503</v>
          </cell>
          <cell r="E13863">
            <v>46172</v>
          </cell>
        </row>
        <row r="13864">
          <cell r="A13864" t="str">
            <v>2620EG47</v>
          </cell>
          <cell r="D13864" t="str">
            <v>TTS50</v>
          </cell>
          <cell r="E13864">
            <v>46172</v>
          </cell>
        </row>
        <row r="13865">
          <cell r="A13865" t="str">
            <v>2612BC67</v>
          </cell>
          <cell r="D13865" t="str">
            <v>FTW503</v>
          </cell>
          <cell r="E13865">
            <v>46172</v>
          </cell>
        </row>
        <row r="13866">
          <cell r="A13866" t="str">
            <v>2619EZ57</v>
          </cell>
          <cell r="D13866" t="str">
            <v>HV80</v>
          </cell>
          <cell r="E13866">
            <v>46172</v>
          </cell>
        </row>
        <row r="13867">
          <cell r="A13867" t="str">
            <v>2612BE67</v>
          </cell>
          <cell r="D13867" t="str">
            <v>FTW503</v>
          </cell>
          <cell r="E13867">
            <v>46172</v>
          </cell>
        </row>
        <row r="13868">
          <cell r="A13868" t="str">
            <v>2620EF67</v>
          </cell>
          <cell r="D13868" t="str">
            <v>KBP86</v>
          </cell>
          <cell r="E13868">
            <v>46172</v>
          </cell>
        </row>
        <row r="13869">
          <cell r="A13869" t="str">
            <v>2612BG67</v>
          </cell>
          <cell r="D13869" t="str">
            <v>FTW503</v>
          </cell>
          <cell r="E13869">
            <v>46172</v>
          </cell>
        </row>
        <row r="13870">
          <cell r="A13870" t="str">
            <v>2620LK27</v>
          </cell>
          <cell r="D13870" t="str">
            <v>HV80</v>
          </cell>
          <cell r="E13870">
            <v>46172</v>
          </cell>
        </row>
        <row r="13871">
          <cell r="A13871" t="str">
            <v>2613CM27</v>
          </cell>
          <cell r="D13871" t="str">
            <v>FTW503</v>
          </cell>
          <cell r="E13871">
            <v>46172</v>
          </cell>
        </row>
        <row r="13872">
          <cell r="A13872" t="str">
            <v>2620F247</v>
          </cell>
          <cell r="D13872" t="str">
            <v>TTS80</v>
          </cell>
          <cell r="E13872">
            <v>46172</v>
          </cell>
        </row>
        <row r="13873">
          <cell r="A13873" t="str">
            <v>2619YD57</v>
          </cell>
          <cell r="D13873" t="str">
            <v>KBP86</v>
          </cell>
          <cell r="E13873">
            <v>46172</v>
          </cell>
        </row>
        <row r="13874">
          <cell r="A13874" t="str">
            <v>2619YJ57</v>
          </cell>
          <cell r="D13874" t="str">
            <v>KBP86</v>
          </cell>
          <cell r="E13874">
            <v>46172</v>
          </cell>
        </row>
        <row r="13875">
          <cell r="A13875" t="str">
            <v>2619Z757</v>
          </cell>
          <cell r="D13875" t="str">
            <v>KBP86</v>
          </cell>
          <cell r="E13875">
            <v>46172</v>
          </cell>
        </row>
        <row r="13876">
          <cell r="A13876" t="str">
            <v>2620JV17</v>
          </cell>
          <cell r="D13876" t="str">
            <v>FTW121KE</v>
          </cell>
          <cell r="E13876">
            <v>46172</v>
          </cell>
        </row>
        <row r="13877">
          <cell r="A13877" t="str">
            <v>2620KV27</v>
          </cell>
          <cell r="D13877" t="str">
            <v>KBP86</v>
          </cell>
          <cell r="E13877">
            <v>46172</v>
          </cell>
        </row>
        <row r="13878">
          <cell r="A13878" t="str">
            <v>2620KK37</v>
          </cell>
          <cell r="D13878" t="str">
            <v>FTW121KE</v>
          </cell>
          <cell r="E13878">
            <v>46172</v>
          </cell>
        </row>
        <row r="13879">
          <cell r="A13879" t="str">
            <v>2620P127</v>
          </cell>
          <cell r="D13879" t="str">
            <v>TTS80</v>
          </cell>
          <cell r="E13879">
            <v>46172</v>
          </cell>
        </row>
        <row r="13880">
          <cell r="A13880" t="str">
            <v>2609QE57</v>
          </cell>
          <cell r="D13880" t="str">
            <v>FTW700</v>
          </cell>
          <cell r="E13880">
            <v>46172</v>
          </cell>
        </row>
        <row r="13881">
          <cell r="A13881" t="str">
            <v>2620AQ67</v>
          </cell>
          <cell r="D13881" t="str">
            <v>KBP52</v>
          </cell>
          <cell r="E13881">
            <v>46172</v>
          </cell>
        </row>
        <row r="13882">
          <cell r="A13882" t="str">
            <v>2618HW17</v>
          </cell>
          <cell r="D13882" t="str">
            <v>FTW503</v>
          </cell>
          <cell r="E13882">
            <v>46172</v>
          </cell>
        </row>
        <row r="13883">
          <cell r="A13883" t="str">
            <v>2620E767</v>
          </cell>
          <cell r="D13883" t="str">
            <v>KBP86</v>
          </cell>
          <cell r="E13883">
            <v>46172</v>
          </cell>
        </row>
        <row r="13884">
          <cell r="A13884" t="str">
            <v>2615DE17</v>
          </cell>
          <cell r="D13884" t="str">
            <v>STA156KA</v>
          </cell>
          <cell r="E13884">
            <v>46172</v>
          </cell>
        </row>
        <row r="13885">
          <cell r="A13885" t="str">
            <v>2620P157</v>
          </cell>
          <cell r="D13885" t="str">
            <v>STA156KA</v>
          </cell>
          <cell r="E13885">
            <v>46172</v>
          </cell>
        </row>
        <row r="13886">
          <cell r="A13886" t="str">
            <v>2618HY17</v>
          </cell>
          <cell r="D13886" t="str">
            <v>FTW503</v>
          </cell>
          <cell r="E13886">
            <v>46172</v>
          </cell>
        </row>
        <row r="13887">
          <cell r="A13887" t="str">
            <v>2620PA57</v>
          </cell>
          <cell r="D13887" t="str">
            <v>S15MB</v>
          </cell>
          <cell r="E13887">
            <v>46172</v>
          </cell>
        </row>
        <row r="13888">
          <cell r="A13888" t="str">
            <v>2613HI37</v>
          </cell>
          <cell r="D13888" t="str">
            <v>FTW102K</v>
          </cell>
          <cell r="E13888">
            <v>46172</v>
          </cell>
        </row>
        <row r="13889">
          <cell r="A13889" t="str">
            <v>2619QU27</v>
          </cell>
          <cell r="D13889" t="str">
            <v>FTP150</v>
          </cell>
          <cell r="E13889">
            <v>46172</v>
          </cell>
        </row>
        <row r="13890">
          <cell r="A13890" t="str">
            <v>2612VN57</v>
          </cell>
          <cell r="D13890" t="str">
            <v>FTW102K</v>
          </cell>
          <cell r="E13890">
            <v>46172</v>
          </cell>
        </row>
        <row r="13891">
          <cell r="A13891" t="str">
            <v>2619YL57</v>
          </cell>
          <cell r="D13891" t="str">
            <v>KBP86</v>
          </cell>
          <cell r="E13891">
            <v>46172</v>
          </cell>
        </row>
        <row r="13892">
          <cell r="A13892" t="str">
            <v>2620P757</v>
          </cell>
          <cell r="D13892" t="str">
            <v>S15MB</v>
          </cell>
          <cell r="E13892">
            <v>46172</v>
          </cell>
        </row>
        <row r="13893">
          <cell r="A13893" t="str">
            <v>2608V957</v>
          </cell>
          <cell r="D13893" t="str">
            <v>FTW700</v>
          </cell>
          <cell r="E13893">
            <v>46172</v>
          </cell>
        </row>
        <row r="13894">
          <cell r="A13894" t="str">
            <v>2620AP47</v>
          </cell>
          <cell r="D13894" t="str">
            <v>KBP86</v>
          </cell>
          <cell r="E13894">
            <v>46172</v>
          </cell>
        </row>
        <row r="13895">
          <cell r="A13895" t="str">
            <v>2619YB57</v>
          </cell>
          <cell r="D13895" t="str">
            <v>KBP86</v>
          </cell>
          <cell r="E13895">
            <v>46172</v>
          </cell>
        </row>
        <row r="13896">
          <cell r="A13896" t="str">
            <v>2620K727</v>
          </cell>
          <cell r="D13896" t="str">
            <v>FTW121KR</v>
          </cell>
          <cell r="E13896">
            <v>46172</v>
          </cell>
        </row>
        <row r="13897">
          <cell r="A13897" t="str">
            <v>2620OB37</v>
          </cell>
          <cell r="D13897" t="str">
            <v>KBP86</v>
          </cell>
          <cell r="E13897">
            <v>46172</v>
          </cell>
        </row>
        <row r="13898">
          <cell r="A13898" t="str">
            <v>2619S357</v>
          </cell>
          <cell r="D13898" t="str">
            <v>TTS80</v>
          </cell>
          <cell r="E13898">
            <v>46172</v>
          </cell>
        </row>
        <row r="13899">
          <cell r="A13899" t="str">
            <v>2620QK37</v>
          </cell>
          <cell r="D13899" t="str">
            <v>TTS80</v>
          </cell>
          <cell r="E13899">
            <v>46172</v>
          </cell>
        </row>
        <row r="13900">
          <cell r="A13900" t="str">
            <v>2620S657</v>
          </cell>
          <cell r="D13900" t="str">
            <v>KBP86</v>
          </cell>
          <cell r="E13900">
            <v>46172</v>
          </cell>
        </row>
        <row r="13901">
          <cell r="A13901" t="str">
            <v>2619JQ57</v>
          </cell>
          <cell r="D13901" t="str">
            <v>TTS50</v>
          </cell>
          <cell r="E13901">
            <v>46172</v>
          </cell>
        </row>
        <row r="13902">
          <cell r="A13902" t="str">
            <v>2620AR47</v>
          </cell>
          <cell r="D13902" t="str">
            <v>KBP86</v>
          </cell>
          <cell r="E13902">
            <v>46172</v>
          </cell>
        </row>
        <row r="13903">
          <cell r="A13903" t="str">
            <v>2620A357</v>
          </cell>
          <cell r="D13903" t="str">
            <v>S15MB</v>
          </cell>
          <cell r="E13903">
            <v>46172</v>
          </cell>
        </row>
        <row r="13904">
          <cell r="A13904" t="str">
            <v>2620K117</v>
          </cell>
          <cell r="D13904" t="str">
            <v>FTW121KE</v>
          </cell>
          <cell r="E13904">
            <v>46172</v>
          </cell>
        </row>
        <row r="13905">
          <cell r="A13905" t="str">
            <v>2620KS27</v>
          </cell>
          <cell r="D13905" t="str">
            <v>KBP86</v>
          </cell>
          <cell r="E13905">
            <v>46172</v>
          </cell>
        </row>
        <row r="13906">
          <cell r="A13906" t="str">
            <v>2619J217</v>
          </cell>
          <cell r="D13906" t="str">
            <v>TTS50</v>
          </cell>
          <cell r="E13906">
            <v>46172</v>
          </cell>
        </row>
        <row r="13907">
          <cell r="A13907" t="str">
            <v>2620BX47</v>
          </cell>
          <cell r="D13907" t="str">
            <v>FTW121KE</v>
          </cell>
          <cell r="E13907">
            <v>46172</v>
          </cell>
        </row>
        <row r="13908">
          <cell r="A13908" t="str">
            <v>2620KB37</v>
          </cell>
          <cell r="D13908" t="str">
            <v>FTW121KE</v>
          </cell>
          <cell r="E13908">
            <v>46172</v>
          </cell>
        </row>
        <row r="13909">
          <cell r="A13909" t="str">
            <v>2620Q437</v>
          </cell>
          <cell r="D13909" t="str">
            <v>KBP76</v>
          </cell>
          <cell r="E13909">
            <v>46172</v>
          </cell>
        </row>
        <row r="13910">
          <cell r="A13910" t="str">
            <v>2617OI57</v>
          </cell>
          <cell r="D13910" t="str">
            <v>FTW503</v>
          </cell>
          <cell r="E13910">
            <v>46172</v>
          </cell>
        </row>
        <row r="13911">
          <cell r="A13911" t="str">
            <v>2620JV27</v>
          </cell>
          <cell r="D13911" t="str">
            <v>FTW121KR</v>
          </cell>
          <cell r="E13911">
            <v>46172</v>
          </cell>
        </row>
        <row r="13912">
          <cell r="A13912" t="str">
            <v>2619PO57</v>
          </cell>
          <cell r="D13912" t="str">
            <v>KBP76</v>
          </cell>
          <cell r="E13912">
            <v>46172</v>
          </cell>
        </row>
        <row r="13913">
          <cell r="A13913" t="str">
            <v>2614LA57</v>
          </cell>
          <cell r="D13913" t="str">
            <v>TTS80</v>
          </cell>
          <cell r="E13913">
            <v>46172</v>
          </cell>
        </row>
        <row r="13914">
          <cell r="A13914" t="str">
            <v>2620KO37</v>
          </cell>
          <cell r="D13914" t="str">
            <v>FTW121KR</v>
          </cell>
          <cell r="E13914">
            <v>46172</v>
          </cell>
        </row>
        <row r="13915">
          <cell r="A13915" t="str">
            <v>2620K517</v>
          </cell>
          <cell r="D13915" t="str">
            <v>FTW121KR</v>
          </cell>
          <cell r="E13915">
            <v>46172</v>
          </cell>
        </row>
        <row r="13916">
          <cell r="A13916" t="str">
            <v>2620DT67</v>
          </cell>
          <cell r="D13916" t="str">
            <v>KBP86</v>
          </cell>
          <cell r="E13916">
            <v>46172</v>
          </cell>
        </row>
        <row r="13917">
          <cell r="A13917" t="str">
            <v>2620AO47</v>
          </cell>
          <cell r="D13917" t="str">
            <v>KBP86</v>
          </cell>
          <cell r="E13917">
            <v>46172</v>
          </cell>
        </row>
        <row r="13918">
          <cell r="A13918" t="str">
            <v>2620QS57</v>
          </cell>
          <cell r="D13918" t="str">
            <v>KBP86</v>
          </cell>
          <cell r="E13918">
            <v>46172</v>
          </cell>
        </row>
        <row r="13919">
          <cell r="A13919" t="str">
            <v>2620P357</v>
          </cell>
          <cell r="D13919" t="str">
            <v>STA156KA</v>
          </cell>
          <cell r="E13919">
            <v>46172</v>
          </cell>
        </row>
        <row r="13920">
          <cell r="A13920" t="str">
            <v>2619FV67</v>
          </cell>
          <cell r="D13920" t="str">
            <v>KBP55</v>
          </cell>
          <cell r="E13920">
            <v>46172</v>
          </cell>
        </row>
        <row r="13921">
          <cell r="A13921" t="str">
            <v>2620IG27</v>
          </cell>
          <cell r="D13921" t="str">
            <v>KBP86</v>
          </cell>
          <cell r="E13921">
            <v>46172</v>
          </cell>
        </row>
        <row r="13922">
          <cell r="A13922" t="str">
            <v>2620EL10</v>
          </cell>
          <cell r="D13922" t="str">
            <v>S706</v>
          </cell>
          <cell r="E13922">
            <v>46172</v>
          </cell>
        </row>
        <row r="13923">
          <cell r="A13923" t="str">
            <v>2620EL20</v>
          </cell>
          <cell r="D13923" t="str">
            <v>S706</v>
          </cell>
          <cell r="E13923">
            <v>46172</v>
          </cell>
        </row>
        <row r="13924">
          <cell r="A13924" t="str">
            <v>2620EK80</v>
          </cell>
          <cell r="D13924" t="str">
            <v>S706</v>
          </cell>
          <cell r="E13924">
            <v>46172</v>
          </cell>
        </row>
        <row r="13925">
          <cell r="A13925" t="str">
            <v>2620EM40</v>
          </cell>
          <cell r="D13925" t="str">
            <v>S706</v>
          </cell>
          <cell r="E13925">
            <v>46172</v>
          </cell>
        </row>
        <row r="13926">
          <cell r="A13926" t="str">
            <v>2620CV47</v>
          </cell>
          <cell r="D13926" t="str">
            <v>KBP86</v>
          </cell>
          <cell r="E13926">
            <v>46172</v>
          </cell>
        </row>
        <row r="13927">
          <cell r="A13927" t="str">
            <v>2621SD17</v>
          </cell>
          <cell r="D13927" t="str">
            <v>KBP76</v>
          </cell>
          <cell r="E13927">
            <v>46172</v>
          </cell>
        </row>
        <row r="13928">
          <cell r="A13928" t="str">
            <v>2620DK47</v>
          </cell>
          <cell r="D13928" t="str">
            <v>KBP52</v>
          </cell>
          <cell r="E13928">
            <v>46172</v>
          </cell>
        </row>
        <row r="13929">
          <cell r="A13929" t="str">
            <v>2610GR27</v>
          </cell>
          <cell r="D13929" t="str">
            <v>FTP150</v>
          </cell>
          <cell r="E13929">
            <v>46172</v>
          </cell>
        </row>
        <row r="13930">
          <cell r="A13930" t="str">
            <v>2619E557</v>
          </cell>
          <cell r="D13930" t="str">
            <v>KBP76</v>
          </cell>
          <cell r="E13930">
            <v>46172</v>
          </cell>
        </row>
        <row r="13931">
          <cell r="A13931" t="str">
            <v>2620U657</v>
          </cell>
          <cell r="D13931" t="str">
            <v>KBP86</v>
          </cell>
          <cell r="E13931">
            <v>46172</v>
          </cell>
        </row>
        <row r="13932">
          <cell r="A13932" t="str">
            <v>2620YI17</v>
          </cell>
          <cell r="D13932" t="str">
            <v>KBP86</v>
          </cell>
          <cell r="E13932">
            <v>46172</v>
          </cell>
        </row>
        <row r="13933">
          <cell r="A13933" t="str">
            <v>2617KZ17</v>
          </cell>
          <cell r="D13933" t="str">
            <v>FTP200</v>
          </cell>
          <cell r="E13933">
            <v>46172</v>
          </cell>
        </row>
        <row r="13934">
          <cell r="A13934" t="str">
            <v>2620IV37</v>
          </cell>
          <cell r="D13934" t="str">
            <v>KBP52</v>
          </cell>
          <cell r="E13934">
            <v>46172</v>
          </cell>
        </row>
        <row r="13935">
          <cell r="A13935" t="str">
            <v>2620KF17</v>
          </cell>
          <cell r="D13935" t="str">
            <v>FTW121KR</v>
          </cell>
          <cell r="E13935">
            <v>46172</v>
          </cell>
        </row>
        <row r="13936">
          <cell r="A13936" t="str">
            <v>2620SC57</v>
          </cell>
          <cell r="D13936" t="str">
            <v>KBP86</v>
          </cell>
          <cell r="E13936">
            <v>46172</v>
          </cell>
        </row>
        <row r="13937">
          <cell r="A13937" t="str">
            <v>2619EG20</v>
          </cell>
          <cell r="D13937" t="str">
            <v>STA200KA</v>
          </cell>
          <cell r="E13937">
            <v>46172</v>
          </cell>
        </row>
        <row r="13938">
          <cell r="A13938" t="str">
            <v>2617FB37</v>
          </cell>
          <cell r="D13938" t="str">
            <v>FTW503</v>
          </cell>
          <cell r="E13938">
            <v>46172</v>
          </cell>
        </row>
        <row r="13939">
          <cell r="A13939" t="str">
            <v>2620JR27</v>
          </cell>
          <cell r="D13939" t="str">
            <v>FTW121KR</v>
          </cell>
          <cell r="E13939">
            <v>46172</v>
          </cell>
        </row>
        <row r="13940">
          <cell r="A13940" t="str">
            <v>2611P457</v>
          </cell>
          <cell r="D13940" t="str">
            <v>KBP76</v>
          </cell>
          <cell r="E13940">
            <v>46172</v>
          </cell>
        </row>
        <row r="13941">
          <cell r="A13941" t="str">
            <v>2620O617</v>
          </cell>
          <cell r="D13941" t="str">
            <v>TTS80</v>
          </cell>
          <cell r="E13941">
            <v>46172</v>
          </cell>
        </row>
        <row r="13942">
          <cell r="A13942" t="str">
            <v>2618HQ17</v>
          </cell>
          <cell r="D13942" t="str">
            <v>FTW503</v>
          </cell>
          <cell r="E13942">
            <v>46172</v>
          </cell>
        </row>
        <row r="13943">
          <cell r="A13943" t="str">
            <v>2620KL37</v>
          </cell>
          <cell r="D13943" t="str">
            <v>FTW121KR</v>
          </cell>
          <cell r="E13943">
            <v>46172</v>
          </cell>
        </row>
        <row r="13944">
          <cell r="A13944" t="str">
            <v>2618GZ27</v>
          </cell>
          <cell r="D13944" t="str">
            <v>FTW503</v>
          </cell>
          <cell r="E13944">
            <v>46172</v>
          </cell>
        </row>
        <row r="13945">
          <cell r="A13945" t="str">
            <v>2617GC57</v>
          </cell>
          <cell r="D13945" t="str">
            <v>FTP200</v>
          </cell>
          <cell r="E13945">
            <v>46172</v>
          </cell>
        </row>
        <row r="13946">
          <cell r="A13946" t="str">
            <v>2619Q227</v>
          </cell>
          <cell r="D13946" t="str">
            <v>KBP126</v>
          </cell>
          <cell r="E13946">
            <v>46172</v>
          </cell>
        </row>
        <row r="13947">
          <cell r="A13947" t="str">
            <v>2613J947</v>
          </cell>
          <cell r="D13947" t="str">
            <v>FTW102K</v>
          </cell>
          <cell r="E13947">
            <v>46172</v>
          </cell>
        </row>
        <row r="13948">
          <cell r="A13948" t="str">
            <v>2620O117</v>
          </cell>
          <cell r="D13948" t="str">
            <v>FTP200</v>
          </cell>
          <cell r="E13948">
            <v>46172</v>
          </cell>
        </row>
        <row r="13949">
          <cell r="A13949" t="str">
            <v>2619EF70</v>
          </cell>
          <cell r="D13949" t="str">
            <v>STA200KA</v>
          </cell>
          <cell r="E13949">
            <v>46172</v>
          </cell>
        </row>
        <row r="13950">
          <cell r="A13950" t="str">
            <v>2620P257</v>
          </cell>
          <cell r="D13950" t="str">
            <v>STA156KA</v>
          </cell>
          <cell r="E13950">
            <v>46172</v>
          </cell>
        </row>
        <row r="13951">
          <cell r="A13951" t="str">
            <v>2620AC47</v>
          </cell>
          <cell r="D13951" t="str">
            <v>S15MB</v>
          </cell>
          <cell r="E13951">
            <v>46172</v>
          </cell>
        </row>
        <row r="13952">
          <cell r="A13952" t="str">
            <v>2621QS17</v>
          </cell>
          <cell r="D13952" t="str">
            <v>S706</v>
          </cell>
          <cell r="E13952">
            <v>46172</v>
          </cell>
        </row>
        <row r="13953">
          <cell r="A13953" t="str">
            <v>2621O727</v>
          </cell>
          <cell r="D13953" t="str">
            <v>S706</v>
          </cell>
          <cell r="E13953">
            <v>46172</v>
          </cell>
        </row>
        <row r="13954">
          <cell r="A13954" t="str">
            <v>2621LP37</v>
          </cell>
          <cell r="D13954" t="str">
            <v>S706</v>
          </cell>
          <cell r="E13954">
            <v>46172</v>
          </cell>
        </row>
        <row r="13955">
          <cell r="A13955" t="str">
            <v>2620QD37</v>
          </cell>
          <cell r="D13955" t="str">
            <v>FTP200</v>
          </cell>
          <cell r="E13955">
            <v>46172</v>
          </cell>
        </row>
        <row r="13956">
          <cell r="A13956" t="str">
            <v>2620LA27</v>
          </cell>
          <cell r="D13956" t="str">
            <v>KBP52</v>
          </cell>
          <cell r="E13956">
            <v>46172</v>
          </cell>
        </row>
        <row r="13957">
          <cell r="A13957" t="str">
            <v>2620F347</v>
          </cell>
          <cell r="D13957" t="str">
            <v>TTS80</v>
          </cell>
          <cell r="E13957">
            <v>46172</v>
          </cell>
        </row>
        <row r="13958">
          <cell r="A13958" t="str">
            <v>2619PP57</v>
          </cell>
          <cell r="D13958" t="str">
            <v>KBP76</v>
          </cell>
          <cell r="E13958">
            <v>46172</v>
          </cell>
        </row>
        <row r="13959">
          <cell r="A13959" t="str">
            <v>2608JH17</v>
          </cell>
          <cell r="D13959" t="str">
            <v>S706</v>
          </cell>
          <cell r="E13959">
            <v>46172</v>
          </cell>
        </row>
        <row r="13960">
          <cell r="A13960" t="str">
            <v>2620I857</v>
          </cell>
          <cell r="D13960" t="str">
            <v>KBP86</v>
          </cell>
          <cell r="E13960">
            <v>46172</v>
          </cell>
        </row>
        <row r="13961">
          <cell r="A13961" t="str">
            <v>2620O417</v>
          </cell>
          <cell r="D13961" t="str">
            <v>TTS80</v>
          </cell>
          <cell r="E13961">
            <v>46172</v>
          </cell>
        </row>
        <row r="13962">
          <cell r="A13962" t="str">
            <v>2620KL27</v>
          </cell>
          <cell r="D13962" t="str">
            <v>KBP86</v>
          </cell>
          <cell r="E13962">
            <v>46172</v>
          </cell>
        </row>
        <row r="13963">
          <cell r="A13963" t="str">
            <v>2620E367</v>
          </cell>
          <cell r="D13963" t="str">
            <v>KBP86</v>
          </cell>
          <cell r="E13963">
            <v>46172</v>
          </cell>
        </row>
        <row r="13964">
          <cell r="A13964" t="str">
            <v>2620ED27</v>
          </cell>
          <cell r="D13964" t="str">
            <v>STA156KA</v>
          </cell>
          <cell r="E13964">
            <v>46172</v>
          </cell>
        </row>
        <row r="13965">
          <cell r="A13965" t="str">
            <v>2619QU57</v>
          </cell>
          <cell r="D13965" t="str">
            <v>STA156KA</v>
          </cell>
          <cell r="E13965">
            <v>46172</v>
          </cell>
        </row>
        <row r="13966">
          <cell r="A13966" t="str">
            <v>2620AG67</v>
          </cell>
          <cell r="D13966" t="str">
            <v>KBP52</v>
          </cell>
          <cell r="E13966">
            <v>46172</v>
          </cell>
        </row>
        <row r="13967">
          <cell r="A13967" t="str">
            <v>2620OZ37</v>
          </cell>
          <cell r="D13967" t="str">
            <v>KBP52</v>
          </cell>
          <cell r="E13967">
            <v>46172</v>
          </cell>
        </row>
        <row r="13968">
          <cell r="A13968" t="str">
            <v>2620IV17</v>
          </cell>
          <cell r="D13968" t="str">
            <v>TTS50</v>
          </cell>
          <cell r="E13968">
            <v>46172</v>
          </cell>
        </row>
        <row r="13969">
          <cell r="A13969" t="str">
            <v>2620OP37</v>
          </cell>
          <cell r="D13969" t="str">
            <v>KBP52</v>
          </cell>
          <cell r="E13969">
            <v>46172</v>
          </cell>
        </row>
        <row r="13970">
          <cell r="A13970" t="str">
            <v>2618SE17</v>
          </cell>
          <cell r="D13970" t="str">
            <v>KBP74</v>
          </cell>
          <cell r="E13970">
            <v>46172</v>
          </cell>
        </row>
        <row r="13971">
          <cell r="A13971" t="str">
            <v>2620Q217</v>
          </cell>
          <cell r="D13971" t="str">
            <v>KBP76</v>
          </cell>
          <cell r="E13971">
            <v>46172</v>
          </cell>
        </row>
        <row r="13972">
          <cell r="A13972" t="str">
            <v>2619U757</v>
          </cell>
          <cell r="D13972" t="str">
            <v>KBP126</v>
          </cell>
          <cell r="E13972">
            <v>46172</v>
          </cell>
        </row>
        <row r="13973">
          <cell r="A13973" t="str">
            <v>2620JP37</v>
          </cell>
          <cell r="D13973" t="str">
            <v>TTS50</v>
          </cell>
          <cell r="E13973">
            <v>46172</v>
          </cell>
        </row>
        <row r="13974">
          <cell r="A13974" t="str">
            <v>2620JQ17</v>
          </cell>
          <cell r="D13974" t="str">
            <v>FTW121KE</v>
          </cell>
          <cell r="E13974">
            <v>46172</v>
          </cell>
        </row>
        <row r="13975">
          <cell r="A13975" t="str">
            <v>2620KM27</v>
          </cell>
          <cell r="D13975" t="str">
            <v>KBP86</v>
          </cell>
          <cell r="E13975">
            <v>46172</v>
          </cell>
        </row>
        <row r="13976">
          <cell r="A13976" t="str">
            <v>2620A617</v>
          </cell>
          <cell r="D13976" t="str">
            <v>KBP76</v>
          </cell>
          <cell r="E13976">
            <v>46172</v>
          </cell>
        </row>
        <row r="13977">
          <cell r="A13977" t="str">
            <v>2620OW37</v>
          </cell>
          <cell r="D13977" t="str">
            <v>KBP52</v>
          </cell>
          <cell r="E13977">
            <v>46172</v>
          </cell>
        </row>
        <row r="13978">
          <cell r="A13978" t="str">
            <v>2620IY37</v>
          </cell>
          <cell r="D13978" t="str">
            <v>KBP86</v>
          </cell>
          <cell r="E13978">
            <v>46172</v>
          </cell>
        </row>
        <row r="13979">
          <cell r="A13979" t="str">
            <v>2620KA37</v>
          </cell>
          <cell r="D13979" t="str">
            <v>FTW121KE</v>
          </cell>
          <cell r="E13979">
            <v>46172</v>
          </cell>
        </row>
        <row r="13980">
          <cell r="A13980" t="str">
            <v>2620C847</v>
          </cell>
          <cell r="D13980" t="str">
            <v>FTW121KE</v>
          </cell>
          <cell r="E13980">
            <v>46172</v>
          </cell>
        </row>
        <row r="13981">
          <cell r="A13981" t="str">
            <v>2618GS27</v>
          </cell>
          <cell r="D13981" t="str">
            <v>FTW503</v>
          </cell>
          <cell r="E13981">
            <v>46172</v>
          </cell>
        </row>
        <row r="13982">
          <cell r="A13982" t="str">
            <v>2619KM57</v>
          </cell>
          <cell r="D13982" t="str">
            <v>FTW102K</v>
          </cell>
          <cell r="E13982">
            <v>46172</v>
          </cell>
        </row>
        <row r="13983">
          <cell r="A13983" t="str">
            <v>2618GT27</v>
          </cell>
          <cell r="D13983" t="str">
            <v>FTW503</v>
          </cell>
          <cell r="E13983">
            <v>46172</v>
          </cell>
        </row>
        <row r="13984">
          <cell r="A13984" t="str">
            <v>2621SL17</v>
          </cell>
          <cell r="D13984" t="str">
            <v>KBP55</v>
          </cell>
          <cell r="E13984">
            <v>46172</v>
          </cell>
        </row>
        <row r="13985">
          <cell r="A13985" t="str">
            <v>2620YA17</v>
          </cell>
          <cell r="D13985" t="str">
            <v>KBP86</v>
          </cell>
          <cell r="E13985">
            <v>46172</v>
          </cell>
        </row>
        <row r="13986">
          <cell r="A13986" t="str">
            <v>2620JS17</v>
          </cell>
          <cell r="D13986" t="str">
            <v>FTW121KE</v>
          </cell>
          <cell r="E13986">
            <v>46172</v>
          </cell>
        </row>
        <row r="13987">
          <cell r="A13987" t="str">
            <v>2620X957</v>
          </cell>
          <cell r="D13987" t="str">
            <v>FTP200</v>
          </cell>
          <cell r="E13987">
            <v>46172</v>
          </cell>
        </row>
        <row r="13988">
          <cell r="A13988" t="str">
            <v>2619BG47</v>
          </cell>
          <cell r="D13988" t="str">
            <v>TTS50</v>
          </cell>
          <cell r="E13988">
            <v>46172</v>
          </cell>
        </row>
        <row r="13989">
          <cell r="A13989" t="str">
            <v>2620HD57</v>
          </cell>
          <cell r="D13989" t="str">
            <v>KBP86</v>
          </cell>
          <cell r="E13989">
            <v>46172</v>
          </cell>
        </row>
        <row r="13990">
          <cell r="A13990" t="str">
            <v>2620UL57</v>
          </cell>
          <cell r="D13990" t="str">
            <v>S706</v>
          </cell>
          <cell r="E13990">
            <v>46172</v>
          </cell>
        </row>
        <row r="13991">
          <cell r="A13991" t="str">
            <v>2619QW57</v>
          </cell>
          <cell r="D13991" t="str">
            <v>STA156KA</v>
          </cell>
          <cell r="E13991">
            <v>46172</v>
          </cell>
        </row>
        <row r="13992">
          <cell r="A13992" t="str">
            <v>2619LL47</v>
          </cell>
          <cell r="D13992" t="str">
            <v>S805</v>
          </cell>
          <cell r="E13992">
            <v>46172</v>
          </cell>
        </row>
        <row r="13993">
          <cell r="A13993" t="str">
            <v>2620QG37</v>
          </cell>
          <cell r="D13993" t="str">
            <v>TTS80</v>
          </cell>
          <cell r="E13993">
            <v>46172</v>
          </cell>
        </row>
        <row r="13994">
          <cell r="A13994" t="str">
            <v>2611I127</v>
          </cell>
          <cell r="D13994" t="str">
            <v>FTW102K</v>
          </cell>
          <cell r="E13994">
            <v>46172</v>
          </cell>
        </row>
        <row r="13995">
          <cell r="A13995" t="str">
            <v>2620P627</v>
          </cell>
          <cell r="D13995" t="str">
            <v>TTS80</v>
          </cell>
          <cell r="E13995">
            <v>46172</v>
          </cell>
        </row>
        <row r="13996">
          <cell r="A13996" t="str">
            <v>2619QX57</v>
          </cell>
          <cell r="D13996" t="str">
            <v>STA156KA</v>
          </cell>
          <cell r="E13996">
            <v>46172</v>
          </cell>
        </row>
        <row r="13997">
          <cell r="A13997" t="str">
            <v>2617OF57</v>
          </cell>
          <cell r="D13997" t="str">
            <v>FTW503</v>
          </cell>
          <cell r="E13997">
            <v>46172</v>
          </cell>
        </row>
        <row r="13998">
          <cell r="A13998" t="str">
            <v>2620YG17</v>
          </cell>
          <cell r="D13998" t="str">
            <v>KBP86</v>
          </cell>
          <cell r="E13998">
            <v>46172</v>
          </cell>
        </row>
        <row r="13999">
          <cell r="A13999" t="str">
            <v>2620KP37</v>
          </cell>
          <cell r="D13999" t="str">
            <v>FTW121KE</v>
          </cell>
          <cell r="E13999">
            <v>46172</v>
          </cell>
        </row>
        <row r="14000">
          <cell r="A14000" t="str">
            <v>2620KJ37</v>
          </cell>
          <cell r="D14000" t="str">
            <v>FTW121KE</v>
          </cell>
          <cell r="E14000">
            <v>46172</v>
          </cell>
        </row>
        <row r="14001">
          <cell r="A14001" t="str">
            <v>2620K627</v>
          </cell>
          <cell r="D14001" t="str">
            <v>FTW121KE</v>
          </cell>
          <cell r="E14001">
            <v>46172</v>
          </cell>
        </row>
        <row r="14002">
          <cell r="A14002" t="str">
            <v>2617OG57</v>
          </cell>
          <cell r="D14002" t="str">
            <v>FTW503</v>
          </cell>
          <cell r="E14002">
            <v>46172</v>
          </cell>
        </row>
        <row r="14003">
          <cell r="A14003" t="str">
            <v>2620U557</v>
          </cell>
          <cell r="D14003" t="str">
            <v>KBP86</v>
          </cell>
          <cell r="E14003">
            <v>46172</v>
          </cell>
        </row>
        <row r="14004">
          <cell r="A14004" t="str">
            <v>2620OL37</v>
          </cell>
          <cell r="D14004" t="str">
            <v>KBP86</v>
          </cell>
          <cell r="E14004">
            <v>46172</v>
          </cell>
        </row>
        <row r="14005">
          <cell r="A14005" t="str">
            <v>2620EF67</v>
          </cell>
          <cell r="D14005" t="str">
            <v>KBP86</v>
          </cell>
          <cell r="E14005">
            <v>46172</v>
          </cell>
        </row>
        <row r="14006">
          <cell r="A14006" t="str">
            <v>2621QT17</v>
          </cell>
          <cell r="D14006" t="str">
            <v>S706</v>
          </cell>
          <cell r="E14006">
            <v>46172</v>
          </cell>
        </row>
        <row r="14007">
          <cell r="A14007" t="str">
            <v>2621QW17</v>
          </cell>
          <cell r="D14007" t="str">
            <v>S706</v>
          </cell>
          <cell r="E14007">
            <v>46172</v>
          </cell>
        </row>
        <row r="14008">
          <cell r="A14008" t="str">
            <v>2620P427</v>
          </cell>
          <cell r="D14008" t="str">
            <v>TTS80</v>
          </cell>
          <cell r="E14008">
            <v>46172</v>
          </cell>
        </row>
        <row r="14009">
          <cell r="A14009" t="str">
            <v>2620BP67</v>
          </cell>
          <cell r="D14009" t="str">
            <v>S706</v>
          </cell>
          <cell r="E14009">
            <v>46172</v>
          </cell>
        </row>
        <row r="14010">
          <cell r="A14010" t="str">
            <v>2621QV17</v>
          </cell>
          <cell r="D14010" t="str">
            <v>S706</v>
          </cell>
          <cell r="E14010">
            <v>46172</v>
          </cell>
        </row>
        <row r="14011">
          <cell r="E1401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sme Li (李佩盈)" id="{7B3B5B07-9CED-44A7-9259-EF9D55317F92}" userId="S::Esme.Li@yageo.com::ffe74129-1099-4c30-9ecc-fff2c2fe2a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F17" dT="2026-03-12T09:04:13.01" personId="{7B3B5B07-9CED-44A7-9259-EF9D55317F92}" id="{D5295FED-C250-4D61-98EB-F7BCB024C4BB}">
    <text xml:space="preserve">改为stand
</text>
  </threadedComment>
  <threadedComment ref="DF24" dT="2026-03-12T09:04:13.01" personId="{7B3B5B07-9CED-44A7-9259-EF9D55317F92}" id="{2DA1985C-42CB-4008-AC6D-7EC4E38CD770}">
    <text xml:space="preserve">改为stand
</text>
  </threadedComment>
  <threadedComment ref="A77" dT="2026-03-04T07:09:35.85" personId="{7B3B5B07-9CED-44A7-9259-EF9D55317F92}" id="{B11DF107-8179-4AA1-BBE1-1F44669FEDA8}">
    <text xml:space="preserve">LEI， 28800 Batch 发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72C0-999F-45F9-81B5-D17B84188E62}">
  <sheetPr filterMode="1"/>
  <dimension ref="A1:S58"/>
  <sheetViews>
    <sheetView topLeftCell="A15" zoomScale="95" zoomScaleNormal="90" workbookViewId="0">
      <selection activeCell="D1" sqref="D1:J1"/>
    </sheetView>
  </sheetViews>
  <sheetFormatPr defaultRowHeight="15.5" x14ac:dyDescent="0.35"/>
  <cols>
    <col min="1" max="1" width="9.33203125" style="2" customWidth="1"/>
    <col min="2" max="2" width="8.83203125" style="2" customWidth="1"/>
    <col min="3" max="3" width="8.83203125" style="1" customWidth="1"/>
    <col min="4" max="4" width="9.75" style="1" customWidth="1"/>
    <col min="5" max="5" width="9.6640625" style="1" customWidth="1"/>
    <col min="6" max="10" width="9.75" style="1" customWidth="1"/>
    <col min="11" max="11" width="9.25" style="1" customWidth="1"/>
    <col min="12" max="18" width="9.25" style="1" bestFit="1" customWidth="1"/>
    <col min="19" max="16384" width="8.6640625" style="1"/>
  </cols>
  <sheetData>
    <row r="1" spans="1:19" x14ac:dyDescent="0.35">
      <c r="B1" s="2" t="s">
        <v>18</v>
      </c>
      <c r="C1" s="1" t="s">
        <v>0</v>
      </c>
      <c r="D1" s="15">
        <v>46235</v>
      </c>
      <c r="E1" s="15">
        <f>D1+1</f>
        <v>46236</v>
      </c>
      <c r="F1" s="15">
        <f t="shared" ref="F1:J1" si="0">E1+1</f>
        <v>46237</v>
      </c>
      <c r="G1" s="15">
        <f t="shared" si="0"/>
        <v>46238</v>
      </c>
      <c r="H1" s="15">
        <f t="shared" si="0"/>
        <v>46239</v>
      </c>
      <c r="I1" s="15">
        <f t="shared" si="0"/>
        <v>46240</v>
      </c>
      <c r="J1" s="15">
        <f t="shared" si="0"/>
        <v>46241</v>
      </c>
      <c r="K1" s="15"/>
      <c r="L1" s="15">
        <f>D1</f>
        <v>46235</v>
      </c>
      <c r="M1" s="15">
        <f>L1+1</f>
        <v>46236</v>
      </c>
      <c r="N1" s="15">
        <f t="shared" ref="N1:R1" si="1">M1+1</f>
        <v>46237</v>
      </c>
      <c r="O1" s="15">
        <f t="shared" si="1"/>
        <v>46238</v>
      </c>
      <c r="P1" s="15">
        <f t="shared" si="1"/>
        <v>46239</v>
      </c>
      <c r="Q1" s="15">
        <f t="shared" si="1"/>
        <v>46240</v>
      </c>
      <c r="R1" s="15">
        <f t="shared" si="1"/>
        <v>46241</v>
      </c>
    </row>
    <row r="2" spans="1:19" x14ac:dyDescent="0.35">
      <c r="A2" s="17">
        <f>B2*7</f>
        <v>3500</v>
      </c>
      <c r="B2" s="17">
        <v>500</v>
      </c>
      <c r="C2" s="1" t="s">
        <v>17</v>
      </c>
      <c r="D2" s="1">
        <f>_xlfn.XLOOKUP(C2,'[1]Weekly SIP'!$A:$A,'[1]Weekly SIP'!$K:$K,0)</f>
        <v>500</v>
      </c>
      <c r="E2" s="1">
        <v>500</v>
      </c>
      <c r="F2" s="1">
        <v>500</v>
      </c>
      <c r="G2" s="1">
        <v>500</v>
      </c>
      <c r="H2" s="1">
        <v>500</v>
      </c>
      <c r="I2" s="1">
        <v>500</v>
      </c>
      <c r="J2" s="1">
        <v>500</v>
      </c>
      <c r="K2" s="2">
        <f t="shared" ref="K2:K30" si="2">SUM(D2:J2)</f>
        <v>3500</v>
      </c>
      <c r="L2" s="37">
        <f>IFERROR(_xlfn.XLOOKUP($C2,'[2]Key point'!$A:$A,'[2]Key point'!C:C,0),0)</f>
        <v>788.64599999999996</v>
      </c>
      <c r="M2" s="37">
        <f>IFERROR(_xlfn.XLOOKUP($C2,'[2]Key point'!$A:$A,'[2]Key point'!D:D,0),0)</f>
        <v>760.58299999999997</v>
      </c>
      <c r="N2" s="37">
        <f>IFERROR(_xlfn.XLOOKUP($C2,'[2]Key point'!$A:$A,'[2]Key point'!E:E,0),0)</f>
        <v>759.78599999999994</v>
      </c>
      <c r="O2" s="37">
        <f>IFERROR(_xlfn.XLOOKUP($C2,'[2]Key point'!$A:$A,'[2]Key point'!F:F,0),0)</f>
        <v>801.13</v>
      </c>
      <c r="P2" s="37">
        <v>750</v>
      </c>
      <c r="Q2" s="37">
        <f>IFERROR(_xlfn.XLOOKUP($C2,[3]Sheet1!$A:$A,[3]Sheet1!B:B,0)/1000,0)</f>
        <v>506.76799999999997</v>
      </c>
      <c r="R2" s="37">
        <f>IFERROR(_xlfn.XLOOKUP($C2,[3]Sheet1!$A:$A,[3]Sheet1!C:C,0)/1000,0)</f>
        <v>536.23900000000003</v>
      </c>
      <c r="S2" s="29">
        <f>SUM(L2:R2)</f>
        <v>4903.152</v>
      </c>
    </row>
    <row r="3" spans="1:19" x14ac:dyDescent="0.35">
      <c r="A3" s="17">
        <f t="shared" ref="A3:A30" si="3">B3*7</f>
        <v>1750</v>
      </c>
      <c r="B3" s="17">
        <v>250</v>
      </c>
      <c r="C3" s="1" t="s">
        <v>16</v>
      </c>
      <c r="D3" s="1">
        <f>_xlfn.XLOOKUP(C3,'[1]Weekly SIP'!$A:$A,'[1]Weekly SIP'!$K:$K,0)</f>
        <v>250</v>
      </c>
      <c r="E3" s="1">
        <v>250</v>
      </c>
      <c r="F3" s="1">
        <v>250</v>
      </c>
      <c r="G3" s="1">
        <v>250</v>
      </c>
      <c r="H3" s="1">
        <v>250</v>
      </c>
      <c r="I3" s="1">
        <v>250</v>
      </c>
      <c r="J3" s="1">
        <v>250</v>
      </c>
      <c r="K3" s="2">
        <f t="shared" si="2"/>
        <v>1750</v>
      </c>
      <c r="L3" s="37">
        <f>IFERROR(_xlfn.XLOOKUP($C3,'[2]Key point'!$A:$A,'[2]Key point'!C:C,0),0)</f>
        <v>195.65299999999999</v>
      </c>
      <c r="M3" s="37">
        <f>IFERROR(_xlfn.XLOOKUP($C3,'[2]Key point'!$A:$A,'[2]Key point'!D:D,0),0)</f>
        <v>194.81</v>
      </c>
      <c r="N3" s="37">
        <f>IFERROR(_xlfn.XLOOKUP($C3,'[2]Key point'!$A:$A,'[2]Key point'!E:E,0),0)</f>
        <v>201.95</v>
      </c>
      <c r="O3" s="37">
        <f>IFERROR(_xlfn.XLOOKUP($C3,'[2]Key point'!$A:$A,'[2]Key point'!F:F,0),0)</f>
        <v>203.04</v>
      </c>
      <c r="P3" s="37">
        <f>IFERROR(_xlfn.XLOOKUP($C3,'[2]Key point'!$A:$A,'[2]Key point'!G:G,0),0)</f>
        <v>202.84100000000001</v>
      </c>
      <c r="Q3" s="37">
        <f>IFERROR(_xlfn.XLOOKUP($C3,[3]Sheet1!$A:$A,[3]Sheet1!B:B,0)/1000,0)</f>
        <v>177.88800000000001</v>
      </c>
      <c r="R3" s="37">
        <f>IFERROR(_xlfn.XLOOKUP($C3,[3]Sheet1!$A:$A,[3]Sheet1!C:C,0)/1000,0)</f>
        <v>186.197</v>
      </c>
      <c r="S3" s="29">
        <f t="shared" ref="S3:S34" si="4">SUM(L3:R3)</f>
        <v>1362.3789999999999</v>
      </c>
    </row>
    <row r="4" spans="1:19" hidden="1" x14ac:dyDescent="0.35">
      <c r="A4" s="17">
        <f t="shared" si="3"/>
        <v>0</v>
      </c>
      <c r="B4" s="17">
        <v>0</v>
      </c>
      <c r="C4" s="1" t="s">
        <v>122</v>
      </c>
      <c r="D4" s="1">
        <f>_xlfn.XLOOKUP(C4,'[1]Weekly SIP'!$A:$A,'[1]Weekly SIP'!$K:$K,0)</f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2">
        <f t="shared" si="2"/>
        <v>0</v>
      </c>
      <c r="L4" s="37">
        <f>IFERROR(_xlfn.XLOOKUP($C4,'[2]Key point'!$A:$A,'[2]Key point'!C:C,0),0)</f>
        <v>0</v>
      </c>
      <c r="M4" s="37">
        <f>IFERROR(_xlfn.XLOOKUP($C4,'[2]Key point'!$A:$A,'[2]Key point'!D:D,0),0)</f>
        <v>0</v>
      </c>
      <c r="N4" s="37">
        <f>IFERROR(_xlfn.XLOOKUP($C4,'[2]Key point'!$A:$A,'[2]Key point'!E:E,0),0)</f>
        <v>0</v>
      </c>
      <c r="O4" s="37">
        <f>IFERROR(_xlfn.XLOOKUP($C4,'[2]Key point'!$A:$A,'[2]Key point'!F:F,0),0)</f>
        <v>0</v>
      </c>
      <c r="P4" s="37">
        <f>IFERROR(_xlfn.XLOOKUP($C4,'[2]Key point'!$A:$A,'[2]Key point'!G:G,0),0)</f>
        <v>152.14400000000001</v>
      </c>
      <c r="Q4" s="37">
        <v>150</v>
      </c>
      <c r="R4" s="37">
        <f>IFERROR(_xlfn.XLOOKUP($C4,[3]Sheet1!$A:$A,[3]Sheet1!C:C,0)/1000,0)</f>
        <v>0</v>
      </c>
      <c r="S4" s="29"/>
    </row>
    <row r="5" spans="1:19" x14ac:dyDescent="0.35">
      <c r="A5" s="17">
        <f t="shared" si="3"/>
        <v>469</v>
      </c>
      <c r="B5" s="17">
        <v>67</v>
      </c>
      <c r="C5" s="1" t="s">
        <v>117</v>
      </c>
      <c r="D5" s="1">
        <f>_xlfn.XLOOKUP(C5,'[1]Weekly SIP'!$A:$A,'[1]Weekly SIP'!$K:$K,0)</f>
        <v>67</v>
      </c>
      <c r="E5" s="1">
        <v>67</v>
      </c>
      <c r="F5" s="1">
        <v>67</v>
      </c>
      <c r="G5" s="1">
        <v>67</v>
      </c>
      <c r="H5" s="1">
        <v>67</v>
      </c>
      <c r="I5" s="1">
        <v>67</v>
      </c>
      <c r="J5" s="1">
        <v>67</v>
      </c>
      <c r="K5" s="2">
        <f t="shared" si="2"/>
        <v>469</v>
      </c>
      <c r="L5" s="37">
        <f>IFERROR(_xlfn.XLOOKUP($C5,'[2]Key point'!$A:$A,'[2]Key point'!C:C,0),0)</f>
        <v>67.5</v>
      </c>
      <c r="M5" s="37">
        <f>IFERROR(_xlfn.XLOOKUP($C5,'[2]Key point'!$A:$A,'[2]Key point'!D:D,0),0)</f>
        <v>67.105000000000004</v>
      </c>
      <c r="N5" s="37">
        <f>IFERROR(_xlfn.XLOOKUP($C5,'[2]Key point'!$A:$A,'[2]Key point'!E:E,0),0)</f>
        <v>67.5</v>
      </c>
      <c r="O5" s="37">
        <f>IFERROR(_xlfn.XLOOKUP($C5,'[2]Key point'!$A:$A,'[2]Key point'!F:F,0),0)</f>
        <v>67.5</v>
      </c>
      <c r="P5" s="37">
        <f>IFERROR(_xlfn.XLOOKUP($C5,'[2]Key point'!$A:$A,'[2]Key point'!G:G,0),0)</f>
        <v>67.5</v>
      </c>
      <c r="Q5" s="37">
        <f>IFERROR(_xlfn.XLOOKUP($C5,[3]Sheet1!$A:$A,[3]Sheet1!B:B,0)/1000,0)</f>
        <v>66.825000000000003</v>
      </c>
      <c r="R5" s="37">
        <f>IFERROR(_xlfn.XLOOKUP($C5,[3]Sheet1!$A:$A,[3]Sheet1!C:C,0)/1000,0)</f>
        <v>67.5</v>
      </c>
      <c r="S5" s="29">
        <f t="shared" si="4"/>
        <v>471.43</v>
      </c>
    </row>
    <row r="6" spans="1:19" x14ac:dyDescent="0.35">
      <c r="A6" s="17">
        <f t="shared" si="3"/>
        <v>1400</v>
      </c>
      <c r="B6" s="17">
        <v>200</v>
      </c>
      <c r="C6" s="1" t="s">
        <v>15</v>
      </c>
      <c r="D6" s="1">
        <f>_xlfn.XLOOKUP(C6,'[1]Weekly SIP'!$A:$A,'[1]Weekly SIP'!$K:$K,0)</f>
        <v>200</v>
      </c>
      <c r="E6" s="1">
        <v>200</v>
      </c>
      <c r="F6" s="1">
        <v>200</v>
      </c>
      <c r="G6" s="1">
        <v>200</v>
      </c>
      <c r="H6" s="1">
        <v>200</v>
      </c>
      <c r="I6" s="1">
        <v>200</v>
      </c>
      <c r="J6" s="1">
        <v>200</v>
      </c>
      <c r="K6" s="2">
        <f t="shared" si="2"/>
        <v>1400</v>
      </c>
      <c r="L6" s="37">
        <f>IFERROR(_xlfn.XLOOKUP($C6,'[2]Key point'!$A:$A,'[2]Key point'!C:C,0),0)</f>
        <v>162</v>
      </c>
      <c r="M6" s="37">
        <f>IFERROR(_xlfn.XLOOKUP($C6,'[2]Key point'!$A:$A,'[2]Key point'!D:D,0),0)</f>
        <v>161.61099999999999</v>
      </c>
      <c r="N6" s="37">
        <f>IFERROR(_xlfn.XLOOKUP($C6,'[2]Key point'!$A:$A,'[2]Key point'!E:E,0),0)</f>
        <v>162</v>
      </c>
      <c r="O6" s="37">
        <f>IFERROR(_xlfn.XLOOKUP($C6,'[2]Key point'!$A:$A,'[2]Key point'!F:F,0),0)</f>
        <v>156.434</v>
      </c>
      <c r="P6" s="37">
        <f>IFERROR(_xlfn.XLOOKUP($C6,'[2]Key point'!$A:$A,'[2]Key point'!G:G,0),0)</f>
        <v>215.643</v>
      </c>
      <c r="Q6" s="37">
        <f>IFERROR(_xlfn.XLOOKUP($C6,[3]Sheet1!$A:$A,[3]Sheet1!B:B,0)/1000,0)</f>
        <v>322.8</v>
      </c>
      <c r="R6" s="37">
        <f>IFERROR(_xlfn.XLOOKUP($C6,[3]Sheet1!$A:$A,[3]Sheet1!C:C,0)/1000,0)</f>
        <v>107.93</v>
      </c>
      <c r="S6" s="29">
        <f t="shared" si="4"/>
        <v>1288.4180000000001</v>
      </c>
    </row>
    <row r="7" spans="1:19" hidden="1" x14ac:dyDescent="0.35">
      <c r="A7" s="17">
        <f t="shared" si="3"/>
        <v>0</v>
      </c>
      <c r="B7" s="17">
        <v>0</v>
      </c>
      <c r="C7" s="1" t="s">
        <v>118</v>
      </c>
      <c r="D7" s="1">
        <f>_xlfn.XLOOKUP(C7,'[1]Weekly SIP'!$A:$A,'[1]Weekly SIP'!$K:$K,0)</f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2">
        <f t="shared" si="2"/>
        <v>0</v>
      </c>
      <c r="L7" s="37">
        <f>IFERROR(_xlfn.XLOOKUP($C7,'[2]Key point'!$A:$A,'[2]Key point'!C:C,0),0)</f>
        <v>42.177</v>
      </c>
      <c r="M7" s="37">
        <f>IFERROR(_xlfn.XLOOKUP($C7,'[2]Key point'!$A:$A,'[2]Key point'!D:D,0),0)</f>
        <v>42.3</v>
      </c>
      <c r="N7" s="37">
        <f>IFERROR(_xlfn.XLOOKUP($C7,'[2]Key point'!$A:$A,'[2]Key point'!E:E,0),0)</f>
        <v>42.286999999999999</v>
      </c>
      <c r="O7" s="37">
        <f>IFERROR(_xlfn.XLOOKUP($C7,'[2]Key point'!$A:$A,'[2]Key point'!F:F,0),0)</f>
        <v>42.3</v>
      </c>
      <c r="P7" s="37">
        <f>IFERROR(_xlfn.XLOOKUP($C7,'[2]Key point'!$A:$A,'[2]Key point'!G:G,0),0)</f>
        <v>42.3</v>
      </c>
      <c r="Q7" s="37">
        <f>IFERROR(_xlfn.XLOOKUP($C7,[3]Sheet1!$A:$A,[3]Sheet1!B:B,0)/1000,0)</f>
        <v>42.3</v>
      </c>
      <c r="R7" s="37">
        <f>IFERROR(_xlfn.XLOOKUP($C7,[3]Sheet1!$A:$A,[3]Sheet1!C:C,0)/1000,0)</f>
        <v>41.685000000000002</v>
      </c>
      <c r="S7" s="29">
        <f t="shared" si="4"/>
        <v>295.34900000000005</v>
      </c>
    </row>
    <row r="8" spans="1:19" x14ac:dyDescent="0.35">
      <c r="A8" s="17">
        <f t="shared" si="3"/>
        <v>10150</v>
      </c>
      <c r="B8" s="17">
        <v>1450</v>
      </c>
      <c r="C8" s="1" t="s">
        <v>14</v>
      </c>
      <c r="D8" s="1">
        <f>_xlfn.XLOOKUP(C8,'[1]Weekly SIP'!$A:$A,'[1]Weekly SIP'!$K:$K,0)</f>
        <v>1450</v>
      </c>
      <c r="E8" s="1">
        <v>1450</v>
      </c>
      <c r="F8" s="1">
        <v>1450</v>
      </c>
      <c r="G8" s="1">
        <v>1450</v>
      </c>
      <c r="H8" s="1">
        <v>1450</v>
      </c>
      <c r="I8" s="1">
        <v>1450</v>
      </c>
      <c r="J8" s="1">
        <v>1450</v>
      </c>
      <c r="K8" s="2">
        <f t="shared" si="2"/>
        <v>10150</v>
      </c>
      <c r="L8" s="37">
        <f>IFERROR(_xlfn.XLOOKUP($C8,'[2]Key point'!$A:$A,'[2]Key point'!C:C,0),0)</f>
        <v>1064.355</v>
      </c>
      <c r="M8" s="37">
        <f>IFERROR(_xlfn.XLOOKUP($C8,'[2]Key point'!$A:$A,'[2]Key point'!D:D,0),0)</f>
        <v>1059.519</v>
      </c>
      <c r="N8" s="37">
        <f>IFERROR(_xlfn.XLOOKUP($C8,'[2]Key point'!$A:$A,'[2]Key point'!E:E,0),0)</f>
        <v>1057.7660000000001</v>
      </c>
      <c r="O8" s="37">
        <f>IFERROR(_xlfn.XLOOKUP($C8,'[2]Key point'!$A:$A,'[2]Key point'!F:F,0),0)</f>
        <v>1062.922</v>
      </c>
      <c r="P8" s="37">
        <f>IFERROR(_xlfn.XLOOKUP($C8,'[2]Key point'!$A:$A,'[2]Key point'!G:G,0),0)</f>
        <v>1057.527</v>
      </c>
      <c r="Q8" s="37">
        <f>IFERROR(_xlfn.XLOOKUP($C8,[3]Sheet1!$A:$A,[3]Sheet1!B:B,0)/1000,0)</f>
        <v>1065.529</v>
      </c>
      <c r="R8" s="37">
        <f>IFERROR(_xlfn.XLOOKUP($C8,[3]Sheet1!$A:$A,[3]Sheet1!C:C,0)/1000,0)</f>
        <v>1064.2460000000001</v>
      </c>
      <c r="S8" s="29">
        <f t="shared" si="4"/>
        <v>7431.8640000000005</v>
      </c>
    </row>
    <row r="9" spans="1:19" hidden="1" x14ac:dyDescent="0.35">
      <c r="A9" s="17">
        <f t="shared" si="3"/>
        <v>0</v>
      </c>
      <c r="B9" s="17">
        <v>0</v>
      </c>
      <c r="C9" s="1" t="s">
        <v>112</v>
      </c>
      <c r="D9" s="1">
        <f>_xlfn.XLOOKUP(C9,'[1]Weekly SIP'!$A:$A,'[1]Weekly SIP'!$K:$K,0)</f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2">
        <f t="shared" si="2"/>
        <v>0</v>
      </c>
      <c r="L9" s="37">
        <f>IFERROR(_xlfn.XLOOKUP($C9,'[2]Key point'!$A:$A,'[2]Key point'!C:C,0),0)</f>
        <v>152.28</v>
      </c>
      <c r="M9" s="37">
        <f>IFERROR(_xlfn.XLOOKUP($C9,'[2]Key point'!$A:$A,'[2]Key point'!D:D,0),0)</f>
        <v>152.28</v>
      </c>
      <c r="N9" s="37">
        <f>IFERROR(_xlfn.XLOOKUP($C9,'[2]Key point'!$A:$A,'[2]Key point'!E:E,0),0)</f>
        <v>160.583</v>
      </c>
      <c r="O9" s="37">
        <f>IFERROR(_xlfn.XLOOKUP($C9,'[2]Key point'!$A:$A,'[2]Key point'!F:F,0),0)</f>
        <v>168.78</v>
      </c>
      <c r="P9" s="37">
        <f>IFERROR(_xlfn.XLOOKUP($C9,'[2]Key point'!$A:$A,'[2]Key point'!G:G,0),0)</f>
        <v>168.28</v>
      </c>
      <c r="Q9" s="37">
        <f>IFERROR(_xlfn.XLOOKUP($C9,[3]Sheet1!$A:$A,[3]Sheet1!B:B,0)/1000,0)</f>
        <v>151.886</v>
      </c>
      <c r="R9" s="37">
        <f>IFERROR(_xlfn.XLOOKUP($C9,[3]Sheet1!$A:$A,[3]Sheet1!C:C,0)/1000,0)</f>
        <v>152.08099999999999</v>
      </c>
      <c r="S9" s="29">
        <f t="shared" si="4"/>
        <v>1106.1699999999998</v>
      </c>
    </row>
    <row r="10" spans="1:19" hidden="1" x14ac:dyDescent="0.35">
      <c r="A10" s="17">
        <f t="shared" si="3"/>
        <v>0</v>
      </c>
      <c r="B10" s="17">
        <v>0</v>
      </c>
      <c r="C10" s="1" t="s">
        <v>116</v>
      </c>
      <c r="D10" s="1">
        <f>_xlfn.XLOOKUP(C10,'[1]Weekly SIP'!$A:$A,'[1]Weekly SIP'!$K:$K,0)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>
        <f t="shared" si="2"/>
        <v>0</v>
      </c>
      <c r="L10" s="37">
        <f>IFERROR(_xlfn.XLOOKUP($C10,'[2]Key point'!$A:$A,'[2]Key point'!C:C,0),0)</f>
        <v>0</v>
      </c>
      <c r="M10" s="37">
        <f>IFERROR(_xlfn.XLOOKUP($C10,'[2]Key point'!$A:$A,'[2]Key point'!D:D,0),0)</f>
        <v>0</v>
      </c>
      <c r="N10" s="37">
        <f>IFERROR(_xlfn.XLOOKUP($C10,'[2]Key point'!$A:$A,'[2]Key point'!E:E,0),0)</f>
        <v>0</v>
      </c>
      <c r="O10" s="37">
        <f>IFERROR(_xlfn.XLOOKUP($C10,'[2]Key point'!$A:$A,'[2]Key point'!F:F,0),0)</f>
        <v>0</v>
      </c>
      <c r="P10" s="37">
        <f>IFERROR(_xlfn.XLOOKUP($C10,'[2]Key point'!$A:$A,'[2]Key point'!G:G,0),0)</f>
        <v>0</v>
      </c>
      <c r="Q10" s="37">
        <f>IFERROR(_xlfn.XLOOKUP($C10,[3]Sheet1!$A:$A,[3]Sheet1!B:B,0)/1000,0)</f>
        <v>0</v>
      </c>
      <c r="R10" s="37">
        <f>IFERROR(_xlfn.XLOOKUP($C10,[3]Sheet1!$A:$A,[3]Sheet1!C:C,0)/1000,0)</f>
        <v>0</v>
      </c>
      <c r="S10" s="29">
        <f t="shared" si="4"/>
        <v>0</v>
      </c>
    </row>
    <row r="11" spans="1:19" hidden="1" x14ac:dyDescent="0.35">
      <c r="A11" s="17">
        <f t="shared" si="3"/>
        <v>0</v>
      </c>
      <c r="B11" s="17">
        <v>0</v>
      </c>
      <c r="C11" s="1" t="s">
        <v>119</v>
      </c>
      <c r="D11" s="1">
        <f>_xlfn.XLOOKUP(C11,'[1]Weekly SIP'!$A:$A,'[1]Weekly SIP'!$K:$K,0)</f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>
        <f t="shared" si="2"/>
        <v>0</v>
      </c>
      <c r="L11" s="37">
        <f>IFERROR(_xlfn.XLOOKUP($C11,'[2]Key point'!$A:$A,'[2]Key point'!C:C,0),0)</f>
        <v>0</v>
      </c>
      <c r="M11" s="37">
        <f>IFERROR(_xlfn.XLOOKUP($C11,'[2]Key point'!$A:$A,'[2]Key point'!D:D,0),0)</f>
        <v>0</v>
      </c>
      <c r="N11" s="37">
        <f>IFERROR(_xlfn.XLOOKUP($C11,'[2]Key point'!$A:$A,'[2]Key point'!E:E,0),0)</f>
        <v>0</v>
      </c>
      <c r="O11" s="37">
        <f>IFERROR(_xlfn.XLOOKUP($C11,'[2]Key point'!$A:$A,'[2]Key point'!F:F,0),0)</f>
        <v>0</v>
      </c>
      <c r="P11" s="37">
        <f>IFERROR(_xlfn.XLOOKUP($C11,'[2]Key point'!$A:$A,'[2]Key point'!G:G,0),0)</f>
        <v>0</v>
      </c>
      <c r="Q11" s="37">
        <f>IFERROR(_xlfn.XLOOKUP($C11,[3]Sheet1!$A:$A,[3]Sheet1!B:B,0)/1000,0)</f>
        <v>0</v>
      </c>
      <c r="R11" s="37">
        <f>IFERROR(_xlfn.XLOOKUP($C11,[3]Sheet1!$A:$A,[3]Sheet1!C:C,0)/1000,0)</f>
        <v>0</v>
      </c>
      <c r="S11" s="29"/>
    </row>
    <row r="12" spans="1:19" x14ac:dyDescent="0.35">
      <c r="A12" s="17">
        <f t="shared" si="3"/>
        <v>105</v>
      </c>
      <c r="B12" s="17">
        <v>15</v>
      </c>
      <c r="C12" s="1" t="s">
        <v>121</v>
      </c>
      <c r="F12" s="1">
        <v>60</v>
      </c>
      <c r="K12" s="2">
        <f t="shared" si="2"/>
        <v>60</v>
      </c>
      <c r="L12" s="37">
        <f>IFERROR(_xlfn.XLOOKUP($C12,'[2]Key point'!$A:$A,'[2]Key point'!C:C,0),0)</f>
        <v>0</v>
      </c>
      <c r="M12" s="37">
        <f>IFERROR(_xlfn.XLOOKUP($C12,'[2]Key point'!$A:$A,'[2]Key point'!D:D,0),0)</f>
        <v>0</v>
      </c>
      <c r="N12" s="37">
        <f>IFERROR(_xlfn.XLOOKUP($C12,'[2]Key point'!$A:$A,'[2]Key point'!E:E,0),0)</f>
        <v>0</v>
      </c>
      <c r="O12" s="37">
        <f>IFERROR(_xlfn.XLOOKUP($C12,'[2]Key point'!$A:$A,'[2]Key point'!F:F,0),0)</f>
        <v>0</v>
      </c>
      <c r="P12" s="37">
        <f>IFERROR(_xlfn.XLOOKUP($C12,'[2]Key point'!$A:$A,'[2]Key point'!G:G,0),0)</f>
        <v>0</v>
      </c>
      <c r="Q12" s="37">
        <f>IFERROR(_xlfn.XLOOKUP($C12,[3]Sheet1!$A:$A,[3]Sheet1!B:B,0)/1000,0)</f>
        <v>0</v>
      </c>
      <c r="R12" s="37">
        <f>IFERROR(_xlfn.XLOOKUP($C12,[3]Sheet1!$A:$A,[3]Sheet1!C:C,0)/1000,0)</f>
        <v>0</v>
      </c>
      <c r="S12" s="29"/>
    </row>
    <row r="13" spans="1:19" x14ac:dyDescent="0.35">
      <c r="A13" s="17">
        <f t="shared" si="3"/>
        <v>6510</v>
      </c>
      <c r="B13" s="17">
        <v>930</v>
      </c>
      <c r="C13" s="1" t="s">
        <v>13</v>
      </c>
      <c r="D13" s="1">
        <f>_xlfn.XLOOKUP(C13,'[1]Weekly SIP'!$A:$A,'[1]Weekly SIP'!$K:$K,0)</f>
        <v>930</v>
      </c>
      <c r="E13" s="1">
        <v>930</v>
      </c>
      <c r="F13" s="1">
        <v>930</v>
      </c>
      <c r="G13" s="1">
        <v>930</v>
      </c>
      <c r="H13" s="1">
        <v>930</v>
      </c>
      <c r="I13" s="1">
        <v>930</v>
      </c>
      <c r="J13" s="1">
        <v>930</v>
      </c>
      <c r="K13" s="2">
        <f t="shared" si="2"/>
        <v>6510</v>
      </c>
      <c r="L13" s="37">
        <f>IFERROR(_xlfn.XLOOKUP($C13,'[2]Key point'!$A:$A,'[2]Key point'!C:C,0),0)</f>
        <v>932.11</v>
      </c>
      <c r="M13" s="37">
        <f>IFERROR(_xlfn.XLOOKUP($C13,'[2]Key point'!$A:$A,'[2]Key point'!D:D,0),0)</f>
        <v>906.94200000000001</v>
      </c>
      <c r="N13" s="37">
        <f>IFERROR(_xlfn.XLOOKUP($C13,'[2]Key point'!$A:$A,'[2]Key point'!E:E,0),0)</f>
        <v>1091.566</v>
      </c>
      <c r="O13" s="37">
        <f>IFERROR(_xlfn.XLOOKUP($C13,'[2]Key point'!$A:$A,'[2]Key point'!F:F,0),0)</f>
        <v>946.07100000000003</v>
      </c>
      <c r="P13" s="37">
        <f>IFERROR(_xlfn.XLOOKUP($C13,'[2]Key point'!$A:$A,'[2]Key point'!G:G,0),0)</f>
        <v>1023.843</v>
      </c>
      <c r="Q13" s="37">
        <f>IFERROR(_xlfn.XLOOKUP($C13,[3]Sheet1!$A:$A,[3]Sheet1!B:B,0)/1000,0)</f>
        <v>884.77200000000005</v>
      </c>
      <c r="R13" s="37">
        <f>IFERROR(_xlfn.XLOOKUP($C13,[3]Sheet1!$A:$A,[3]Sheet1!C:C,0)/1000,0)</f>
        <v>985.12900000000002</v>
      </c>
      <c r="S13" s="29">
        <f t="shared" si="4"/>
        <v>6770.433</v>
      </c>
    </row>
    <row r="14" spans="1:19" x14ac:dyDescent="0.35">
      <c r="A14" s="17">
        <f t="shared" si="3"/>
        <v>700</v>
      </c>
      <c r="B14" s="17">
        <v>100</v>
      </c>
      <c r="C14" s="1" t="s">
        <v>12</v>
      </c>
      <c r="D14" s="1">
        <f>_xlfn.XLOOKUP(C14,'[1]Weekly SIP'!$A:$A,'[1]Weekly SIP'!$K:$K,0)</f>
        <v>100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>
        <v>100</v>
      </c>
      <c r="K14" s="2">
        <f t="shared" si="2"/>
        <v>700</v>
      </c>
      <c r="L14" s="37">
        <f>IFERROR(_xlfn.XLOOKUP($C14,'[2]Key point'!$A:$A,'[2]Key point'!C:C,0),0)</f>
        <v>66</v>
      </c>
      <c r="M14" s="37">
        <f>IFERROR(_xlfn.XLOOKUP($C14,'[2]Key point'!$A:$A,'[2]Key point'!D:D,0),0)</f>
        <v>99.409000000000006</v>
      </c>
      <c r="N14" s="37">
        <f>IFERROR(_xlfn.XLOOKUP($C14,'[2]Key point'!$A:$A,'[2]Key point'!E:E,0),0)</f>
        <v>101.161</v>
      </c>
      <c r="O14" s="37">
        <f>IFERROR(_xlfn.XLOOKUP($C14,'[2]Key point'!$A:$A,'[2]Key point'!F:F,0),0)</f>
        <v>66</v>
      </c>
      <c r="P14" s="37">
        <f>IFERROR(_xlfn.XLOOKUP($C14,'[2]Key point'!$A:$A,'[2]Key point'!G:G,0),0)</f>
        <v>99.534000000000006</v>
      </c>
      <c r="Q14" s="37">
        <f>IFERROR(_xlfn.XLOOKUP($C14,[3]Sheet1!$A:$A,[3]Sheet1!B:B,0)/1000,0)</f>
        <v>98.905000000000001</v>
      </c>
      <c r="R14" s="37">
        <f>IFERROR(_xlfn.XLOOKUP($C14,[3]Sheet1!$A:$A,[3]Sheet1!C:C,0)/1000,0)</f>
        <v>97.100999999999999</v>
      </c>
      <c r="S14" s="29">
        <f t="shared" si="4"/>
        <v>628.11</v>
      </c>
    </row>
    <row r="15" spans="1:19" x14ac:dyDescent="0.35">
      <c r="A15" s="17">
        <f t="shared" si="3"/>
        <v>700</v>
      </c>
      <c r="B15" s="17">
        <v>100</v>
      </c>
      <c r="C15" s="1" t="s">
        <v>11</v>
      </c>
      <c r="D15" s="1">
        <f>_xlfn.XLOOKUP(C15,'[1]Weekly SIP'!$A:$A,'[1]Weekly SIP'!$K:$K,0)</f>
        <v>100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>
        <v>100</v>
      </c>
      <c r="K15" s="2">
        <f t="shared" si="2"/>
        <v>700</v>
      </c>
      <c r="L15" s="37">
        <f>IFERROR(_xlfn.XLOOKUP($C15,'[2]Key point'!$A:$A,'[2]Key point'!C:C,0),0)</f>
        <v>137.572</v>
      </c>
      <c r="M15" s="37">
        <f>IFERROR(_xlfn.XLOOKUP($C15,'[2]Key point'!$A:$A,'[2]Key point'!D:D,0),0)</f>
        <v>113.203</v>
      </c>
      <c r="N15" s="37">
        <f>IFERROR(_xlfn.XLOOKUP($C15,'[2]Key point'!$A:$A,'[2]Key point'!E:E,0),0)</f>
        <v>90.995000000000005</v>
      </c>
      <c r="O15" s="37">
        <f>IFERROR(_xlfn.XLOOKUP($C15,'[2]Key point'!$A:$A,'[2]Key point'!F:F,0),0)</f>
        <v>90.795000000000002</v>
      </c>
      <c r="P15" s="37">
        <f>IFERROR(_xlfn.XLOOKUP($C15,'[2]Key point'!$A:$A,'[2]Key point'!G:G,0),0)</f>
        <v>91</v>
      </c>
      <c r="Q15" s="37">
        <f>IFERROR(_xlfn.XLOOKUP($C15,[3]Sheet1!$A:$A,[3]Sheet1!B:B,0)/1000,0)</f>
        <v>115.456</v>
      </c>
      <c r="R15" s="37">
        <f>IFERROR(_xlfn.XLOOKUP($C15,[3]Sheet1!$A:$A,[3]Sheet1!C:C,0)/1000,0)</f>
        <v>114.339</v>
      </c>
      <c r="S15" s="29">
        <f t="shared" si="4"/>
        <v>753.36000000000013</v>
      </c>
    </row>
    <row r="16" spans="1:19" x14ac:dyDescent="0.35">
      <c r="A16" s="17">
        <f t="shared" si="3"/>
        <v>420</v>
      </c>
      <c r="B16" s="17">
        <v>60</v>
      </c>
      <c r="C16" s="1" t="s">
        <v>66</v>
      </c>
      <c r="D16" s="1">
        <f>_xlfn.XLOOKUP(C16,'[1]Weekly SIP'!$A:$A,'[1]Weekly SIP'!$K:$K,0)</f>
        <v>60</v>
      </c>
      <c r="E16" s="1">
        <v>60</v>
      </c>
      <c r="F16" s="1">
        <v>60</v>
      </c>
      <c r="G16" s="1">
        <v>60</v>
      </c>
      <c r="H16" s="1">
        <v>60</v>
      </c>
      <c r="I16" s="1">
        <v>60</v>
      </c>
      <c r="J16" s="1">
        <v>60</v>
      </c>
      <c r="K16" s="2">
        <f t="shared" si="2"/>
        <v>420</v>
      </c>
      <c r="L16" s="37">
        <f>IFERROR(_xlfn.XLOOKUP($C16,'[2]Key point'!$A:$A,'[2]Key point'!C:C,0),0)</f>
        <v>47.192</v>
      </c>
      <c r="M16" s="37">
        <f>IFERROR(_xlfn.XLOOKUP($C16,'[2]Key point'!$A:$A,'[2]Key point'!D:D,0),0)</f>
        <v>70.694000000000003</v>
      </c>
      <c r="N16" s="37">
        <f>IFERROR(_xlfn.XLOOKUP($C16,'[2]Key point'!$A:$A,'[2]Key point'!E:E,0),0)</f>
        <v>47.155999999999999</v>
      </c>
      <c r="O16" s="37">
        <f>IFERROR(_xlfn.XLOOKUP($C16,'[2]Key point'!$A:$A,'[2]Key point'!F:F,0),0)</f>
        <v>70.644999999999996</v>
      </c>
      <c r="P16" s="37">
        <f>IFERROR(_xlfn.XLOOKUP($C16,'[2]Key point'!$A:$A,'[2]Key point'!G:G,0),0)</f>
        <v>46.738</v>
      </c>
      <c r="Q16" s="37">
        <f>IFERROR(_xlfn.XLOOKUP($C16,[3]Sheet1!$A:$A,[3]Sheet1!B:B,0)/1000,0)</f>
        <v>70.623999999999995</v>
      </c>
      <c r="R16" s="37">
        <f>IFERROR(_xlfn.XLOOKUP($C16,[3]Sheet1!$A:$A,[3]Sheet1!C:C,0)/1000,0)</f>
        <v>46.8</v>
      </c>
      <c r="S16" s="29">
        <f t="shared" si="4"/>
        <v>399.84899999999999</v>
      </c>
    </row>
    <row r="17" spans="1:19" x14ac:dyDescent="0.35">
      <c r="A17" s="17">
        <f t="shared" si="3"/>
        <v>70</v>
      </c>
      <c r="B17" s="17">
        <v>10</v>
      </c>
      <c r="C17" s="1" t="s">
        <v>10</v>
      </c>
      <c r="D17" s="1">
        <f>_xlfn.XLOOKUP(C17,'[1]Weekly SIP'!$A:$A,'[1]Weekly SIP'!$K:$K,0)</f>
        <v>10</v>
      </c>
      <c r="E17" s="1">
        <v>10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2">
        <f t="shared" si="2"/>
        <v>70</v>
      </c>
      <c r="L17" s="37">
        <f>IFERROR(_xlfn.XLOOKUP($C17,'[2]Key point'!$A:$A,'[2]Key point'!C:C,0),0)</f>
        <v>33.447000000000003</v>
      </c>
      <c r="M17" s="37">
        <f>IFERROR(_xlfn.XLOOKUP($C17,'[2]Key point'!$A:$A,'[2]Key point'!D:D,0),0)</f>
        <v>0</v>
      </c>
      <c r="N17" s="37">
        <f>IFERROR(_xlfn.XLOOKUP($C17,'[2]Key point'!$A:$A,'[2]Key point'!E:E,0),0)</f>
        <v>0</v>
      </c>
      <c r="O17" s="37">
        <f>IFERROR(_xlfn.XLOOKUP($C17,'[2]Key point'!$A:$A,'[2]Key point'!F:F,0),0)</f>
        <v>0</v>
      </c>
      <c r="P17" s="37">
        <f>IFERROR(_xlfn.XLOOKUP($C17,'[2]Key point'!$A:$A,'[2]Key point'!G:G,0),0)</f>
        <v>0</v>
      </c>
      <c r="Q17" s="37">
        <f>IFERROR(_xlfn.XLOOKUP($C17,[3]Sheet1!$A:$A,[3]Sheet1!B:B,0)/1000,0)</f>
        <v>33.6</v>
      </c>
      <c r="R17" s="37">
        <f>IFERROR(_xlfn.XLOOKUP($C17,[3]Sheet1!$A:$A,[3]Sheet1!C:C,0)/1000,0)</f>
        <v>33.6</v>
      </c>
      <c r="S17" s="29">
        <f t="shared" si="4"/>
        <v>100.64699999999999</v>
      </c>
    </row>
    <row r="18" spans="1:19" x14ac:dyDescent="0.35">
      <c r="A18" s="17">
        <f t="shared" si="3"/>
        <v>70</v>
      </c>
      <c r="B18" s="17">
        <v>10</v>
      </c>
      <c r="C18" s="1" t="s">
        <v>9</v>
      </c>
      <c r="D18" s="1">
        <f>_xlfn.XLOOKUP(C18,'[1]Weekly SIP'!$A:$A,'[1]Weekly SIP'!$K:$K,0)</f>
        <v>10</v>
      </c>
      <c r="E18" s="1">
        <v>10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2">
        <f t="shared" si="2"/>
        <v>70</v>
      </c>
      <c r="L18" s="37">
        <f>IFERROR(_xlfn.XLOOKUP($C18,'[2]Key point'!$A:$A,'[2]Key point'!C:C,0),0)</f>
        <v>0</v>
      </c>
      <c r="M18" s="37">
        <f>IFERROR(_xlfn.XLOOKUP($C18,'[2]Key point'!$A:$A,'[2]Key point'!D:D,0),0)</f>
        <v>0</v>
      </c>
      <c r="N18" s="37">
        <f>IFERROR(_xlfn.XLOOKUP($C18,'[2]Key point'!$A:$A,'[2]Key point'!E:E,0),0)</f>
        <v>0</v>
      </c>
      <c r="O18" s="37">
        <f>IFERROR(_xlfn.XLOOKUP($C18,'[2]Key point'!$A:$A,'[2]Key point'!F:F,0),0)</f>
        <v>0</v>
      </c>
      <c r="P18" s="37">
        <f>IFERROR(_xlfn.XLOOKUP($C18,'[2]Key point'!$A:$A,'[2]Key point'!G:G,0),0)</f>
        <v>0</v>
      </c>
      <c r="Q18" s="37">
        <f>IFERROR(_xlfn.XLOOKUP($C18,[3]Sheet1!$A:$A,[3]Sheet1!B:B,0)/1000,0)</f>
        <v>33.402000000000001</v>
      </c>
      <c r="R18" s="37">
        <f>IFERROR(_xlfn.XLOOKUP($C18,[3]Sheet1!$A:$A,[3]Sheet1!C:C,0)/1000,0)</f>
        <v>0</v>
      </c>
      <c r="S18" s="29">
        <f t="shared" si="4"/>
        <v>33.402000000000001</v>
      </c>
    </row>
    <row r="19" spans="1:19" x14ac:dyDescent="0.35">
      <c r="A19" s="17">
        <f t="shared" si="3"/>
        <v>294</v>
      </c>
      <c r="B19" s="17">
        <v>42</v>
      </c>
      <c r="C19" s="1" t="s">
        <v>98</v>
      </c>
      <c r="D19" s="1">
        <v>84</v>
      </c>
      <c r="E19" s="1">
        <v>84</v>
      </c>
      <c r="F19" s="1">
        <v>84</v>
      </c>
      <c r="G19" s="1">
        <v>42</v>
      </c>
      <c r="K19" s="2">
        <f t="shared" si="2"/>
        <v>294</v>
      </c>
      <c r="L19" s="37">
        <f>IFERROR(_xlfn.XLOOKUP($C19,'[2]Key point'!$A:$A,'[2]Key point'!C:C,0),0)</f>
        <v>0</v>
      </c>
      <c r="M19" s="37">
        <f>IFERROR(_xlfn.XLOOKUP($C19,'[2]Key point'!$A:$A,'[2]Key point'!D:D,0),0)</f>
        <v>0</v>
      </c>
      <c r="N19" s="37">
        <f>IFERROR(_xlfn.XLOOKUP($C19,'[2]Key point'!$A:$A,'[2]Key point'!E:E,0),0)</f>
        <v>0</v>
      </c>
      <c r="O19" s="37">
        <f>IFERROR(_xlfn.XLOOKUP($C19,'[2]Key point'!$A:$A,'[2]Key point'!F:F,0),0)</f>
        <v>0</v>
      </c>
      <c r="P19" s="37">
        <f>IFERROR(_xlfn.XLOOKUP($C19,'[2]Key point'!$A:$A,'[2]Key point'!G:G,0),0)</f>
        <v>0</v>
      </c>
      <c r="Q19" s="37">
        <f>IFERROR(_xlfn.XLOOKUP($C19,[3]Sheet1!$A:$A,[3]Sheet1!B:B,0)/1000,0)</f>
        <v>0</v>
      </c>
      <c r="R19" s="37">
        <f>IFERROR(_xlfn.XLOOKUP($C19,[3]Sheet1!$A:$A,[3]Sheet1!C:C,0)/1000,0)</f>
        <v>0</v>
      </c>
      <c r="S19" s="29">
        <f t="shared" si="4"/>
        <v>0</v>
      </c>
    </row>
    <row r="20" spans="1:19" x14ac:dyDescent="0.35">
      <c r="A20" s="17">
        <f t="shared" si="3"/>
        <v>1176</v>
      </c>
      <c r="B20" s="17">
        <v>168</v>
      </c>
      <c r="C20" s="1" t="s">
        <v>110</v>
      </c>
      <c r="D20" s="1">
        <f>_xlfn.XLOOKUP(C20,'[1]Weekly SIP'!$A:$A,'[1]Weekly SIP'!$K:$K,0)</f>
        <v>168</v>
      </c>
      <c r="E20" s="1">
        <v>168</v>
      </c>
      <c r="F20" s="1">
        <v>168</v>
      </c>
      <c r="G20" s="1">
        <v>168</v>
      </c>
      <c r="H20" s="1">
        <v>168</v>
      </c>
      <c r="I20" s="1">
        <v>168</v>
      </c>
      <c r="J20" s="1">
        <v>168</v>
      </c>
      <c r="K20" s="2">
        <f t="shared" si="2"/>
        <v>1176</v>
      </c>
      <c r="L20" s="37">
        <f>IFERROR(_xlfn.XLOOKUP($C20,'[2]Key point'!$A:$A,'[2]Key point'!C:C,0),0)</f>
        <v>168.90700000000001</v>
      </c>
      <c r="M20" s="37">
        <f>IFERROR(_xlfn.XLOOKUP($C20,'[2]Key point'!$A:$A,'[2]Key point'!D:D,0),0)</f>
        <v>170.33500000000001</v>
      </c>
      <c r="N20" s="37">
        <f>IFERROR(_xlfn.XLOOKUP($C20,'[2]Key point'!$A:$A,'[2]Key point'!E:E,0),0)</f>
        <v>168.714</v>
      </c>
      <c r="O20" s="37">
        <f>IFERROR(_xlfn.XLOOKUP($C20,'[2]Key point'!$A:$A,'[2]Key point'!F:F,0),0)</f>
        <v>169.15299999999999</v>
      </c>
      <c r="P20" s="37">
        <f>IFERROR(_xlfn.XLOOKUP($C20,'[2]Key point'!$A:$A,'[2]Key point'!G:G,0),0)</f>
        <v>169.13800000000001</v>
      </c>
      <c r="Q20" s="37">
        <f>IFERROR(_xlfn.XLOOKUP($C20,[3]Sheet1!$A:$A,[3]Sheet1!B:B,0)/1000,0)</f>
        <v>169.11500000000001</v>
      </c>
      <c r="R20" s="37">
        <f>IFERROR(_xlfn.XLOOKUP($C20,[3]Sheet1!$A:$A,[3]Sheet1!C:C,0)/1000,0)</f>
        <v>170.036</v>
      </c>
      <c r="S20" s="29">
        <f t="shared" si="4"/>
        <v>1185.3980000000001</v>
      </c>
    </row>
    <row r="21" spans="1:19" x14ac:dyDescent="0.35">
      <c r="A21" s="17">
        <f t="shared" si="3"/>
        <v>1540</v>
      </c>
      <c r="B21" s="17">
        <v>220</v>
      </c>
      <c r="C21" s="1" t="s">
        <v>8</v>
      </c>
      <c r="D21" s="1">
        <f>_xlfn.XLOOKUP(C21,'[1]Weekly SIP'!$A:$A,'[1]Weekly SIP'!$K:$K,0)</f>
        <v>220</v>
      </c>
      <c r="E21" s="1">
        <v>220</v>
      </c>
      <c r="F21" s="1">
        <v>220</v>
      </c>
      <c r="G21" s="1">
        <v>220</v>
      </c>
      <c r="H21" s="1">
        <v>220</v>
      </c>
      <c r="I21" s="1">
        <v>220</v>
      </c>
      <c r="J21" s="1">
        <v>220</v>
      </c>
      <c r="K21" s="2">
        <f t="shared" si="2"/>
        <v>1540</v>
      </c>
      <c r="L21" s="37">
        <f>IFERROR(_xlfn.XLOOKUP($C21,'[2]Key point'!$A:$A,'[2]Key point'!C:C,0),0)</f>
        <v>166.268</v>
      </c>
      <c r="M21" s="37">
        <f>IFERROR(_xlfn.XLOOKUP($C21,'[2]Key point'!$A:$A,'[2]Key point'!D:D,0),0)</f>
        <v>199.761</v>
      </c>
      <c r="N21" s="37">
        <f>IFERROR(_xlfn.XLOOKUP($C21,'[2]Key point'!$A:$A,'[2]Key point'!E:E,0),0)</f>
        <v>199.435</v>
      </c>
      <c r="O21" s="37">
        <f>IFERROR(_xlfn.XLOOKUP($C21,'[2]Key point'!$A:$A,'[2]Key point'!F:F,0),0)</f>
        <v>199.77600000000001</v>
      </c>
      <c r="P21" s="37">
        <f>IFERROR(_xlfn.XLOOKUP($C21,'[2]Key point'!$A:$A,'[2]Key point'!G:G,0),0)</f>
        <v>199.72399999999999</v>
      </c>
      <c r="Q21" s="37">
        <f>IFERROR(_xlfn.XLOOKUP($C21,[3]Sheet1!$A:$A,[3]Sheet1!B:B,0)/1000,0)</f>
        <v>232.762</v>
      </c>
      <c r="R21" s="37">
        <f>IFERROR(_xlfn.XLOOKUP($C21,[3]Sheet1!$A:$A,[3]Sheet1!C:C,0)/1000,0)</f>
        <v>232.792</v>
      </c>
      <c r="S21" s="29">
        <f t="shared" si="4"/>
        <v>1430.5179999999998</v>
      </c>
    </row>
    <row r="22" spans="1:19" x14ac:dyDescent="0.35">
      <c r="A22" s="17">
        <f t="shared" si="3"/>
        <v>840</v>
      </c>
      <c r="B22" s="17">
        <v>120</v>
      </c>
      <c r="C22" s="1" t="s">
        <v>7</v>
      </c>
      <c r="D22" s="1">
        <f>_xlfn.XLOOKUP(C22,'[1]Weekly SIP'!$A:$A,'[1]Weekly SIP'!$K:$K,0)</f>
        <v>120</v>
      </c>
      <c r="E22" s="1">
        <v>120</v>
      </c>
      <c r="F22" s="1">
        <v>120</v>
      </c>
      <c r="G22" s="1">
        <v>120</v>
      </c>
      <c r="H22" s="1">
        <v>120</v>
      </c>
      <c r="I22" s="1">
        <v>120</v>
      </c>
      <c r="J22" s="1">
        <v>120</v>
      </c>
      <c r="K22" s="2">
        <f t="shared" si="2"/>
        <v>840</v>
      </c>
      <c r="L22" s="37">
        <f>IFERROR(_xlfn.XLOOKUP($C22,'[2]Key point'!$A:$A,'[2]Key point'!C:C,0),0)</f>
        <v>128.685</v>
      </c>
      <c r="M22" s="37">
        <f>IFERROR(_xlfn.XLOOKUP($C22,'[2]Key point'!$A:$A,'[2]Key point'!D:D,0),0)</f>
        <v>113.072</v>
      </c>
      <c r="N22" s="37">
        <f>IFERROR(_xlfn.XLOOKUP($C22,'[2]Key point'!$A:$A,'[2]Key point'!E:E,0),0)</f>
        <v>90.885999999999996</v>
      </c>
      <c r="O22" s="37">
        <f>IFERROR(_xlfn.XLOOKUP($C22,'[2]Key point'!$A:$A,'[2]Key point'!F:F,0),0)</f>
        <v>130.28899999999999</v>
      </c>
      <c r="P22" s="37">
        <f>IFERROR(_xlfn.XLOOKUP($C22,'[2]Key point'!$A:$A,'[2]Key point'!G:G,0),0)</f>
        <v>117.553</v>
      </c>
      <c r="Q22" s="37">
        <f>IFERROR(_xlfn.XLOOKUP($C22,[3]Sheet1!$A:$A,[3]Sheet1!B:B,0)/1000,0)</f>
        <v>94.55</v>
      </c>
      <c r="R22" s="37">
        <f>IFERROR(_xlfn.XLOOKUP($C22,[3]Sheet1!$A:$A,[3]Sheet1!C:C,0)/1000,0)</f>
        <v>114.26600000000001</v>
      </c>
      <c r="S22" s="29">
        <f t="shared" si="4"/>
        <v>789.30099999999993</v>
      </c>
    </row>
    <row r="23" spans="1:19" x14ac:dyDescent="0.35">
      <c r="A23" s="17">
        <f t="shared" si="3"/>
        <v>1540</v>
      </c>
      <c r="B23" s="17">
        <v>220</v>
      </c>
      <c r="C23" s="1" t="s">
        <v>6</v>
      </c>
      <c r="D23" s="1">
        <f>_xlfn.XLOOKUP(C23,'[1]Weekly SIP'!$A:$A,'[1]Weekly SIP'!$K:$K,0)</f>
        <v>220</v>
      </c>
      <c r="E23" s="28">
        <v>220</v>
      </c>
      <c r="F23" s="28">
        <v>220</v>
      </c>
      <c r="G23" s="1">
        <v>220</v>
      </c>
      <c r="H23" s="1">
        <v>220</v>
      </c>
      <c r="I23" s="1">
        <v>220</v>
      </c>
      <c r="J23" s="1">
        <v>220</v>
      </c>
      <c r="K23" s="2">
        <f t="shared" si="2"/>
        <v>1540</v>
      </c>
      <c r="L23" s="37">
        <f>IFERROR(_xlfn.XLOOKUP($C23,'[2]Key point'!$A:$A,'[2]Key point'!C:C,0),0)</f>
        <v>248.37899999999999</v>
      </c>
      <c r="M23" s="37">
        <f>IFERROR(_xlfn.XLOOKUP($C23,'[2]Key point'!$A:$A,'[2]Key point'!D:D,0),0)</f>
        <v>248.071</v>
      </c>
      <c r="N23" s="37">
        <f>IFERROR(_xlfn.XLOOKUP($C23,'[2]Key point'!$A:$A,'[2]Key point'!E:E,0),0)</f>
        <v>251.666</v>
      </c>
      <c r="O23" s="37">
        <f>IFERROR(_xlfn.XLOOKUP($C23,'[2]Key point'!$A:$A,'[2]Key point'!F:F,0),0)</f>
        <v>254.86799999999999</v>
      </c>
      <c r="P23" s="37">
        <f>IFERROR(_xlfn.XLOOKUP($C23,'[2]Key point'!$A:$A,'[2]Key point'!G:G,0),0)</f>
        <v>257.90699999999998</v>
      </c>
      <c r="Q23" s="37">
        <f>IFERROR(_xlfn.XLOOKUP($C23,[3]Sheet1!$A:$A,[3]Sheet1!B:B,0)/1000,0)</f>
        <v>209.64</v>
      </c>
      <c r="R23" s="37">
        <f>IFERROR(_xlfn.XLOOKUP($C23,[3]Sheet1!$A:$A,[3]Sheet1!C:C,0)/1000,0)</f>
        <v>202.464</v>
      </c>
      <c r="S23" s="29">
        <f t="shared" si="4"/>
        <v>1672.9949999999999</v>
      </c>
    </row>
    <row r="24" spans="1:19" x14ac:dyDescent="0.35">
      <c r="A24" s="17">
        <f t="shared" si="3"/>
        <v>4410</v>
      </c>
      <c r="B24" s="17">
        <v>630</v>
      </c>
      <c r="C24" s="1" t="s">
        <v>5</v>
      </c>
      <c r="D24" s="1">
        <f>_xlfn.XLOOKUP(C24,'[1]Weekly SIP'!$A:$A,'[1]Weekly SIP'!$K:$K,0)-42</f>
        <v>588</v>
      </c>
      <c r="E24" s="1">
        <f>630-42</f>
        <v>588</v>
      </c>
      <c r="F24" s="1">
        <f>630-42</f>
        <v>588</v>
      </c>
      <c r="G24" s="1">
        <v>630</v>
      </c>
      <c r="H24" s="1">
        <f>630+42</f>
        <v>672</v>
      </c>
      <c r="I24" s="1">
        <f t="shared" ref="I24:J24" si="5">630+42</f>
        <v>672</v>
      </c>
      <c r="J24" s="1">
        <f t="shared" si="5"/>
        <v>672</v>
      </c>
      <c r="K24" s="2">
        <f t="shared" si="2"/>
        <v>4410</v>
      </c>
      <c r="L24" s="37">
        <f>IFERROR(_xlfn.XLOOKUP($C24,'[2]Key point'!$A:$A,'[2]Key point'!C:C,0),0)</f>
        <v>675.41</v>
      </c>
      <c r="M24" s="37">
        <f>IFERROR(_xlfn.XLOOKUP($C24,'[2]Key point'!$A:$A,'[2]Key point'!D:D,0),0)</f>
        <v>675.404</v>
      </c>
      <c r="N24" s="37">
        <f>IFERROR(_xlfn.XLOOKUP($C24,'[2]Key point'!$A:$A,'[2]Key point'!E:E,0),0)</f>
        <v>672.24599999999998</v>
      </c>
      <c r="O24" s="37">
        <f>IFERROR(_xlfn.XLOOKUP($C24,'[2]Key point'!$A:$A,'[2]Key point'!F:F,0),0)</f>
        <v>668.95899999999995</v>
      </c>
      <c r="P24" s="37">
        <f>IFERROR(_xlfn.XLOOKUP($C24,'[2]Key point'!$A:$A,'[2]Key point'!G:G,0),0)</f>
        <v>675.36199999999997</v>
      </c>
      <c r="Q24" s="37">
        <f>IFERROR(_xlfn.XLOOKUP($C24,[3]Sheet1!$A:$A,[3]Sheet1!B:B,0)/1000,0)</f>
        <v>675.32500000000005</v>
      </c>
      <c r="R24" s="37">
        <f>IFERROR(_xlfn.XLOOKUP($C24,[3]Sheet1!$A:$A,[3]Sheet1!C:C,0)/1000,0)</f>
        <v>673.40300000000002</v>
      </c>
      <c r="S24" s="29">
        <f t="shared" si="4"/>
        <v>4716.1090000000004</v>
      </c>
    </row>
    <row r="25" spans="1:19" x14ac:dyDescent="0.35">
      <c r="A25" s="17">
        <f t="shared" si="3"/>
        <v>1260</v>
      </c>
      <c r="B25" s="17">
        <v>180</v>
      </c>
      <c r="C25" s="1" t="s">
        <v>4</v>
      </c>
      <c r="D25" s="1">
        <f>_xlfn.XLOOKUP(C25,'[1]Weekly SIP'!$A:$A,'[1]Weekly SIP'!$K:$K,0)</f>
        <v>180</v>
      </c>
      <c r="E25" s="1">
        <v>180</v>
      </c>
      <c r="F25" s="1">
        <v>180</v>
      </c>
      <c r="G25" s="1">
        <v>180</v>
      </c>
      <c r="H25" s="1">
        <v>180</v>
      </c>
      <c r="I25" s="1">
        <v>180</v>
      </c>
      <c r="J25" s="1">
        <v>180</v>
      </c>
      <c r="K25" s="2">
        <f t="shared" si="2"/>
        <v>1260</v>
      </c>
      <c r="L25" s="37">
        <f>IFERROR(_xlfn.XLOOKUP($C25,'[2]Key point'!$A:$A,'[2]Key point'!C:C,0),0)</f>
        <v>189.52699999999999</v>
      </c>
      <c r="M25" s="37">
        <f>IFERROR(_xlfn.XLOOKUP($C25,'[2]Key point'!$A:$A,'[2]Key point'!D:D,0),0)</f>
        <v>205.68700000000001</v>
      </c>
      <c r="N25" s="37">
        <f>IFERROR(_xlfn.XLOOKUP($C25,'[2]Key point'!$A:$A,'[2]Key point'!E:E,0),0)</f>
        <v>176.298</v>
      </c>
      <c r="O25" s="37">
        <f>IFERROR(_xlfn.XLOOKUP($C25,'[2]Key point'!$A:$A,'[2]Key point'!F:F,0),0)</f>
        <v>163.17599999999999</v>
      </c>
      <c r="P25" s="37">
        <f>IFERROR(_xlfn.XLOOKUP($C25,'[2]Key point'!$A:$A,'[2]Key point'!G:G,0),0)</f>
        <v>180.102</v>
      </c>
      <c r="Q25" s="37">
        <f>IFERROR(_xlfn.XLOOKUP($C25,[3]Sheet1!$A:$A,[3]Sheet1!B:B,0)/1000,0)</f>
        <v>146.39500000000001</v>
      </c>
      <c r="R25" s="37">
        <f>IFERROR(_xlfn.XLOOKUP($C25,[3]Sheet1!$A:$A,[3]Sheet1!C:C,0)/1000,0)</f>
        <v>194.24299999999999</v>
      </c>
      <c r="S25" s="29">
        <f t="shared" si="4"/>
        <v>1255.4279999999999</v>
      </c>
    </row>
    <row r="26" spans="1:19" x14ac:dyDescent="0.35">
      <c r="A26" s="17">
        <f t="shared" si="3"/>
        <v>2660</v>
      </c>
      <c r="B26" s="17">
        <v>380</v>
      </c>
      <c r="C26" s="1" t="s">
        <v>3</v>
      </c>
      <c r="D26" s="1">
        <f>_xlfn.XLOOKUP(C26,'[1]Weekly SIP'!$A:$A,'[1]Weekly SIP'!$K:$K,0)</f>
        <v>380</v>
      </c>
      <c r="E26" s="1">
        <v>380</v>
      </c>
      <c r="F26" s="1">
        <v>380</v>
      </c>
      <c r="G26" s="1">
        <v>380</v>
      </c>
      <c r="H26" s="1">
        <v>380</v>
      </c>
      <c r="I26" s="1">
        <v>380</v>
      </c>
      <c r="J26" s="1">
        <v>380</v>
      </c>
      <c r="K26" s="2">
        <f t="shared" si="2"/>
        <v>2660</v>
      </c>
      <c r="L26" s="37">
        <f>IFERROR(_xlfn.XLOOKUP($C26,'[2]Key point'!$A:$A,'[2]Key point'!C:C,0),0)</f>
        <v>412.279</v>
      </c>
      <c r="M26" s="37">
        <f>IFERROR(_xlfn.XLOOKUP($C26,'[2]Key point'!$A:$A,'[2]Key point'!D:D,0),0)</f>
        <v>399.22199999999998</v>
      </c>
      <c r="N26" s="37">
        <f>IFERROR(_xlfn.XLOOKUP($C26,'[2]Key point'!$A:$A,'[2]Key point'!E:E,0),0)</f>
        <v>332.86799999999999</v>
      </c>
      <c r="O26" s="37">
        <f>IFERROR(_xlfn.XLOOKUP($C26,'[2]Key point'!$A:$A,'[2]Key point'!F:F,0),0)</f>
        <v>365.435</v>
      </c>
      <c r="P26" s="37">
        <f>IFERROR(_xlfn.XLOOKUP($C26,'[2]Key point'!$A:$A,'[2]Key point'!G:G,0),0)</f>
        <v>384.20699999999999</v>
      </c>
      <c r="Q26" s="37">
        <f>IFERROR(_xlfn.XLOOKUP($C26,[3]Sheet1!$A:$A,[3]Sheet1!B:B,0)/1000,0)</f>
        <v>394.84</v>
      </c>
      <c r="R26" s="37">
        <f>IFERROR(_xlfn.XLOOKUP($C26,[3]Sheet1!$A:$A,[3]Sheet1!C:C,0)/1000,0)</f>
        <v>400.66</v>
      </c>
      <c r="S26" s="29">
        <f t="shared" si="4"/>
        <v>2689.511</v>
      </c>
    </row>
    <row r="27" spans="1:19" hidden="1" x14ac:dyDescent="0.35">
      <c r="A27" s="17">
        <f t="shared" si="3"/>
        <v>0</v>
      </c>
      <c r="B27" s="17">
        <v>0</v>
      </c>
      <c r="C27" s="1" t="s">
        <v>113</v>
      </c>
      <c r="D27" s="1">
        <f>_xlfn.XLOOKUP(C27,'[1]Weekly SIP'!$A:$A,'[1]Weekly SIP'!$K:$K,0)</f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">
        <f t="shared" si="2"/>
        <v>0</v>
      </c>
      <c r="L27" s="37">
        <f>IFERROR(_xlfn.XLOOKUP($C27,'[2]Key point'!$A:$A,'[2]Key point'!C:C,0),0)</f>
        <v>33</v>
      </c>
      <c r="M27" s="37">
        <f>IFERROR(_xlfn.XLOOKUP($C27,'[2]Key point'!$A:$A,'[2]Key point'!D:D,0),0)</f>
        <v>31.838000000000001</v>
      </c>
      <c r="N27" s="37">
        <f>IFERROR(_xlfn.XLOOKUP($C27,'[2]Key point'!$A:$A,'[2]Key point'!E:E,0),0)</f>
        <v>33</v>
      </c>
      <c r="O27" s="37">
        <f>IFERROR(_xlfn.XLOOKUP($C27,'[2]Key point'!$A:$A,'[2]Key point'!F:F,0),0)</f>
        <v>33</v>
      </c>
      <c r="P27" s="37">
        <f>IFERROR(_xlfn.XLOOKUP($C27,'[2]Key point'!$A:$A,'[2]Key point'!G:G,0),0)</f>
        <v>33.527000000000001</v>
      </c>
      <c r="Q27" s="37">
        <f>IFERROR(_xlfn.XLOOKUP($C27,[3]Sheet1!$A:$A,[3]Sheet1!B:B,0)/1000,0)</f>
        <v>33.563000000000002</v>
      </c>
      <c r="R27" s="37">
        <f>IFERROR(_xlfn.XLOOKUP($C27,[3]Sheet1!$A:$A,[3]Sheet1!C:C,0)/1000,0)</f>
        <v>31.925000000000001</v>
      </c>
      <c r="S27" s="29"/>
    </row>
    <row r="28" spans="1:19" x14ac:dyDescent="0.35">
      <c r="A28" s="17">
        <f t="shared" si="3"/>
        <v>2254</v>
      </c>
      <c r="B28" s="17">
        <v>322</v>
      </c>
      <c r="C28" s="1" t="s">
        <v>2</v>
      </c>
      <c r="D28" s="1">
        <f>_xlfn.XLOOKUP(C28,'[1]Weekly SIP'!$A:$A,'[1]Weekly SIP'!$K:$K,0)</f>
        <v>322</v>
      </c>
      <c r="E28" s="1">
        <v>322</v>
      </c>
      <c r="F28" s="1">
        <v>322</v>
      </c>
      <c r="G28" s="1">
        <v>322</v>
      </c>
      <c r="H28" s="1">
        <v>322</v>
      </c>
      <c r="I28" s="1">
        <v>322</v>
      </c>
      <c r="J28" s="1">
        <v>322</v>
      </c>
      <c r="K28" s="2">
        <f t="shared" si="2"/>
        <v>2254</v>
      </c>
      <c r="L28" s="37">
        <f>IFERROR(_xlfn.XLOOKUP($C28,'[2]Key point'!$A:$A,'[2]Key point'!C:C,0),0)</f>
        <v>257.06799999999998</v>
      </c>
      <c r="M28" s="37">
        <f>IFERROR(_xlfn.XLOOKUP($C28,'[2]Key point'!$A:$A,'[2]Key point'!D:D,0),0)</f>
        <v>280.62</v>
      </c>
      <c r="N28" s="37">
        <f>IFERROR(_xlfn.XLOOKUP($C28,'[2]Key point'!$A:$A,'[2]Key point'!E:E,0),0)</f>
        <v>257.25099999999998</v>
      </c>
      <c r="O28" s="37">
        <f>IFERROR(_xlfn.XLOOKUP($C28,'[2]Key point'!$A:$A,'[2]Key point'!F:F,0),0)</f>
        <v>280.67099999999999</v>
      </c>
      <c r="P28" s="37">
        <f>IFERROR(_xlfn.XLOOKUP($C28,'[2]Key point'!$A:$A,'[2]Key point'!G:G,0),0)</f>
        <v>257.065</v>
      </c>
      <c r="Q28" s="37">
        <f>IFERROR(_xlfn.XLOOKUP($C28,[3]Sheet1!$A:$A,[3]Sheet1!B:B,0)/1000,0)</f>
        <v>280.73700000000002</v>
      </c>
      <c r="R28" s="37">
        <f>IFERROR(_xlfn.XLOOKUP($C28,[3]Sheet1!$A:$A,[3]Sheet1!C:C,0)/1000,0)</f>
        <v>280.41199999999998</v>
      </c>
      <c r="S28" s="29">
        <f t="shared" si="4"/>
        <v>1893.8240000000001</v>
      </c>
    </row>
    <row r="29" spans="1:19" hidden="1" x14ac:dyDescent="0.35">
      <c r="A29" s="17">
        <f t="shared" si="3"/>
        <v>0</v>
      </c>
      <c r="B29" s="17">
        <v>0</v>
      </c>
      <c r="C29" s="1" t="s">
        <v>114</v>
      </c>
      <c r="D29" s="1">
        <f>_xlfn.XLOOKUP(C29,'[1]Weekly SIP'!$A:$A,'[1]Weekly SIP'!$K:$K,0)</f>
        <v>0</v>
      </c>
      <c r="E29" s="27">
        <v>0</v>
      </c>
      <c r="F29" s="27">
        <v>0</v>
      </c>
      <c r="G29" s="27">
        <v>0</v>
      </c>
      <c r="H29" s="1">
        <v>0</v>
      </c>
      <c r="I29" s="27">
        <v>0</v>
      </c>
      <c r="J29" s="27">
        <v>0</v>
      </c>
      <c r="K29" s="2">
        <f t="shared" si="2"/>
        <v>0</v>
      </c>
      <c r="L29" s="37">
        <f>IFERROR(_xlfn.XLOOKUP($C29,'[2]Key point'!$A:$A,'[2]Key point'!C:C,0),0)</f>
        <v>0</v>
      </c>
      <c r="M29" s="37">
        <f>IFERROR(_xlfn.XLOOKUP($C29,'[2]Key point'!$A:$A,'[2]Key point'!D:D,0),0)</f>
        <v>0</v>
      </c>
      <c r="N29" s="37">
        <f>IFERROR(_xlfn.XLOOKUP($C29,'[2]Key point'!$A:$A,'[2]Key point'!E:E,0),0)</f>
        <v>0</v>
      </c>
      <c r="O29" s="37">
        <f>IFERROR(_xlfn.XLOOKUP($C29,'[2]Key point'!$A:$A,'[2]Key point'!F:F,0),0)</f>
        <v>0</v>
      </c>
      <c r="P29" s="37">
        <f>IFERROR(_xlfn.XLOOKUP($C29,'[2]Key point'!$A:$A,'[2]Key point'!G:G,0),0)</f>
        <v>0</v>
      </c>
      <c r="Q29" s="37">
        <f>IFERROR(_xlfn.XLOOKUP($C29,[3]Sheet1!$A:$A,[3]Sheet1!B:B,0)/1000,0)</f>
        <v>0</v>
      </c>
      <c r="R29" s="37">
        <f>IFERROR(_xlfn.XLOOKUP($C29,[3]Sheet1!$A:$A,[3]Sheet1!C:C,0)/1000,0)</f>
        <v>0</v>
      </c>
      <c r="S29" s="29"/>
    </row>
    <row r="30" spans="1:19" ht="17" customHeight="1" x14ac:dyDescent="0.35">
      <c r="A30" s="17">
        <f t="shared" si="3"/>
        <v>560</v>
      </c>
      <c r="B30" s="17">
        <v>80</v>
      </c>
      <c r="C30" s="1" t="s">
        <v>1</v>
      </c>
      <c r="D30" s="1">
        <f>_xlfn.XLOOKUP(C30,'[1]Weekly SIP'!$A:$A,'[1]Weekly SIP'!$K:$K,0)</f>
        <v>80</v>
      </c>
      <c r="E30" s="1">
        <v>80</v>
      </c>
      <c r="F30" s="1">
        <v>80</v>
      </c>
      <c r="G30" s="1">
        <v>80</v>
      </c>
      <c r="H30" s="1">
        <v>80</v>
      </c>
      <c r="I30" s="1">
        <v>80</v>
      </c>
      <c r="J30" s="1">
        <v>80</v>
      </c>
      <c r="K30" s="2">
        <f t="shared" si="2"/>
        <v>560</v>
      </c>
      <c r="L30" s="37">
        <f>IFERROR(_xlfn.XLOOKUP($C30,'[2]Key point'!$A:$A,'[2]Key point'!C:C,0),0)</f>
        <v>76.262</v>
      </c>
      <c r="M30" s="37">
        <f>IFERROR(_xlfn.XLOOKUP($C30,'[2]Key point'!$A:$A,'[2]Key point'!D:D,0),0)</f>
        <v>75.944000000000003</v>
      </c>
      <c r="N30" s="37">
        <f>IFERROR(_xlfn.XLOOKUP($C30,'[2]Key point'!$A:$A,'[2]Key point'!E:E,0),0)</f>
        <v>84.435000000000002</v>
      </c>
      <c r="O30" s="37">
        <f>IFERROR(_xlfn.XLOOKUP($C30,'[2]Key point'!$A:$A,'[2]Key point'!F:F,0),0)</f>
        <v>84.096999999999994</v>
      </c>
      <c r="P30" s="37">
        <f>IFERROR(_xlfn.XLOOKUP($C30,'[2]Key point'!$A:$A,'[2]Key point'!G:G,0),0)</f>
        <v>82.55</v>
      </c>
      <c r="Q30" s="37">
        <f>IFERROR(_xlfn.XLOOKUP($C30,[3]Sheet1!$A:$A,[3]Sheet1!B:B,0)/1000,0)</f>
        <v>84.465999999999994</v>
      </c>
      <c r="R30" s="37">
        <f>IFERROR(_xlfn.XLOOKUP($C30,[3]Sheet1!$A:$A,[3]Sheet1!C:C,0)/1000,0)</f>
        <v>76.147999999999996</v>
      </c>
      <c r="S30" s="29">
        <f t="shared" si="4"/>
        <v>563.90200000000004</v>
      </c>
    </row>
    <row r="31" spans="1:19" x14ac:dyDescent="0.35">
      <c r="A31" s="2" t="s">
        <v>20</v>
      </c>
      <c r="B31" s="17">
        <f>SUM(B2:B12)</f>
        <v>2482</v>
      </c>
      <c r="C31" s="17">
        <f>SUM(C2:C9)</f>
        <v>0</v>
      </c>
      <c r="D31" s="17">
        <f>SUM(D2:D12)</f>
        <v>2467</v>
      </c>
      <c r="E31" s="17">
        <f t="shared" ref="E31:J31" si="6">SUM(E2:E11)</f>
        <v>2467</v>
      </c>
      <c r="F31" s="17">
        <f t="shared" si="6"/>
        <v>2467</v>
      </c>
      <c r="G31" s="17">
        <f>SUM(G2:G12)</f>
        <v>2467</v>
      </c>
      <c r="H31" s="17">
        <f t="shared" si="6"/>
        <v>2467</v>
      </c>
      <c r="I31" s="17">
        <f t="shared" si="6"/>
        <v>2467</v>
      </c>
      <c r="J31" s="17">
        <f t="shared" si="6"/>
        <v>2467</v>
      </c>
      <c r="K31" s="17">
        <f>SUM(K2:K10)</f>
        <v>17269</v>
      </c>
      <c r="L31" s="17">
        <f>SUM(L2:L12)</f>
        <v>2472.6110000000003</v>
      </c>
      <c r="M31" s="17">
        <f t="shared" ref="M31:R31" si="7">SUM(M2:M12)</f>
        <v>2438.2080000000001</v>
      </c>
      <c r="N31" s="17">
        <f t="shared" si="7"/>
        <v>2451.8719999999998</v>
      </c>
      <c r="O31" s="17">
        <f t="shared" si="7"/>
        <v>2502.1060000000002</v>
      </c>
      <c r="P31" s="17">
        <f t="shared" si="7"/>
        <v>2656.2350000000001</v>
      </c>
      <c r="Q31" s="17">
        <f t="shared" si="7"/>
        <v>2483.9959999999996</v>
      </c>
      <c r="R31" s="17">
        <f t="shared" si="7"/>
        <v>2155.8780000000002</v>
      </c>
      <c r="S31" s="29">
        <f t="shared" si="4"/>
        <v>17160.905999999999</v>
      </c>
    </row>
    <row r="32" spans="1:19" x14ac:dyDescent="0.35">
      <c r="A32" s="2" t="s">
        <v>19</v>
      </c>
      <c r="B32" s="17">
        <f t="shared" ref="B32:R32" si="8">SUM(B13:B30)</f>
        <v>3572</v>
      </c>
      <c r="C32" s="17">
        <f t="shared" si="8"/>
        <v>0</v>
      </c>
      <c r="D32" s="17">
        <f t="shared" si="8"/>
        <v>3572</v>
      </c>
      <c r="E32" s="17">
        <f t="shared" ref="E32:J32" si="9">SUM(E13:E30)</f>
        <v>3572</v>
      </c>
      <c r="F32" s="17">
        <f t="shared" si="9"/>
        <v>3572</v>
      </c>
      <c r="G32" s="17">
        <f t="shared" si="9"/>
        <v>3572</v>
      </c>
      <c r="H32" s="17">
        <f t="shared" si="9"/>
        <v>3572</v>
      </c>
      <c r="I32" s="17">
        <f t="shared" si="9"/>
        <v>3572</v>
      </c>
      <c r="J32" s="17">
        <f t="shared" si="9"/>
        <v>3572</v>
      </c>
      <c r="K32" s="17">
        <f t="shared" si="8"/>
        <v>25004</v>
      </c>
      <c r="L32" s="17">
        <f t="shared" si="8"/>
        <v>3572.1060000000002</v>
      </c>
      <c r="M32" s="17">
        <f t="shared" si="8"/>
        <v>3590.2020000000002</v>
      </c>
      <c r="N32" s="17">
        <f t="shared" si="8"/>
        <v>3597.6769999999992</v>
      </c>
      <c r="O32" s="17">
        <f t="shared" si="8"/>
        <v>3522.9349999999999</v>
      </c>
      <c r="P32" s="17">
        <f t="shared" si="8"/>
        <v>3618.2499999999995</v>
      </c>
      <c r="Q32" s="17">
        <f t="shared" si="8"/>
        <v>3558.152</v>
      </c>
      <c r="R32" s="17">
        <f t="shared" si="8"/>
        <v>3653.3179999999998</v>
      </c>
      <c r="S32" s="29">
        <f t="shared" si="4"/>
        <v>25112.639999999999</v>
      </c>
    </row>
    <row r="33" spans="1:19" x14ac:dyDescent="0.35">
      <c r="A33" s="2" t="s">
        <v>61</v>
      </c>
      <c r="B33" s="17">
        <f t="shared" ref="B33:R33" si="10">SUM(B19:B24)</f>
        <v>1400</v>
      </c>
      <c r="C33" s="17">
        <f t="shared" si="10"/>
        <v>0</v>
      </c>
      <c r="D33" s="17">
        <f t="shared" si="10"/>
        <v>1400</v>
      </c>
      <c r="E33" s="17">
        <f t="shared" si="10"/>
        <v>1400</v>
      </c>
      <c r="F33" s="17">
        <f t="shared" si="10"/>
        <v>1400</v>
      </c>
      <c r="G33" s="17">
        <f t="shared" si="10"/>
        <v>1400</v>
      </c>
      <c r="H33" s="17">
        <f t="shared" si="10"/>
        <v>1400</v>
      </c>
      <c r="I33" s="17">
        <f t="shared" si="10"/>
        <v>1400</v>
      </c>
      <c r="J33" s="17">
        <f t="shared" si="10"/>
        <v>1400</v>
      </c>
      <c r="K33" s="17">
        <f t="shared" si="10"/>
        <v>9800</v>
      </c>
      <c r="L33" s="17">
        <f t="shared" si="10"/>
        <v>1387.6489999999999</v>
      </c>
      <c r="M33" s="17">
        <f t="shared" si="10"/>
        <v>1406.643</v>
      </c>
      <c r="N33" s="17">
        <f t="shared" si="10"/>
        <v>1382.9470000000001</v>
      </c>
      <c r="O33" s="17">
        <f t="shared" si="10"/>
        <v>1423.0450000000001</v>
      </c>
      <c r="P33" s="17">
        <f t="shared" si="10"/>
        <v>1419.6839999999997</v>
      </c>
      <c r="Q33" s="17">
        <f t="shared" si="10"/>
        <v>1381.3920000000001</v>
      </c>
      <c r="R33" s="17">
        <f t="shared" si="10"/>
        <v>1392.961</v>
      </c>
      <c r="S33" s="29">
        <f t="shared" si="4"/>
        <v>9794.3209999999981</v>
      </c>
    </row>
    <row r="34" spans="1:19" x14ac:dyDescent="0.35">
      <c r="A34" s="2" t="s">
        <v>21</v>
      </c>
      <c r="B34" s="17">
        <f>SUM(B31:B32)</f>
        <v>6054</v>
      </c>
      <c r="C34" s="17">
        <f>SUM(C32:C32)</f>
        <v>0</v>
      </c>
      <c r="D34" s="17">
        <f>SUM(D31:D32)</f>
        <v>6039</v>
      </c>
      <c r="E34" s="17">
        <f t="shared" ref="E34:J34" si="11">SUM(E31:E32)</f>
        <v>6039</v>
      </c>
      <c r="F34" s="17">
        <f t="shared" si="11"/>
        <v>6039</v>
      </c>
      <c r="G34" s="17">
        <f t="shared" si="11"/>
        <v>6039</v>
      </c>
      <c r="H34" s="17">
        <f t="shared" si="11"/>
        <v>6039</v>
      </c>
      <c r="I34" s="17">
        <f t="shared" si="11"/>
        <v>6039</v>
      </c>
      <c r="J34" s="17">
        <f t="shared" si="11"/>
        <v>6039</v>
      </c>
      <c r="K34" s="17">
        <f t="shared" ref="K34:R34" si="12">SUM(K31:K32)</f>
        <v>42273</v>
      </c>
      <c r="L34" s="17">
        <f t="shared" si="12"/>
        <v>6044.7170000000006</v>
      </c>
      <c r="M34" s="17">
        <f t="shared" si="12"/>
        <v>6028.41</v>
      </c>
      <c r="N34" s="17">
        <f t="shared" si="12"/>
        <v>6049.5489999999991</v>
      </c>
      <c r="O34" s="17">
        <f t="shared" si="12"/>
        <v>6025.0410000000002</v>
      </c>
      <c r="P34" s="17">
        <f>SUM(P31:P32)+82</f>
        <v>6356.4849999999997</v>
      </c>
      <c r="Q34" s="17">
        <f t="shared" si="12"/>
        <v>6042.1479999999992</v>
      </c>
      <c r="R34" s="17">
        <f t="shared" si="12"/>
        <v>5809.1959999999999</v>
      </c>
      <c r="S34" s="29">
        <f t="shared" si="4"/>
        <v>42355.546000000002</v>
      </c>
    </row>
    <row r="35" spans="1:19" x14ac:dyDescent="0.35">
      <c r="C35" s="2"/>
      <c r="D35" s="2"/>
      <c r="E35" s="2"/>
      <c r="F35" s="2"/>
      <c r="G35" s="2"/>
      <c r="H35" s="2"/>
      <c r="I35" s="2"/>
      <c r="J35" s="2"/>
      <c r="K35" s="2" t="s">
        <v>106</v>
      </c>
      <c r="L35" s="30">
        <f>L31-D31</f>
        <v>5.6110000000003311</v>
      </c>
      <c r="M35" s="30">
        <f t="shared" ref="M35:R35" si="13">M31-E31</f>
        <v>-28.791999999999916</v>
      </c>
      <c r="N35" s="30">
        <f t="shared" si="13"/>
        <v>-15.128000000000156</v>
      </c>
      <c r="O35" s="30">
        <f t="shared" si="13"/>
        <v>35.106000000000222</v>
      </c>
      <c r="P35" s="30">
        <f t="shared" si="13"/>
        <v>189.23500000000013</v>
      </c>
      <c r="Q35" s="30">
        <f t="shared" si="13"/>
        <v>16.99599999999964</v>
      </c>
      <c r="R35" s="30">
        <f t="shared" si="13"/>
        <v>-311.12199999999984</v>
      </c>
      <c r="S35" s="29">
        <f>AVERAGE(L35:R35)</f>
        <v>-15.441999999999942</v>
      </c>
    </row>
    <row r="36" spans="1:19" x14ac:dyDescent="0.35">
      <c r="B36" s="17"/>
      <c r="C36" s="17"/>
      <c r="D36" s="17"/>
      <c r="E36" s="17"/>
      <c r="F36" s="17"/>
      <c r="G36" s="17"/>
      <c r="H36" s="17"/>
      <c r="I36" s="17"/>
      <c r="J36" s="17"/>
      <c r="K36" s="2" t="s">
        <v>105</v>
      </c>
      <c r="L36" s="17">
        <f>L32-D32</f>
        <v>0.10600000000022192</v>
      </c>
      <c r="M36" s="17">
        <f t="shared" ref="M36:R36" si="14">M32-E32</f>
        <v>18.202000000000226</v>
      </c>
      <c r="N36" s="17">
        <f t="shared" si="14"/>
        <v>25.676999999999225</v>
      </c>
      <c r="O36" s="17">
        <f t="shared" si="14"/>
        <v>-49.065000000000055</v>
      </c>
      <c r="P36" s="17">
        <f t="shared" si="14"/>
        <v>46.249999999999545</v>
      </c>
      <c r="Q36" s="17">
        <f t="shared" si="14"/>
        <v>-13.847999999999956</v>
      </c>
      <c r="R36" s="17">
        <f t="shared" si="14"/>
        <v>81.317999999999756</v>
      </c>
      <c r="S36" s="29">
        <f t="shared" ref="S36" si="15">AVERAGE(L36:R36)</f>
        <v>15.519999999999852</v>
      </c>
    </row>
    <row r="37" spans="1:19" x14ac:dyDescent="0.35">
      <c r="A37" s="2" t="s">
        <v>63</v>
      </c>
      <c r="B37" s="2">
        <f>19*90</f>
        <v>1710</v>
      </c>
      <c r="C37" s="1" t="s">
        <v>23</v>
      </c>
      <c r="D37" s="1">
        <v>880</v>
      </c>
      <c r="E37" s="1">
        <v>660</v>
      </c>
      <c r="F37" s="1">
        <v>660</v>
      </c>
      <c r="G37" s="1">
        <v>660</v>
      </c>
      <c r="H37" s="1">
        <v>660</v>
      </c>
      <c r="I37" s="1">
        <v>660</v>
      </c>
      <c r="J37" s="1">
        <v>660</v>
      </c>
      <c r="L37" s="27"/>
      <c r="M37" s="27"/>
      <c r="N37" s="27"/>
      <c r="O37" s="27"/>
      <c r="P37" s="27"/>
      <c r="Q37" s="27"/>
      <c r="R37" s="27"/>
    </row>
    <row r="38" spans="1:19" x14ac:dyDescent="0.35">
      <c r="A38" s="2" t="s">
        <v>22</v>
      </c>
      <c r="B38" s="2">
        <f>B32-B37</f>
        <v>1862</v>
      </c>
      <c r="D38" s="27">
        <f>SUM(D37,D26,180,180)-40</f>
        <v>1580</v>
      </c>
      <c r="E38" s="27">
        <f t="shared" ref="E38:J38" si="16">SUM(E37,E26,180,180)-40</f>
        <v>1360</v>
      </c>
      <c r="F38" s="27">
        <f t="shared" si="16"/>
        <v>1360</v>
      </c>
      <c r="G38" s="27">
        <f t="shared" si="16"/>
        <v>1360</v>
      </c>
      <c r="H38" s="27">
        <f t="shared" si="16"/>
        <v>1360</v>
      </c>
      <c r="I38" s="27">
        <f t="shared" si="16"/>
        <v>1360</v>
      </c>
      <c r="J38" s="27">
        <f t="shared" si="16"/>
        <v>1360</v>
      </c>
    </row>
    <row r="39" spans="1:19" x14ac:dyDescent="0.35">
      <c r="A39" s="2" t="s">
        <v>62</v>
      </c>
      <c r="B39" s="2">
        <f>3*210+2*200+100+2*210+100</f>
        <v>1650</v>
      </c>
      <c r="C39" s="1" t="s">
        <v>67</v>
      </c>
      <c r="D39" s="26">
        <f>(D32-D38)/90</f>
        <v>22.133333333333333</v>
      </c>
      <c r="E39" s="26">
        <f t="shared" ref="E39:J39" si="17">(E32-E38)/90</f>
        <v>24.577777777777779</v>
      </c>
      <c r="F39" s="26">
        <f t="shared" si="17"/>
        <v>24.577777777777779</v>
      </c>
      <c r="G39" s="26">
        <f t="shared" si="17"/>
        <v>24.577777777777779</v>
      </c>
      <c r="H39" s="26">
        <f t="shared" si="17"/>
        <v>24.577777777777779</v>
      </c>
      <c r="I39" s="26">
        <f t="shared" si="17"/>
        <v>24.577777777777779</v>
      </c>
      <c r="J39" s="26">
        <f t="shared" si="17"/>
        <v>24.577777777777779</v>
      </c>
    </row>
    <row r="40" spans="1:19" x14ac:dyDescent="0.35">
      <c r="A40" s="2" t="s">
        <v>64</v>
      </c>
      <c r="B40" s="2">
        <f>B32-B39</f>
        <v>1922</v>
      </c>
      <c r="C40" s="1" t="s">
        <v>15</v>
      </c>
      <c r="D40" s="26">
        <f>SUM(D6:D10)/240</f>
        <v>6.875</v>
      </c>
      <c r="E40" s="26">
        <f t="shared" ref="E40:J40" si="18">SUM(E6:E10)/240</f>
        <v>6.875</v>
      </c>
      <c r="F40" s="26">
        <f t="shared" si="18"/>
        <v>6.875</v>
      </c>
      <c r="G40" s="26">
        <f t="shared" si="18"/>
        <v>6.875</v>
      </c>
      <c r="H40" s="26">
        <f t="shared" si="18"/>
        <v>6.875</v>
      </c>
      <c r="I40" s="26">
        <f t="shared" si="18"/>
        <v>6.875</v>
      </c>
      <c r="J40" s="26">
        <f t="shared" si="18"/>
        <v>6.875</v>
      </c>
    </row>
    <row r="41" spans="1:19" x14ac:dyDescent="0.35">
      <c r="B41" s="2">
        <f>(B32-B39)/19</f>
        <v>101.15789473684211</v>
      </c>
      <c r="C41" s="1" t="s">
        <v>17</v>
      </c>
      <c r="D41" s="1">
        <f t="shared" ref="D41:J41" si="19">SUM(D2:D3)/250</f>
        <v>3</v>
      </c>
      <c r="E41" s="1">
        <f t="shared" si="19"/>
        <v>3</v>
      </c>
      <c r="F41" s="1">
        <f t="shared" si="19"/>
        <v>3</v>
      </c>
      <c r="G41" s="1">
        <f t="shared" si="19"/>
        <v>3</v>
      </c>
      <c r="H41" s="1">
        <f t="shared" si="19"/>
        <v>3</v>
      </c>
      <c r="I41" s="1">
        <f t="shared" si="19"/>
        <v>3</v>
      </c>
      <c r="J41" s="1">
        <f t="shared" si="19"/>
        <v>3</v>
      </c>
    </row>
    <row r="42" spans="1:19" x14ac:dyDescent="0.35">
      <c r="C42" s="1" t="s">
        <v>13</v>
      </c>
      <c r="D42" s="1">
        <f t="shared" ref="D42:J42" si="20">D37/210</f>
        <v>4.1904761904761907</v>
      </c>
      <c r="E42" s="1">
        <f t="shared" si="20"/>
        <v>3.1428571428571428</v>
      </c>
      <c r="F42" s="1">
        <f t="shared" si="20"/>
        <v>3.1428571428571428</v>
      </c>
      <c r="G42" s="1">
        <f t="shared" si="20"/>
        <v>3.1428571428571428</v>
      </c>
      <c r="H42" s="1">
        <f t="shared" si="20"/>
        <v>3.1428571428571428</v>
      </c>
      <c r="I42" s="1">
        <f t="shared" si="20"/>
        <v>3.1428571428571428</v>
      </c>
      <c r="J42" s="1">
        <f t="shared" si="20"/>
        <v>3.1428571428571428</v>
      </c>
    </row>
    <row r="43" spans="1:19" x14ac:dyDescent="0.35">
      <c r="C43" s="1" t="s">
        <v>25</v>
      </c>
      <c r="D43" s="26">
        <f t="shared" ref="D43:J43" si="21">D26/210</f>
        <v>1.8095238095238095</v>
      </c>
      <c r="E43" s="26">
        <f t="shared" si="21"/>
        <v>1.8095238095238095</v>
      </c>
      <c r="F43" s="26">
        <f t="shared" si="21"/>
        <v>1.8095238095238095</v>
      </c>
      <c r="G43" s="26">
        <f t="shared" si="21"/>
        <v>1.8095238095238095</v>
      </c>
      <c r="H43" s="26">
        <f t="shared" si="21"/>
        <v>1.8095238095238095</v>
      </c>
      <c r="I43" s="26">
        <f t="shared" si="21"/>
        <v>1.8095238095238095</v>
      </c>
      <c r="J43" s="26">
        <f t="shared" si="21"/>
        <v>1.8095238095238095</v>
      </c>
    </row>
    <row r="44" spans="1:19" x14ac:dyDescent="0.35">
      <c r="C44" s="1" t="s">
        <v>24</v>
      </c>
      <c r="D44" s="1">
        <f>6+4+4+2+2+1</f>
        <v>19</v>
      </c>
      <c r="E44" s="1">
        <f t="shared" ref="E44:J44" si="22">6+4+4+2+2+1</f>
        <v>19</v>
      </c>
      <c r="F44" s="1">
        <f t="shared" si="22"/>
        <v>19</v>
      </c>
      <c r="G44" s="1">
        <f t="shared" si="22"/>
        <v>19</v>
      </c>
      <c r="H44" s="1">
        <f t="shared" si="22"/>
        <v>19</v>
      </c>
      <c r="I44" s="1">
        <f t="shared" si="22"/>
        <v>19</v>
      </c>
      <c r="J44" s="1">
        <f t="shared" si="22"/>
        <v>19</v>
      </c>
    </row>
    <row r="46" spans="1:19" x14ac:dyDescent="0.35">
      <c r="B46" s="2" t="s">
        <v>15</v>
      </c>
      <c r="D46" s="14">
        <v>1568</v>
      </c>
      <c r="E46" s="14">
        <v>1576</v>
      </c>
      <c r="F46" s="14">
        <v>1776</v>
      </c>
      <c r="G46" s="14">
        <v>1826</v>
      </c>
      <c r="H46" s="14">
        <v>1776</v>
      </c>
      <c r="I46" s="14">
        <v>1776</v>
      </c>
      <c r="J46" s="14">
        <v>1826</v>
      </c>
    </row>
    <row r="47" spans="1:19" x14ac:dyDescent="0.35">
      <c r="B47" s="2" t="s">
        <v>17</v>
      </c>
      <c r="D47" s="14">
        <v>750</v>
      </c>
      <c r="E47" s="14">
        <v>750</v>
      </c>
      <c r="F47" s="14">
        <v>350</v>
      </c>
      <c r="G47" s="14">
        <v>500</v>
      </c>
      <c r="H47" s="14">
        <v>500</v>
      </c>
      <c r="I47" s="14">
        <v>500</v>
      </c>
      <c r="J47" s="14">
        <v>500</v>
      </c>
    </row>
    <row r="48" spans="1:19" x14ac:dyDescent="0.35">
      <c r="B48" s="2" t="s">
        <v>9</v>
      </c>
      <c r="C48" s="1">
        <f t="shared" ref="C48:C49" si="23">F48*24</f>
        <v>528</v>
      </c>
      <c r="F48" s="1">
        <v>22</v>
      </c>
    </row>
    <row r="49" spans="2:19" x14ac:dyDescent="0.35">
      <c r="B49" s="2" t="s">
        <v>65</v>
      </c>
      <c r="C49" s="1">
        <f t="shared" si="23"/>
        <v>1272</v>
      </c>
      <c r="F49" s="1">
        <v>53</v>
      </c>
      <c r="L49" s="1">
        <v>904509</v>
      </c>
      <c r="M49" s="1">
        <v>801860</v>
      </c>
      <c r="N49" s="1">
        <v>820990</v>
      </c>
      <c r="O49" s="1">
        <v>799413</v>
      </c>
      <c r="P49" s="1">
        <v>261676</v>
      </c>
      <c r="Q49" s="1">
        <v>262694</v>
      </c>
      <c r="R49" s="1">
        <v>265765</v>
      </c>
      <c r="S49" s="1">
        <v>265413</v>
      </c>
    </row>
    <row r="50" spans="2:19" x14ac:dyDescent="0.35">
      <c r="B50" s="2" t="s">
        <v>90</v>
      </c>
      <c r="C50" s="1">
        <f>F50*24</f>
        <v>288</v>
      </c>
      <c r="F50" s="1">
        <v>12</v>
      </c>
    </row>
    <row r="51" spans="2:19" x14ac:dyDescent="0.35">
      <c r="F51" s="1">
        <f>SUM(F48:F50)</f>
        <v>87</v>
      </c>
    </row>
    <row r="52" spans="2:19" x14ac:dyDescent="0.35">
      <c r="D52" s="27">
        <f>(D32-D19-D20-D24)/90</f>
        <v>30.355555555555554</v>
      </c>
    </row>
    <row r="57" spans="2:19" x14ac:dyDescent="0.35">
      <c r="D57" s="40"/>
      <c r="E57" s="42">
        <v>5.3999999999999999E-2</v>
      </c>
      <c r="F57" s="42">
        <v>4.1000000000000002E-2</v>
      </c>
      <c r="G57" s="42">
        <v>1.18E-2</v>
      </c>
    </row>
    <row r="58" spans="2:19" ht="16" thickBot="1" x14ac:dyDescent="0.4">
      <c r="D58" s="41">
        <v>8.8999999999999996E-2</v>
      </c>
      <c r="E58" s="43"/>
      <c r="F58" s="43"/>
      <c r="G58" s="43"/>
    </row>
  </sheetData>
  <autoFilter ref="A1:S44" xr:uid="{ACC172C0-999F-45F9-81B5-D17B84188E62}">
    <filterColumn colId="1">
      <filters blank="1">
        <filter val="1,400"/>
        <filter val="1,450"/>
        <filter val="10"/>
        <filter val="100"/>
        <filter val="101.1578947"/>
        <filter val="120"/>
        <filter val="15"/>
        <filter val="1650"/>
        <filter val="168"/>
        <filter val="1710"/>
        <filter val="180"/>
        <filter val="1862"/>
        <filter val="1922"/>
        <filter val="2,482"/>
        <filter val="200"/>
        <filter val="220"/>
        <filter val="250"/>
        <filter val="3,572"/>
        <filter val="322"/>
        <filter val="380"/>
        <filter val="42"/>
        <filter val="500"/>
        <filter val="6,054"/>
        <filter val="60"/>
        <filter val="630"/>
        <filter val="67"/>
        <filter val="80"/>
        <filter val="930"/>
      </filters>
    </filterColumn>
  </autoFilter>
  <mergeCells count="3">
    <mergeCell ref="E57:E58"/>
    <mergeCell ref="F57:F58"/>
    <mergeCell ref="G57:G5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04DB-6FE0-4075-8A7D-FAE305BDC520}">
  <dimension ref="A1:IL31"/>
  <sheetViews>
    <sheetView workbookViewId="0">
      <selection activeCell="HQ8" sqref="HQ8"/>
    </sheetView>
  </sheetViews>
  <sheetFormatPr defaultRowHeight="15.5" x14ac:dyDescent="0.35"/>
  <cols>
    <col min="1" max="1" width="24.25" customWidth="1"/>
    <col min="2" max="2" width="11.58203125" hidden="1" customWidth="1"/>
    <col min="3" max="5" width="9.75" hidden="1" customWidth="1"/>
    <col min="6" max="19" width="10.33203125" hidden="1" customWidth="1"/>
    <col min="20" max="25" width="9.33203125" hidden="1" customWidth="1"/>
    <col min="26" max="30" width="0" hidden="1" customWidth="1"/>
    <col min="31" max="31" width="8.25" hidden="1" customWidth="1"/>
    <col min="32" max="32" width="8.25" style="24" customWidth="1"/>
    <col min="33" max="65" width="0" hidden="1" customWidth="1"/>
    <col min="66" max="67" width="8.9140625" hidden="1" customWidth="1"/>
    <col min="68" max="69" width="0" hidden="1" customWidth="1"/>
    <col min="70" max="70" width="9.08203125" hidden="1" customWidth="1"/>
    <col min="71" max="114" width="0" hidden="1" customWidth="1"/>
    <col min="115" max="115" width="11.25" hidden="1" customWidth="1"/>
    <col min="116" max="116" width="9.9140625" hidden="1" customWidth="1"/>
    <col min="117" max="150" width="0" hidden="1" customWidth="1"/>
    <col min="151" max="151" width="26.25" hidden="1" customWidth="1"/>
    <col min="152" max="165" width="0" hidden="1" customWidth="1"/>
    <col min="166" max="168" width="8.5" hidden="1" customWidth="1"/>
    <col min="169" max="184" width="0" hidden="1" customWidth="1"/>
    <col min="185" max="185" width="8.5" hidden="1" customWidth="1"/>
    <col min="186" max="220" width="0" hidden="1" customWidth="1"/>
  </cols>
  <sheetData>
    <row r="1" spans="1:246" x14ac:dyDescent="0.35">
      <c r="A1" s="3" t="s">
        <v>26</v>
      </c>
      <c r="B1" s="4" t="s">
        <v>13</v>
      </c>
      <c r="C1" s="4">
        <v>45975</v>
      </c>
      <c r="D1" s="5">
        <v>45976</v>
      </c>
      <c r="E1" s="4">
        <v>45977</v>
      </c>
      <c r="F1" s="4">
        <v>45978</v>
      </c>
      <c r="G1" s="4">
        <v>45979</v>
      </c>
      <c r="H1" s="4">
        <v>45980</v>
      </c>
      <c r="I1" s="4">
        <v>45981</v>
      </c>
      <c r="J1" s="4">
        <v>45982</v>
      </c>
      <c r="K1" s="5">
        <v>45983</v>
      </c>
      <c r="L1" s="4">
        <v>45984</v>
      </c>
      <c r="M1" s="4">
        <v>45985</v>
      </c>
      <c r="N1" s="4">
        <v>45986</v>
      </c>
      <c r="O1" s="4">
        <v>45987</v>
      </c>
      <c r="P1" s="4">
        <v>45988</v>
      </c>
      <c r="Q1" s="4">
        <v>45989</v>
      </c>
      <c r="R1" s="5">
        <v>45990</v>
      </c>
      <c r="S1" s="5">
        <v>45991</v>
      </c>
      <c r="T1" s="4">
        <v>45992</v>
      </c>
      <c r="U1" s="4">
        <v>45993</v>
      </c>
      <c r="V1" s="4">
        <v>45994</v>
      </c>
      <c r="W1" s="4">
        <v>45995</v>
      </c>
      <c r="X1" s="4">
        <v>45996</v>
      </c>
      <c r="Y1" s="5">
        <v>45997</v>
      </c>
      <c r="Z1" s="5">
        <v>45998</v>
      </c>
      <c r="AA1" s="4">
        <v>45999</v>
      </c>
      <c r="AB1" s="4">
        <v>46000</v>
      </c>
      <c r="AC1" s="4">
        <v>46001</v>
      </c>
      <c r="AD1" s="4">
        <v>46002</v>
      </c>
      <c r="AE1" s="4">
        <v>46003</v>
      </c>
      <c r="AF1" s="24" t="s">
        <v>69</v>
      </c>
      <c r="AG1" s="5">
        <v>46018</v>
      </c>
      <c r="AH1" s="5">
        <v>46019</v>
      </c>
      <c r="AI1" s="4">
        <v>46020</v>
      </c>
      <c r="AJ1" s="4">
        <v>46021</v>
      </c>
      <c r="AK1" s="4">
        <v>46022</v>
      </c>
      <c r="AL1" s="4">
        <v>46023</v>
      </c>
      <c r="AM1" s="4">
        <v>46024</v>
      </c>
      <c r="AN1" s="5">
        <v>46025</v>
      </c>
      <c r="AO1" s="5">
        <v>46026</v>
      </c>
      <c r="AP1" s="4">
        <v>46027</v>
      </c>
      <c r="AQ1" s="4">
        <v>46028</v>
      </c>
      <c r="AR1" s="4">
        <v>46029</v>
      </c>
      <c r="AS1" s="4">
        <v>46030</v>
      </c>
      <c r="AT1" s="4">
        <v>46031</v>
      </c>
      <c r="AU1" s="5">
        <v>46032</v>
      </c>
      <c r="AV1" s="5">
        <v>46033</v>
      </c>
      <c r="AW1" s="4">
        <v>46034</v>
      </c>
      <c r="AX1" s="4">
        <v>46035</v>
      </c>
      <c r="AY1" s="4">
        <v>46036</v>
      </c>
      <c r="AZ1" s="4">
        <v>46037</v>
      </c>
      <c r="BA1" s="4">
        <v>46038</v>
      </c>
      <c r="BB1" s="5">
        <v>46039</v>
      </c>
      <c r="BC1" s="5">
        <v>46040</v>
      </c>
      <c r="BD1" s="4">
        <v>46041</v>
      </c>
      <c r="BE1" s="4">
        <v>46042</v>
      </c>
      <c r="BF1" s="4">
        <v>46043</v>
      </c>
      <c r="BG1" s="4">
        <v>46044</v>
      </c>
      <c r="BH1" s="4">
        <v>46045</v>
      </c>
      <c r="BI1" s="5">
        <v>46046</v>
      </c>
      <c r="BJ1" s="5">
        <v>46047</v>
      </c>
      <c r="BK1" s="4">
        <v>46048</v>
      </c>
      <c r="BL1" s="4">
        <v>46049</v>
      </c>
      <c r="BM1" s="4">
        <v>46050</v>
      </c>
      <c r="BN1" s="4">
        <v>46051</v>
      </c>
      <c r="BO1" s="4">
        <v>46052</v>
      </c>
      <c r="BP1" s="5">
        <v>46053</v>
      </c>
      <c r="BQ1" s="5">
        <v>46054</v>
      </c>
      <c r="BR1" s="4">
        <v>46055</v>
      </c>
      <c r="BS1" s="4">
        <v>46056</v>
      </c>
      <c r="BT1" s="4">
        <v>46057</v>
      </c>
      <c r="BU1" s="4">
        <v>46058</v>
      </c>
      <c r="BV1" s="4">
        <v>46059</v>
      </c>
      <c r="BW1" s="5">
        <v>46060</v>
      </c>
      <c r="BX1" s="5">
        <v>46061</v>
      </c>
      <c r="BY1" s="4">
        <v>46062</v>
      </c>
      <c r="BZ1" s="4">
        <v>46063</v>
      </c>
      <c r="CA1" s="4">
        <v>46064</v>
      </c>
      <c r="CB1" s="4">
        <v>46065</v>
      </c>
      <c r="CC1" s="4">
        <v>46066</v>
      </c>
      <c r="CD1" s="5">
        <v>46067</v>
      </c>
      <c r="CE1" s="5">
        <v>46068</v>
      </c>
      <c r="CF1" s="4">
        <v>46069</v>
      </c>
      <c r="CG1" s="4">
        <v>46070</v>
      </c>
      <c r="CH1" s="4">
        <v>46071</v>
      </c>
      <c r="CI1" s="4">
        <v>46072</v>
      </c>
      <c r="CJ1" s="4">
        <v>46073</v>
      </c>
      <c r="CK1" s="5">
        <v>46074</v>
      </c>
      <c r="CL1" s="5">
        <v>46075</v>
      </c>
      <c r="CM1" s="4">
        <v>46076</v>
      </c>
      <c r="CN1" s="4">
        <v>46077</v>
      </c>
      <c r="CO1" s="4">
        <v>46078</v>
      </c>
      <c r="CP1" s="4">
        <v>46079</v>
      </c>
      <c r="CQ1" s="4">
        <v>46080</v>
      </c>
      <c r="CR1" s="5">
        <v>46081</v>
      </c>
      <c r="CS1" s="5">
        <v>46082</v>
      </c>
      <c r="CT1" s="4">
        <v>46083</v>
      </c>
      <c r="CU1" s="4">
        <v>46084</v>
      </c>
      <c r="CV1" s="4">
        <v>46085</v>
      </c>
      <c r="CW1" s="4">
        <v>46086</v>
      </c>
      <c r="CX1" s="4">
        <v>46087</v>
      </c>
      <c r="CY1" s="5">
        <v>46088</v>
      </c>
      <c r="CZ1" s="5">
        <v>46089</v>
      </c>
      <c r="DA1" s="4">
        <v>46090</v>
      </c>
      <c r="DB1" s="4">
        <v>46091</v>
      </c>
      <c r="DC1" s="4">
        <v>46092</v>
      </c>
      <c r="DD1" s="4">
        <v>46093</v>
      </c>
      <c r="DE1" s="4">
        <v>46094</v>
      </c>
      <c r="DF1" s="5">
        <v>46095</v>
      </c>
      <c r="DG1" s="5">
        <v>46096</v>
      </c>
      <c r="DH1" s="4">
        <v>46097</v>
      </c>
      <c r="DI1" s="4">
        <v>46098</v>
      </c>
      <c r="DJ1" s="4">
        <v>46099</v>
      </c>
      <c r="DK1" s="4">
        <v>46100</v>
      </c>
      <c r="DL1" s="4">
        <v>46101</v>
      </c>
      <c r="DM1" s="5">
        <v>46102</v>
      </c>
      <c r="DN1" s="5">
        <v>46103</v>
      </c>
      <c r="DO1" s="4">
        <v>46104</v>
      </c>
      <c r="DP1" s="4">
        <v>46105</v>
      </c>
      <c r="DQ1" s="4">
        <v>46106</v>
      </c>
      <c r="DR1" s="4">
        <v>46107</v>
      </c>
      <c r="DS1" s="4">
        <v>46108</v>
      </c>
      <c r="DT1" s="5">
        <v>46109</v>
      </c>
      <c r="DU1" s="5">
        <v>46110</v>
      </c>
      <c r="DV1" s="4">
        <v>46111</v>
      </c>
      <c r="DW1" s="4">
        <v>46112</v>
      </c>
      <c r="DX1" s="4">
        <v>46113</v>
      </c>
      <c r="DY1" s="4">
        <v>46114</v>
      </c>
      <c r="DZ1" s="4">
        <v>46115</v>
      </c>
      <c r="EA1" s="5">
        <v>46116</v>
      </c>
      <c r="EB1" s="5">
        <v>46117</v>
      </c>
      <c r="EC1" s="4">
        <v>46118</v>
      </c>
      <c r="ED1" s="4">
        <v>46119</v>
      </c>
      <c r="EE1" s="4">
        <v>46120</v>
      </c>
      <c r="EF1" s="4">
        <v>46121</v>
      </c>
      <c r="EG1" s="4">
        <v>46122</v>
      </c>
      <c r="EH1" s="5">
        <v>46123</v>
      </c>
      <c r="EI1" s="5">
        <v>46124</v>
      </c>
      <c r="EJ1" s="4">
        <v>46125</v>
      </c>
      <c r="EK1" s="4">
        <v>46126</v>
      </c>
      <c r="EL1" s="4">
        <v>46127</v>
      </c>
      <c r="EM1" s="4">
        <v>46128</v>
      </c>
      <c r="EN1" s="4">
        <v>46129</v>
      </c>
      <c r="EO1" s="5">
        <v>46130</v>
      </c>
      <c r="EP1" s="5">
        <v>46131</v>
      </c>
      <c r="EQ1" s="4">
        <v>46132</v>
      </c>
      <c r="ER1" s="4">
        <v>46133</v>
      </c>
      <c r="ES1" s="4">
        <v>46134</v>
      </c>
      <c r="ET1" s="4">
        <v>46135</v>
      </c>
      <c r="EU1" s="4">
        <v>46136</v>
      </c>
      <c r="EV1" s="5">
        <v>46137</v>
      </c>
      <c r="EW1" s="5">
        <v>46138</v>
      </c>
      <c r="EX1" s="4">
        <v>46139</v>
      </c>
      <c r="EY1" s="4">
        <v>46140</v>
      </c>
      <c r="EZ1" s="4">
        <v>46141</v>
      </c>
      <c r="FA1" s="4">
        <v>46142</v>
      </c>
      <c r="FB1" s="4">
        <v>46143</v>
      </c>
      <c r="FC1" s="5">
        <v>46144</v>
      </c>
      <c r="FD1" s="5">
        <v>46145</v>
      </c>
      <c r="FE1" s="4">
        <v>46146</v>
      </c>
      <c r="FF1" s="4">
        <v>46147</v>
      </c>
      <c r="FG1" s="4">
        <v>46148</v>
      </c>
      <c r="FH1" s="4">
        <v>46149</v>
      </c>
      <c r="FI1" s="4">
        <v>46150</v>
      </c>
      <c r="FJ1" s="5">
        <v>46151</v>
      </c>
      <c r="FK1" s="5">
        <v>46152</v>
      </c>
      <c r="FL1" s="4">
        <v>46153</v>
      </c>
      <c r="FM1" s="4">
        <v>46154</v>
      </c>
      <c r="FN1" s="4">
        <v>46155</v>
      </c>
      <c r="FO1" s="4">
        <v>46156</v>
      </c>
      <c r="FP1" s="4">
        <v>46157</v>
      </c>
      <c r="FQ1" s="5">
        <v>46203</v>
      </c>
      <c r="FR1" s="4">
        <v>46204</v>
      </c>
      <c r="FS1" s="4">
        <v>46205</v>
      </c>
      <c r="FT1" s="4">
        <v>46206</v>
      </c>
      <c r="FU1" s="4">
        <v>46207</v>
      </c>
      <c r="FV1" s="4">
        <v>46208</v>
      </c>
      <c r="FW1" s="5">
        <v>46209</v>
      </c>
      <c r="FX1" s="5">
        <v>46210</v>
      </c>
      <c r="FY1" s="4">
        <v>46211</v>
      </c>
      <c r="FZ1" s="4">
        <v>46212</v>
      </c>
      <c r="GA1" s="4">
        <v>46213</v>
      </c>
      <c r="GB1" s="4">
        <v>46214</v>
      </c>
      <c r="GC1" s="4">
        <v>46215</v>
      </c>
      <c r="GD1" s="5">
        <v>46200</v>
      </c>
      <c r="GE1" s="5">
        <v>46201</v>
      </c>
      <c r="GF1" s="4">
        <v>46202</v>
      </c>
      <c r="GG1" s="4">
        <v>46203</v>
      </c>
      <c r="GH1" s="4">
        <v>46204</v>
      </c>
      <c r="GI1" s="4">
        <v>46205</v>
      </c>
      <c r="GJ1" s="4">
        <v>46206</v>
      </c>
      <c r="GK1" s="5">
        <v>46207</v>
      </c>
      <c r="GL1" s="5">
        <v>46208</v>
      </c>
      <c r="GM1" s="4">
        <v>46209</v>
      </c>
      <c r="GN1" s="4">
        <v>46210</v>
      </c>
      <c r="GO1" s="4">
        <v>46211</v>
      </c>
      <c r="GP1" s="4">
        <v>46212</v>
      </c>
      <c r="GQ1" s="4">
        <v>46213</v>
      </c>
      <c r="GR1" s="5">
        <v>46214</v>
      </c>
      <c r="GS1" s="5">
        <v>46215</v>
      </c>
      <c r="GT1" s="4">
        <v>46216</v>
      </c>
      <c r="GU1" s="4">
        <v>46217</v>
      </c>
      <c r="GV1" s="4">
        <v>46218</v>
      </c>
      <c r="GW1" s="4">
        <v>46219</v>
      </c>
      <c r="GX1" s="4">
        <v>46220</v>
      </c>
      <c r="GY1" s="5">
        <v>46221</v>
      </c>
      <c r="GZ1" s="5">
        <v>46222</v>
      </c>
      <c r="HA1" s="4">
        <v>46223</v>
      </c>
      <c r="HB1" s="4">
        <v>46224</v>
      </c>
      <c r="HC1" s="4">
        <v>46225</v>
      </c>
      <c r="HD1" s="4">
        <v>46226</v>
      </c>
      <c r="HE1" s="4">
        <v>46227</v>
      </c>
      <c r="HF1" s="5">
        <v>46228</v>
      </c>
      <c r="HG1" s="5">
        <v>46229</v>
      </c>
      <c r="HH1" s="4">
        <v>46230</v>
      </c>
      <c r="HI1" s="4">
        <v>46231</v>
      </c>
      <c r="HJ1" s="4">
        <v>46232</v>
      </c>
      <c r="HK1" s="4">
        <v>46233</v>
      </c>
      <c r="HL1" s="4">
        <v>46234</v>
      </c>
      <c r="HM1" s="5">
        <v>46235</v>
      </c>
      <c r="HN1" s="5">
        <v>46236</v>
      </c>
      <c r="HO1" s="4">
        <v>46237</v>
      </c>
      <c r="HP1" s="4">
        <v>46238</v>
      </c>
      <c r="HQ1" s="4">
        <v>46239</v>
      </c>
      <c r="HR1" s="4">
        <v>46240</v>
      </c>
      <c r="HS1" s="4">
        <v>46241</v>
      </c>
      <c r="HT1" s="5">
        <v>46242</v>
      </c>
      <c r="HU1" s="5">
        <v>46243</v>
      </c>
      <c r="HV1" s="4">
        <v>46244</v>
      </c>
      <c r="HW1" s="4">
        <v>46245</v>
      </c>
      <c r="HX1" s="4">
        <v>46246</v>
      </c>
      <c r="HY1" s="4">
        <v>46247</v>
      </c>
      <c r="HZ1" s="4">
        <v>46248</v>
      </c>
      <c r="IA1" s="5">
        <v>46249</v>
      </c>
      <c r="IB1" s="5">
        <v>46250</v>
      </c>
      <c r="IC1" s="4">
        <v>46251</v>
      </c>
      <c r="ID1" s="4">
        <v>46252</v>
      </c>
      <c r="IE1" s="4">
        <v>46253</v>
      </c>
      <c r="IF1" s="4">
        <v>46254</v>
      </c>
      <c r="IG1" s="4">
        <v>46255</v>
      </c>
      <c r="IH1" s="5">
        <v>46256</v>
      </c>
      <c r="II1" s="5">
        <v>46257</v>
      </c>
      <c r="IJ1" s="4">
        <v>46258</v>
      </c>
      <c r="IK1" s="4">
        <v>46259</v>
      </c>
    </row>
    <row r="2" spans="1:246" s="1" customFormat="1" x14ac:dyDescent="0.35">
      <c r="A2" s="1" t="s">
        <v>28</v>
      </c>
      <c r="F2" s="1">
        <v>2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1</v>
      </c>
      <c r="AF2" s="24"/>
      <c r="AP2" s="1">
        <v>2</v>
      </c>
      <c r="AR2" s="1">
        <v>1</v>
      </c>
      <c r="AS2" s="1">
        <v>2</v>
      </c>
      <c r="AT2" s="1">
        <v>2</v>
      </c>
      <c r="AU2" s="1">
        <v>2</v>
      </c>
      <c r="AV2" s="1">
        <v>2</v>
      </c>
      <c r="AW2" s="1">
        <v>2</v>
      </c>
      <c r="AX2" s="1">
        <v>2</v>
      </c>
      <c r="AY2" s="1">
        <v>2</v>
      </c>
      <c r="AZ2" s="1">
        <v>2</v>
      </c>
      <c r="BA2" s="1">
        <v>2</v>
      </c>
      <c r="BP2" s="1">
        <v>2</v>
      </c>
      <c r="BQ2" s="1">
        <v>2</v>
      </c>
      <c r="BR2" s="1">
        <v>2</v>
      </c>
      <c r="BS2" s="14">
        <v>2</v>
      </c>
      <c r="BT2" s="14">
        <v>2</v>
      </c>
      <c r="BU2" s="14"/>
      <c r="BV2" s="14"/>
      <c r="BW2" s="14"/>
      <c r="BX2" s="14"/>
      <c r="BY2" s="14">
        <v>1</v>
      </c>
      <c r="BZ2" s="14">
        <v>2</v>
      </c>
      <c r="CA2" s="14">
        <v>2</v>
      </c>
      <c r="CB2" s="14">
        <v>1</v>
      </c>
      <c r="CC2" s="14"/>
      <c r="CD2" s="14"/>
      <c r="CE2" s="14"/>
      <c r="CF2" s="14"/>
      <c r="CX2" s="1">
        <v>2</v>
      </c>
      <c r="CY2" s="1">
        <v>4</v>
      </c>
      <c r="CZ2" s="1">
        <v>2</v>
      </c>
      <c r="DA2" s="1">
        <v>2</v>
      </c>
      <c r="DB2" s="1">
        <v>2</v>
      </c>
      <c r="DC2" s="1">
        <v>2</v>
      </c>
      <c r="DD2" s="1">
        <v>2</v>
      </c>
      <c r="DE2" s="1">
        <v>2</v>
      </c>
      <c r="DF2" s="1">
        <v>2</v>
      </c>
      <c r="DG2" s="1">
        <v>2</v>
      </c>
      <c r="DH2" s="1">
        <v>2</v>
      </c>
      <c r="DI2" s="1">
        <v>2</v>
      </c>
      <c r="DJ2" s="1">
        <v>2</v>
      </c>
      <c r="DK2" s="1">
        <v>2</v>
      </c>
      <c r="DL2" s="1">
        <v>2</v>
      </c>
      <c r="DM2" s="1">
        <v>4</v>
      </c>
      <c r="DN2" s="1">
        <v>4</v>
      </c>
      <c r="DO2" s="1">
        <v>2</v>
      </c>
      <c r="DP2" s="1">
        <v>2</v>
      </c>
      <c r="DQ2" s="1">
        <v>2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D2" s="1">
        <v>10</v>
      </c>
      <c r="EE2" s="1">
        <v>10</v>
      </c>
      <c r="EF2" s="1">
        <v>10</v>
      </c>
      <c r="EG2" s="1">
        <v>10</v>
      </c>
      <c r="EH2" s="1">
        <v>6</v>
      </c>
      <c r="EI2" s="1">
        <v>6</v>
      </c>
      <c r="EJ2" s="1">
        <v>6</v>
      </c>
      <c r="EO2" s="1">
        <v>2</v>
      </c>
      <c r="EP2" s="1">
        <v>2</v>
      </c>
      <c r="EQ2" s="1">
        <v>2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R2" s="1">
        <v>2</v>
      </c>
      <c r="GS2" s="1">
        <v>2</v>
      </c>
      <c r="GT2" s="1">
        <v>2</v>
      </c>
      <c r="GU2" s="1">
        <v>2</v>
      </c>
      <c r="GV2" s="1">
        <v>2</v>
      </c>
      <c r="GW2" s="1">
        <v>2</v>
      </c>
      <c r="GX2" s="1">
        <v>2</v>
      </c>
      <c r="GY2" s="1">
        <v>2</v>
      </c>
      <c r="GZ2" s="1">
        <v>2</v>
      </c>
      <c r="HA2" s="1">
        <v>2</v>
      </c>
      <c r="HB2" s="1">
        <v>2</v>
      </c>
      <c r="HC2" s="1">
        <v>2</v>
      </c>
      <c r="HD2" s="1">
        <v>2</v>
      </c>
      <c r="HE2" s="1">
        <v>2</v>
      </c>
      <c r="HF2" s="1">
        <v>2</v>
      </c>
      <c r="HG2" s="1">
        <v>2</v>
      </c>
      <c r="HH2" s="1">
        <v>2</v>
      </c>
      <c r="HI2" s="1">
        <v>2</v>
      </c>
      <c r="HJ2" s="1">
        <v>2</v>
      </c>
      <c r="HK2" s="1">
        <v>2</v>
      </c>
      <c r="HL2" s="1">
        <v>2</v>
      </c>
      <c r="HM2" s="1">
        <v>2</v>
      </c>
      <c r="HN2" s="1">
        <v>2</v>
      </c>
      <c r="HO2" s="1">
        <v>2</v>
      </c>
      <c r="HP2" s="1">
        <v>2</v>
      </c>
      <c r="HQ2" s="1">
        <v>2</v>
      </c>
      <c r="HR2" s="1">
        <v>2</v>
      </c>
      <c r="HS2" s="1">
        <v>2</v>
      </c>
      <c r="HT2" s="1">
        <v>4</v>
      </c>
      <c r="HU2" s="1">
        <v>4</v>
      </c>
      <c r="HV2" s="1">
        <v>4</v>
      </c>
      <c r="HW2" s="1">
        <v>4</v>
      </c>
      <c r="HX2" s="1">
        <v>4</v>
      </c>
      <c r="HY2" s="1">
        <v>4</v>
      </c>
      <c r="HZ2" s="1">
        <v>4</v>
      </c>
      <c r="IA2" s="1">
        <v>4</v>
      </c>
      <c r="IB2" s="1">
        <v>4</v>
      </c>
      <c r="IC2" s="1">
        <v>4</v>
      </c>
      <c r="ID2" s="1">
        <v>4</v>
      </c>
      <c r="IE2" s="1">
        <v>4</v>
      </c>
      <c r="IF2" s="1">
        <v>4</v>
      </c>
      <c r="IG2" s="1">
        <v>4</v>
      </c>
    </row>
    <row r="3" spans="1:246" s="20" customFormat="1" x14ac:dyDescent="0.35">
      <c r="A3" s="20" t="s">
        <v>41</v>
      </c>
      <c r="K3" s="20" t="s">
        <v>29</v>
      </c>
      <c r="AF3" s="24"/>
      <c r="BS3" s="21">
        <f>BS2*42</f>
        <v>84</v>
      </c>
      <c r="BT3" s="21">
        <f t="shared" ref="BT3:CE3" si="0">BT2*42</f>
        <v>84</v>
      </c>
      <c r="BU3" s="21">
        <f t="shared" si="0"/>
        <v>0</v>
      </c>
      <c r="BV3" s="21">
        <f t="shared" si="0"/>
        <v>0</v>
      </c>
      <c r="BW3" s="21">
        <f t="shared" si="0"/>
        <v>0</v>
      </c>
      <c r="BX3" s="21">
        <f t="shared" si="0"/>
        <v>0</v>
      </c>
      <c r="BY3" s="21">
        <f t="shared" si="0"/>
        <v>42</v>
      </c>
      <c r="BZ3" s="21">
        <f t="shared" si="0"/>
        <v>84</v>
      </c>
      <c r="CA3" s="21">
        <f t="shared" si="0"/>
        <v>84</v>
      </c>
      <c r="CB3" s="21">
        <f t="shared" si="0"/>
        <v>42</v>
      </c>
      <c r="CC3" s="21">
        <f t="shared" si="0"/>
        <v>0</v>
      </c>
      <c r="CD3" s="21">
        <f t="shared" si="0"/>
        <v>0</v>
      </c>
      <c r="CE3" s="21">
        <f t="shared" si="0"/>
        <v>0</v>
      </c>
      <c r="CF3" s="21"/>
      <c r="CU3" s="20">
        <f>CU2*42</f>
        <v>0</v>
      </c>
      <c r="CV3" s="20">
        <f>CV2*42</f>
        <v>0</v>
      </c>
      <c r="CW3" s="20">
        <f>CW2*42</f>
        <v>0</v>
      </c>
      <c r="CX3" s="20">
        <f t="shared" ref="CX3:DS3" si="1">CX2*42</f>
        <v>84</v>
      </c>
      <c r="CY3" s="20">
        <f t="shared" si="1"/>
        <v>168</v>
      </c>
      <c r="CZ3" s="20">
        <f t="shared" si="1"/>
        <v>84</v>
      </c>
      <c r="DA3" s="20">
        <f t="shared" si="1"/>
        <v>84</v>
      </c>
      <c r="DB3" s="20">
        <f t="shared" si="1"/>
        <v>84</v>
      </c>
      <c r="DC3" s="20">
        <f t="shared" si="1"/>
        <v>84</v>
      </c>
      <c r="DD3" s="20">
        <f t="shared" si="1"/>
        <v>84</v>
      </c>
      <c r="DE3" s="20">
        <f t="shared" si="1"/>
        <v>84</v>
      </c>
      <c r="DF3" s="20">
        <f t="shared" si="1"/>
        <v>84</v>
      </c>
      <c r="DG3" s="20">
        <f t="shared" si="1"/>
        <v>84</v>
      </c>
      <c r="DH3" s="20">
        <f t="shared" si="1"/>
        <v>84</v>
      </c>
      <c r="DI3" s="20">
        <f t="shared" si="1"/>
        <v>84</v>
      </c>
      <c r="DJ3" s="20">
        <f t="shared" si="1"/>
        <v>84</v>
      </c>
      <c r="DK3" s="20">
        <f t="shared" si="1"/>
        <v>84</v>
      </c>
      <c r="DL3" s="20">
        <f t="shared" si="1"/>
        <v>84</v>
      </c>
      <c r="DM3" s="20">
        <f t="shared" si="1"/>
        <v>168</v>
      </c>
      <c r="DN3" s="20">
        <f t="shared" si="1"/>
        <v>168</v>
      </c>
      <c r="DO3" s="20">
        <f t="shared" si="1"/>
        <v>84</v>
      </c>
      <c r="DP3" s="20">
        <f t="shared" si="1"/>
        <v>84</v>
      </c>
      <c r="DQ3" s="20">
        <f t="shared" si="1"/>
        <v>84</v>
      </c>
      <c r="DR3" s="20">
        <f t="shared" si="1"/>
        <v>168</v>
      </c>
      <c r="DS3" s="20">
        <f t="shared" si="1"/>
        <v>168</v>
      </c>
      <c r="DY3" s="20">
        <f t="shared" ref="DY3:EC3" si="2">DY2*42</f>
        <v>168</v>
      </c>
      <c r="DZ3" s="20">
        <f t="shared" si="2"/>
        <v>168</v>
      </c>
      <c r="EA3" s="20">
        <f t="shared" si="2"/>
        <v>0</v>
      </c>
      <c r="EB3" s="20">
        <f t="shared" si="2"/>
        <v>0</v>
      </c>
      <c r="EC3" s="20">
        <f t="shared" si="2"/>
        <v>0</v>
      </c>
      <c r="ED3" s="20">
        <f>ED2*42</f>
        <v>420</v>
      </c>
      <c r="EE3" s="20">
        <f t="shared" ref="EE3:EG3" si="3">EE2*42</f>
        <v>420</v>
      </c>
      <c r="EF3" s="20">
        <f t="shared" si="3"/>
        <v>420</v>
      </c>
      <c r="EG3" s="20">
        <f t="shared" si="3"/>
        <v>420</v>
      </c>
      <c r="EH3" s="21">
        <f t="shared" ref="EH3" si="4">EH2*42</f>
        <v>252</v>
      </c>
      <c r="EI3" s="21">
        <f t="shared" ref="EI3" si="5">EI2*42</f>
        <v>252</v>
      </c>
      <c r="EJ3" s="21">
        <f t="shared" ref="EJ3" si="6">EJ2*42</f>
        <v>252</v>
      </c>
      <c r="EK3" s="21">
        <f t="shared" ref="EK3" si="7">EK2*42</f>
        <v>0</v>
      </c>
      <c r="EL3" s="21">
        <f t="shared" ref="EL3" si="8">EL2*42</f>
        <v>0</v>
      </c>
      <c r="EM3" s="21">
        <f t="shared" ref="EM3" si="9">EM2*42</f>
        <v>0</v>
      </c>
      <c r="EN3" s="21">
        <f t="shared" ref="EN3:EU3" si="10">EN2*42</f>
        <v>0</v>
      </c>
      <c r="EO3" s="21">
        <f t="shared" si="10"/>
        <v>84</v>
      </c>
      <c r="EP3" s="21">
        <f t="shared" si="10"/>
        <v>84</v>
      </c>
      <c r="EQ3" s="21">
        <f t="shared" si="10"/>
        <v>84</v>
      </c>
      <c r="ER3" s="21">
        <f t="shared" si="10"/>
        <v>0</v>
      </c>
      <c r="ES3" s="21">
        <f t="shared" si="10"/>
        <v>0</v>
      </c>
      <c r="ET3" s="21">
        <f t="shared" si="10"/>
        <v>0</v>
      </c>
      <c r="EU3" s="21">
        <f t="shared" si="10"/>
        <v>0</v>
      </c>
      <c r="FJ3" s="21">
        <f t="shared" ref="FJ3:GX3" si="11">FJ2*42</f>
        <v>168</v>
      </c>
      <c r="FK3" s="21">
        <f t="shared" si="11"/>
        <v>168</v>
      </c>
      <c r="FL3" s="21">
        <f t="shared" si="11"/>
        <v>168</v>
      </c>
      <c r="FM3" s="21">
        <f t="shared" si="11"/>
        <v>168</v>
      </c>
      <c r="FN3" s="21">
        <f t="shared" si="11"/>
        <v>168</v>
      </c>
      <c r="FO3" s="21">
        <f t="shared" si="11"/>
        <v>168</v>
      </c>
      <c r="FP3" s="21">
        <f t="shared" si="11"/>
        <v>168</v>
      </c>
      <c r="FQ3" s="21">
        <f t="shared" si="11"/>
        <v>168</v>
      </c>
      <c r="FR3" s="21">
        <f t="shared" si="11"/>
        <v>168</v>
      </c>
      <c r="FS3" s="21">
        <f t="shared" si="11"/>
        <v>168</v>
      </c>
      <c r="FT3" s="21">
        <f t="shared" si="11"/>
        <v>168</v>
      </c>
      <c r="FU3" s="21">
        <f t="shared" si="11"/>
        <v>168</v>
      </c>
      <c r="FV3" s="21">
        <f t="shared" si="11"/>
        <v>168</v>
      </c>
      <c r="FW3" s="21">
        <f t="shared" si="11"/>
        <v>168</v>
      </c>
      <c r="FX3" s="21">
        <f t="shared" si="11"/>
        <v>168</v>
      </c>
      <c r="FY3" s="21">
        <f t="shared" si="11"/>
        <v>168</v>
      </c>
      <c r="FZ3" s="21">
        <f t="shared" si="11"/>
        <v>168</v>
      </c>
      <c r="GA3" s="21">
        <f t="shared" si="11"/>
        <v>168</v>
      </c>
      <c r="GB3" s="21">
        <f t="shared" si="11"/>
        <v>168</v>
      </c>
      <c r="GC3" s="21">
        <f t="shared" si="11"/>
        <v>168</v>
      </c>
      <c r="GD3" s="21">
        <f t="shared" si="11"/>
        <v>0</v>
      </c>
      <c r="GE3" s="21">
        <f t="shared" si="11"/>
        <v>0</v>
      </c>
      <c r="GF3" s="21">
        <f t="shared" si="11"/>
        <v>0</v>
      </c>
      <c r="GG3" s="21">
        <f t="shared" si="11"/>
        <v>0</v>
      </c>
      <c r="GH3" s="21">
        <f t="shared" si="11"/>
        <v>0</v>
      </c>
      <c r="GI3" s="21">
        <f t="shared" si="11"/>
        <v>0</v>
      </c>
      <c r="GJ3" s="21">
        <f t="shared" si="11"/>
        <v>0</v>
      </c>
      <c r="GK3" s="21">
        <f t="shared" si="11"/>
        <v>0</v>
      </c>
      <c r="GL3" s="21">
        <f t="shared" si="11"/>
        <v>0</v>
      </c>
      <c r="GM3" s="21">
        <f t="shared" si="11"/>
        <v>0</v>
      </c>
      <c r="GN3" s="21">
        <f t="shared" si="11"/>
        <v>0</v>
      </c>
      <c r="GO3" s="21">
        <f t="shared" si="11"/>
        <v>0</v>
      </c>
      <c r="GP3" s="21">
        <f t="shared" si="11"/>
        <v>0</v>
      </c>
      <c r="GQ3" s="21">
        <f t="shared" si="11"/>
        <v>0</v>
      </c>
      <c r="GR3" s="21">
        <f t="shared" si="11"/>
        <v>84</v>
      </c>
      <c r="GS3" s="21">
        <f t="shared" si="11"/>
        <v>84</v>
      </c>
      <c r="GT3" s="21">
        <f t="shared" si="11"/>
        <v>84</v>
      </c>
      <c r="GU3" s="21">
        <f t="shared" si="11"/>
        <v>84</v>
      </c>
      <c r="GV3" s="21">
        <f t="shared" si="11"/>
        <v>84</v>
      </c>
      <c r="GW3" s="21">
        <f t="shared" si="11"/>
        <v>84</v>
      </c>
      <c r="GX3" s="21">
        <f t="shared" si="11"/>
        <v>84</v>
      </c>
      <c r="GY3" s="21">
        <f t="shared" ref="GY3:HG3" si="12">GY2*42</f>
        <v>84</v>
      </c>
      <c r="GZ3" s="21">
        <f t="shared" si="12"/>
        <v>84</v>
      </c>
      <c r="HA3" s="21">
        <f t="shared" si="12"/>
        <v>84</v>
      </c>
      <c r="HB3" s="21">
        <f t="shared" si="12"/>
        <v>84</v>
      </c>
      <c r="HC3" s="21">
        <f t="shared" si="12"/>
        <v>84</v>
      </c>
      <c r="HD3" s="21">
        <f t="shared" si="12"/>
        <v>84</v>
      </c>
      <c r="HE3" s="21">
        <f t="shared" si="12"/>
        <v>84</v>
      </c>
      <c r="HF3" s="21">
        <f t="shared" si="12"/>
        <v>84</v>
      </c>
      <c r="HG3" s="21">
        <f t="shared" si="12"/>
        <v>84</v>
      </c>
      <c r="HH3" s="21">
        <f t="shared" ref="HH3:IL3" si="13">HH2*42</f>
        <v>84</v>
      </c>
      <c r="HI3" s="21">
        <f t="shared" si="13"/>
        <v>84</v>
      </c>
      <c r="HJ3" s="21">
        <f t="shared" si="13"/>
        <v>84</v>
      </c>
      <c r="HK3" s="21">
        <f t="shared" si="13"/>
        <v>84</v>
      </c>
      <c r="HL3" s="21">
        <f t="shared" si="13"/>
        <v>84</v>
      </c>
      <c r="HM3" s="21">
        <f t="shared" si="13"/>
        <v>84</v>
      </c>
      <c r="HN3" s="21">
        <f t="shared" si="13"/>
        <v>84</v>
      </c>
      <c r="HO3" s="21">
        <f t="shared" si="13"/>
        <v>84</v>
      </c>
      <c r="HP3" s="21">
        <f t="shared" si="13"/>
        <v>84</v>
      </c>
      <c r="HQ3" s="21">
        <f t="shared" si="13"/>
        <v>84</v>
      </c>
      <c r="HR3" s="21">
        <f t="shared" si="13"/>
        <v>84</v>
      </c>
      <c r="HS3" s="21">
        <f t="shared" si="13"/>
        <v>84</v>
      </c>
      <c r="HT3" s="21">
        <f t="shared" si="13"/>
        <v>168</v>
      </c>
      <c r="HU3" s="21">
        <f t="shared" si="13"/>
        <v>168</v>
      </c>
      <c r="HV3" s="21">
        <f t="shared" si="13"/>
        <v>168</v>
      </c>
      <c r="HW3" s="21">
        <f t="shared" si="13"/>
        <v>168</v>
      </c>
      <c r="HX3" s="21">
        <f t="shared" si="13"/>
        <v>168</v>
      </c>
      <c r="HY3" s="21">
        <f t="shared" si="13"/>
        <v>168</v>
      </c>
      <c r="HZ3" s="21">
        <f t="shared" si="13"/>
        <v>168</v>
      </c>
      <c r="IA3" s="21">
        <f t="shared" si="13"/>
        <v>168</v>
      </c>
      <c r="IB3" s="21">
        <f t="shared" si="13"/>
        <v>168</v>
      </c>
      <c r="IC3" s="21">
        <f t="shared" si="13"/>
        <v>168</v>
      </c>
      <c r="ID3" s="21">
        <f t="shared" si="13"/>
        <v>168</v>
      </c>
      <c r="IE3" s="21">
        <f t="shared" si="13"/>
        <v>168</v>
      </c>
      <c r="IF3" s="21">
        <f t="shared" si="13"/>
        <v>168</v>
      </c>
      <c r="IG3" s="21">
        <f t="shared" si="13"/>
        <v>168</v>
      </c>
      <c r="IH3" s="21">
        <f t="shared" si="13"/>
        <v>0</v>
      </c>
      <c r="II3" s="21">
        <f t="shared" si="13"/>
        <v>0</v>
      </c>
      <c r="IJ3" s="21">
        <f t="shared" si="13"/>
        <v>0</v>
      </c>
      <c r="IK3" s="21">
        <f t="shared" si="13"/>
        <v>0</v>
      </c>
      <c r="IL3" s="21">
        <f t="shared" si="13"/>
        <v>0</v>
      </c>
    </row>
    <row r="4" spans="1:246" x14ac:dyDescent="0.35">
      <c r="A4" t="s">
        <v>30</v>
      </c>
      <c r="G4">
        <v>6</v>
      </c>
      <c r="H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6</v>
      </c>
      <c r="O4">
        <v>6</v>
      </c>
      <c r="P4">
        <v>6</v>
      </c>
      <c r="Q4">
        <v>6</v>
      </c>
    </row>
    <row r="5" spans="1:246" x14ac:dyDescent="0.35">
      <c r="A5" s="6" t="s">
        <v>28</v>
      </c>
      <c r="G5">
        <f t="shared" ref="G5:Q5" si="14">G2*42</f>
        <v>84</v>
      </c>
      <c r="H5">
        <f t="shared" si="14"/>
        <v>84</v>
      </c>
      <c r="I5">
        <f t="shared" si="14"/>
        <v>84</v>
      </c>
      <c r="J5">
        <f t="shared" si="14"/>
        <v>84</v>
      </c>
      <c r="K5">
        <f t="shared" si="14"/>
        <v>84</v>
      </c>
      <c r="L5">
        <f t="shared" si="14"/>
        <v>84</v>
      </c>
      <c r="M5">
        <f t="shared" si="14"/>
        <v>84</v>
      </c>
      <c r="N5">
        <f t="shared" si="14"/>
        <v>84</v>
      </c>
      <c r="O5">
        <f t="shared" si="14"/>
        <v>84</v>
      </c>
      <c r="P5">
        <f t="shared" si="14"/>
        <v>84</v>
      </c>
      <c r="Q5">
        <f t="shared" si="14"/>
        <v>84</v>
      </c>
      <c r="AS5">
        <f>AS2*42</f>
        <v>84</v>
      </c>
      <c r="AT5">
        <f t="shared" ref="AT5:BA5" si="15">AT2*42</f>
        <v>84</v>
      </c>
      <c r="AU5">
        <f t="shared" si="15"/>
        <v>84</v>
      </c>
      <c r="AV5">
        <f t="shared" si="15"/>
        <v>84</v>
      </c>
      <c r="AW5">
        <f t="shared" si="15"/>
        <v>84</v>
      </c>
      <c r="AX5">
        <f t="shared" si="15"/>
        <v>84</v>
      </c>
      <c r="AY5">
        <f t="shared" si="15"/>
        <v>84</v>
      </c>
      <c r="AZ5">
        <f t="shared" si="15"/>
        <v>84</v>
      </c>
      <c r="BA5">
        <f t="shared" si="15"/>
        <v>84</v>
      </c>
      <c r="BB5">
        <f t="shared" ref="BB5:BL5" si="16">BB2*42</f>
        <v>0</v>
      </c>
      <c r="BC5">
        <f t="shared" si="16"/>
        <v>0</v>
      </c>
      <c r="BD5">
        <f t="shared" si="16"/>
        <v>0</v>
      </c>
      <c r="BE5">
        <f t="shared" si="16"/>
        <v>0</v>
      </c>
      <c r="BF5">
        <f t="shared" si="16"/>
        <v>0</v>
      </c>
      <c r="BG5">
        <f t="shared" si="16"/>
        <v>0</v>
      </c>
      <c r="BH5">
        <f t="shared" si="16"/>
        <v>0</v>
      </c>
      <c r="BI5">
        <f t="shared" si="16"/>
        <v>0</v>
      </c>
      <c r="BJ5">
        <f t="shared" si="16"/>
        <v>0</v>
      </c>
      <c r="BK5">
        <f t="shared" si="16"/>
        <v>0</v>
      </c>
      <c r="BL5">
        <f t="shared" si="16"/>
        <v>0</v>
      </c>
    </row>
    <row r="6" spans="1:246" x14ac:dyDescent="0.35">
      <c r="A6" s="6" t="s">
        <v>30</v>
      </c>
      <c r="G6">
        <f t="shared" ref="G6:Q6" si="17">G4*42</f>
        <v>252</v>
      </c>
      <c r="H6">
        <f t="shared" si="17"/>
        <v>336</v>
      </c>
      <c r="I6">
        <f t="shared" si="17"/>
        <v>336</v>
      </c>
      <c r="J6">
        <f t="shared" si="17"/>
        <v>336</v>
      </c>
      <c r="K6">
        <f t="shared" si="17"/>
        <v>336</v>
      </c>
      <c r="L6">
        <f t="shared" si="17"/>
        <v>336</v>
      </c>
      <c r="M6">
        <f t="shared" si="17"/>
        <v>336</v>
      </c>
      <c r="N6">
        <f t="shared" si="17"/>
        <v>252</v>
      </c>
      <c r="O6">
        <f t="shared" si="17"/>
        <v>252</v>
      </c>
      <c r="P6">
        <f t="shared" si="17"/>
        <v>252</v>
      </c>
      <c r="Q6">
        <f t="shared" si="17"/>
        <v>252</v>
      </c>
    </row>
    <row r="7" spans="1:246" x14ac:dyDescent="0.35">
      <c r="A7" s="6" t="s">
        <v>31</v>
      </c>
      <c r="G7">
        <f t="shared" ref="G7:Q7" si="18">SUM(G5:G6)</f>
        <v>336</v>
      </c>
      <c r="H7">
        <f t="shared" si="18"/>
        <v>420</v>
      </c>
      <c r="I7">
        <f t="shared" si="18"/>
        <v>420</v>
      </c>
      <c r="J7">
        <f t="shared" si="18"/>
        <v>420</v>
      </c>
      <c r="K7">
        <f t="shared" si="18"/>
        <v>420</v>
      </c>
      <c r="L7">
        <f t="shared" si="18"/>
        <v>420</v>
      </c>
      <c r="M7">
        <f t="shared" si="18"/>
        <v>420</v>
      </c>
      <c r="N7">
        <f t="shared" si="18"/>
        <v>336</v>
      </c>
      <c r="O7">
        <f t="shared" si="18"/>
        <v>336</v>
      </c>
      <c r="P7">
        <f t="shared" si="18"/>
        <v>336</v>
      </c>
      <c r="Q7">
        <f t="shared" si="18"/>
        <v>336</v>
      </c>
    </row>
    <row r="10" spans="1:246" x14ac:dyDescent="0.35">
      <c r="A10" t="s">
        <v>111</v>
      </c>
      <c r="ER10">
        <v>1</v>
      </c>
    </row>
    <row r="11" spans="1:246" s="8" customFormat="1" x14ac:dyDescent="0.35">
      <c r="A11" s="7"/>
      <c r="C11" s="8">
        <v>45975</v>
      </c>
      <c r="D11" s="5">
        <v>45976</v>
      </c>
      <c r="E11" s="4">
        <v>45977</v>
      </c>
      <c r="F11" s="4">
        <v>45978</v>
      </c>
      <c r="G11" s="4">
        <v>45979</v>
      </c>
      <c r="H11" s="4">
        <v>45980</v>
      </c>
      <c r="I11" s="4">
        <v>45981</v>
      </c>
      <c r="J11" s="4">
        <v>45982</v>
      </c>
      <c r="K11" s="5">
        <v>45983</v>
      </c>
      <c r="L11" s="4">
        <v>45984</v>
      </c>
      <c r="M11" s="4">
        <v>45985</v>
      </c>
      <c r="N11" s="4">
        <v>45986</v>
      </c>
      <c r="O11" s="4">
        <v>45987</v>
      </c>
      <c r="P11" s="4">
        <v>45988</v>
      </c>
      <c r="Q11" s="4">
        <v>45989</v>
      </c>
      <c r="R11" s="5">
        <v>45990</v>
      </c>
      <c r="S11" s="5">
        <v>45991</v>
      </c>
      <c r="T11" s="4">
        <v>45992</v>
      </c>
      <c r="U11" s="4">
        <v>45993</v>
      </c>
      <c r="V11" s="4">
        <v>45994</v>
      </c>
      <c r="W11" s="4">
        <v>45995</v>
      </c>
      <c r="X11" s="4">
        <v>45996</v>
      </c>
      <c r="Y11" s="5">
        <v>45997</v>
      </c>
      <c r="Z11" s="5">
        <v>45998</v>
      </c>
      <c r="AA11" s="4">
        <v>45999</v>
      </c>
      <c r="AB11" s="4">
        <v>46000</v>
      </c>
      <c r="AC11" s="4">
        <v>46001</v>
      </c>
      <c r="AD11" s="4">
        <v>46002</v>
      </c>
      <c r="AE11" s="4">
        <v>46003</v>
      </c>
      <c r="AF11" s="25"/>
      <c r="AG11" s="5">
        <v>46018</v>
      </c>
      <c r="AH11" s="5">
        <v>46019</v>
      </c>
      <c r="AI11" s="4">
        <v>46020</v>
      </c>
      <c r="AJ11" s="4">
        <v>46021</v>
      </c>
      <c r="AK11" s="4">
        <v>46022</v>
      </c>
      <c r="AL11" s="4">
        <v>46023</v>
      </c>
      <c r="AM11" s="4">
        <v>46024</v>
      </c>
      <c r="AN11" s="5">
        <v>46025</v>
      </c>
      <c r="AO11" s="5">
        <v>46026</v>
      </c>
      <c r="AP11" s="4">
        <v>46027</v>
      </c>
      <c r="AQ11" s="4">
        <v>46028</v>
      </c>
      <c r="AR11" s="4">
        <v>46029</v>
      </c>
      <c r="AS11" s="4">
        <v>46030</v>
      </c>
      <c r="AT11" s="4">
        <v>46031</v>
      </c>
      <c r="AU11" s="5">
        <v>46032</v>
      </c>
      <c r="AV11" s="5">
        <v>46033</v>
      </c>
      <c r="AW11" s="4">
        <v>46034</v>
      </c>
      <c r="AX11" s="4">
        <v>46035</v>
      </c>
      <c r="AY11" s="4">
        <v>46036</v>
      </c>
      <c r="AZ11" s="4">
        <v>46037</v>
      </c>
      <c r="BA11" s="4">
        <v>46038</v>
      </c>
      <c r="BB11" s="5">
        <v>46039</v>
      </c>
      <c r="BC11" s="5">
        <v>46040</v>
      </c>
      <c r="BD11" s="4">
        <v>46041</v>
      </c>
      <c r="BE11" s="4">
        <v>46042</v>
      </c>
      <c r="BF11" s="4">
        <v>46043</v>
      </c>
      <c r="BG11" s="4">
        <v>46044</v>
      </c>
      <c r="BH11" s="4">
        <v>46045</v>
      </c>
      <c r="BI11" s="5">
        <v>46046</v>
      </c>
      <c r="BJ11" s="5">
        <v>46047</v>
      </c>
      <c r="BK11" s="4">
        <v>46048</v>
      </c>
      <c r="BL11" s="4">
        <v>46049</v>
      </c>
      <c r="BM11" s="4">
        <v>46050</v>
      </c>
      <c r="BN11" s="4">
        <v>46051</v>
      </c>
      <c r="BO11" s="4">
        <v>46052</v>
      </c>
      <c r="BP11" s="5">
        <v>46053</v>
      </c>
      <c r="BQ11" s="5">
        <v>46054</v>
      </c>
      <c r="BR11" s="4">
        <v>46055</v>
      </c>
      <c r="BS11" s="4">
        <v>46056</v>
      </c>
      <c r="BT11" s="4">
        <v>46057</v>
      </c>
      <c r="BU11" s="4">
        <v>46058</v>
      </c>
      <c r="BV11" s="4">
        <v>46059</v>
      </c>
      <c r="BW11" s="5">
        <v>46060</v>
      </c>
      <c r="BX11" s="5">
        <v>46061</v>
      </c>
      <c r="BY11" s="4">
        <v>46062</v>
      </c>
      <c r="BZ11" s="4">
        <v>46063</v>
      </c>
      <c r="CA11" s="4">
        <v>46064</v>
      </c>
      <c r="CB11" s="4">
        <v>46065</v>
      </c>
      <c r="CC11" s="4">
        <v>46066</v>
      </c>
      <c r="CD11" s="5">
        <v>46067</v>
      </c>
      <c r="CE11" s="5">
        <v>46068</v>
      </c>
      <c r="CF11" s="4">
        <v>46069</v>
      </c>
      <c r="CG11" s="4">
        <v>46070</v>
      </c>
      <c r="CH11" s="4">
        <v>46071</v>
      </c>
      <c r="CI11" s="4">
        <v>46072</v>
      </c>
      <c r="CJ11" s="4">
        <v>46073</v>
      </c>
      <c r="CK11" s="5">
        <v>46074</v>
      </c>
      <c r="CL11" s="5">
        <v>46075</v>
      </c>
      <c r="CM11" s="4">
        <v>46076</v>
      </c>
      <c r="CN11" s="4">
        <v>46077</v>
      </c>
      <c r="CO11" s="4">
        <v>46078</v>
      </c>
      <c r="CP11" s="4">
        <v>46079</v>
      </c>
      <c r="CQ11" s="4">
        <v>46080</v>
      </c>
      <c r="CR11" s="5">
        <v>46081</v>
      </c>
      <c r="CS11" s="5">
        <v>46082</v>
      </c>
      <c r="CT11" s="4">
        <v>46083</v>
      </c>
      <c r="CU11" s="4">
        <v>46084</v>
      </c>
      <c r="CV11" s="4">
        <v>46085</v>
      </c>
      <c r="CW11" s="4">
        <v>46086</v>
      </c>
      <c r="CX11" s="4">
        <v>46087</v>
      </c>
      <c r="CY11" s="5">
        <v>46088</v>
      </c>
      <c r="CZ11" s="5">
        <v>46089</v>
      </c>
      <c r="DA11" s="4">
        <v>46090</v>
      </c>
      <c r="DB11" s="4">
        <v>46091</v>
      </c>
      <c r="DC11" s="4">
        <v>46092</v>
      </c>
      <c r="DD11" s="4">
        <v>46093</v>
      </c>
      <c r="DE11" s="4">
        <v>46094</v>
      </c>
      <c r="DF11" s="5">
        <v>46095</v>
      </c>
      <c r="DG11" s="5">
        <v>46096</v>
      </c>
      <c r="DH11" s="4">
        <v>46097</v>
      </c>
      <c r="DI11" s="4">
        <v>46098</v>
      </c>
      <c r="DJ11" s="4">
        <v>46099</v>
      </c>
      <c r="DK11" s="4">
        <v>46100</v>
      </c>
      <c r="DL11" s="4">
        <v>46101</v>
      </c>
      <c r="DM11" s="5">
        <v>46102</v>
      </c>
      <c r="DN11" s="5">
        <v>46103</v>
      </c>
      <c r="DO11" s="4">
        <v>46104</v>
      </c>
      <c r="DP11" s="4">
        <v>46105</v>
      </c>
      <c r="DQ11" s="4">
        <v>46106</v>
      </c>
      <c r="DR11" s="4">
        <v>46107</v>
      </c>
      <c r="DS11" s="4">
        <v>46108</v>
      </c>
      <c r="DT11" s="5">
        <v>46109</v>
      </c>
      <c r="DU11" s="5">
        <v>46110</v>
      </c>
      <c r="DV11" s="4">
        <v>46111</v>
      </c>
      <c r="DW11" s="4">
        <v>46112</v>
      </c>
      <c r="DX11" s="4">
        <v>46113</v>
      </c>
      <c r="DY11" s="4">
        <v>46114</v>
      </c>
      <c r="DZ11" s="4">
        <v>46115</v>
      </c>
      <c r="EA11" s="5">
        <v>46116</v>
      </c>
      <c r="EB11" s="5">
        <v>46117</v>
      </c>
      <c r="EC11" s="4">
        <v>46118</v>
      </c>
      <c r="ED11" s="4">
        <v>46119</v>
      </c>
      <c r="EE11" s="4">
        <v>46120</v>
      </c>
      <c r="EF11" s="4">
        <v>46121</v>
      </c>
      <c r="EG11" s="4">
        <v>46122</v>
      </c>
      <c r="EH11" s="5">
        <v>46123</v>
      </c>
      <c r="EI11" s="5">
        <v>46124</v>
      </c>
      <c r="EJ11" s="4">
        <v>46125</v>
      </c>
      <c r="EK11" s="4">
        <v>46126</v>
      </c>
      <c r="EL11" s="4">
        <v>46127</v>
      </c>
      <c r="EM11" s="4">
        <v>46128</v>
      </c>
      <c r="EN11" s="4">
        <v>46129</v>
      </c>
      <c r="EO11" s="5">
        <v>46130</v>
      </c>
      <c r="EP11" s="5">
        <v>46131</v>
      </c>
      <c r="EQ11" s="4">
        <v>46132</v>
      </c>
      <c r="ER11" s="4">
        <v>46133</v>
      </c>
      <c r="ES11" s="4">
        <v>46134</v>
      </c>
      <c r="ET11" s="4">
        <v>46135</v>
      </c>
      <c r="EU11" s="4">
        <v>46136</v>
      </c>
      <c r="EV11" s="5">
        <v>46137</v>
      </c>
      <c r="EW11" s="5">
        <v>46138</v>
      </c>
      <c r="EX11" s="4">
        <v>46139</v>
      </c>
      <c r="EY11" s="4">
        <v>46140</v>
      </c>
      <c r="EZ11" s="4">
        <v>46141</v>
      </c>
      <c r="FA11" s="4">
        <v>46142</v>
      </c>
      <c r="FB11" s="4">
        <v>46143</v>
      </c>
      <c r="FC11" s="5">
        <v>46144</v>
      </c>
      <c r="FD11" s="5">
        <v>46145</v>
      </c>
      <c r="FE11" s="4">
        <v>46146</v>
      </c>
      <c r="FF11" s="4">
        <v>46147</v>
      </c>
      <c r="FG11" s="4">
        <v>46148</v>
      </c>
      <c r="FH11" s="4">
        <v>46149</v>
      </c>
      <c r="FI11" s="4">
        <v>46150</v>
      </c>
      <c r="FJ11" s="5">
        <v>46151</v>
      </c>
      <c r="FK11" s="5">
        <v>46152</v>
      </c>
      <c r="FL11" s="4">
        <v>46153</v>
      </c>
      <c r="FM11" s="4">
        <v>46154</v>
      </c>
      <c r="FN11" s="4">
        <v>46155</v>
      </c>
      <c r="FO11" s="4">
        <v>46156</v>
      </c>
      <c r="FP11" s="4">
        <v>46157</v>
      </c>
      <c r="FQ11" s="5">
        <v>46203</v>
      </c>
      <c r="FR11" s="5">
        <v>46204</v>
      </c>
      <c r="FS11" s="4">
        <v>46205</v>
      </c>
      <c r="FT11" s="4">
        <v>46206</v>
      </c>
      <c r="FU11" s="4">
        <v>46207</v>
      </c>
      <c r="FV11" s="4">
        <v>46208</v>
      </c>
      <c r="FW11" s="5">
        <v>46209</v>
      </c>
      <c r="FX11" s="5">
        <v>46210</v>
      </c>
      <c r="FY11" s="4">
        <v>46211</v>
      </c>
      <c r="FZ11" s="4">
        <v>46212</v>
      </c>
      <c r="GA11" s="4">
        <v>46213</v>
      </c>
      <c r="GB11" s="4">
        <v>46214</v>
      </c>
      <c r="GC11" s="4">
        <v>46215</v>
      </c>
      <c r="GD11" s="5">
        <v>46200</v>
      </c>
      <c r="GE11" s="5">
        <v>46201</v>
      </c>
      <c r="GF11" s="4">
        <v>46202</v>
      </c>
      <c r="GG11" s="4">
        <v>46203</v>
      </c>
      <c r="GH11" s="4">
        <v>46204</v>
      </c>
      <c r="GI11" s="4">
        <v>46205</v>
      </c>
      <c r="GJ11" s="4">
        <v>46206</v>
      </c>
      <c r="GK11" s="5">
        <v>46207</v>
      </c>
      <c r="GL11" s="5">
        <v>46208</v>
      </c>
      <c r="GM11" s="4">
        <v>46209</v>
      </c>
      <c r="GN11" s="4">
        <v>46210</v>
      </c>
      <c r="GO11" s="4">
        <v>46211</v>
      </c>
      <c r="GP11" s="4">
        <v>46212</v>
      </c>
      <c r="GQ11" s="4">
        <v>46213</v>
      </c>
      <c r="GR11" s="5">
        <v>46214</v>
      </c>
      <c r="GS11" s="5">
        <v>46215</v>
      </c>
      <c r="GT11" s="4">
        <v>46216</v>
      </c>
      <c r="GU11" s="4">
        <v>46217</v>
      </c>
      <c r="GV11" s="4">
        <v>46218</v>
      </c>
      <c r="GW11" s="4">
        <v>46219</v>
      </c>
      <c r="GX11" s="4">
        <v>46220</v>
      </c>
      <c r="GY11" s="5">
        <v>46221</v>
      </c>
      <c r="GZ11" s="5">
        <v>46222</v>
      </c>
      <c r="HA11" s="4">
        <v>46223</v>
      </c>
      <c r="HB11" s="4">
        <v>46224</v>
      </c>
      <c r="HC11" s="4">
        <v>46225</v>
      </c>
      <c r="HD11" s="4">
        <v>46226</v>
      </c>
      <c r="HE11" s="4">
        <v>46227</v>
      </c>
      <c r="HF11" s="5">
        <v>46228</v>
      </c>
      <c r="HG11" s="5">
        <v>46229</v>
      </c>
      <c r="HH11" s="4">
        <v>46230</v>
      </c>
      <c r="HI11" s="4">
        <v>46231</v>
      </c>
      <c r="HJ11" s="4">
        <v>46232</v>
      </c>
      <c r="HK11" s="4">
        <v>46233</v>
      </c>
      <c r="HL11" s="4">
        <v>46234</v>
      </c>
      <c r="HM11" s="5">
        <v>46235</v>
      </c>
      <c r="HN11" s="5">
        <v>46236</v>
      </c>
      <c r="HO11" s="4">
        <v>46237</v>
      </c>
      <c r="HP11" s="4">
        <v>46238</v>
      </c>
      <c r="HQ11" s="4">
        <v>46239</v>
      </c>
      <c r="HR11" s="4">
        <v>46240</v>
      </c>
      <c r="HS11" s="4">
        <v>46241</v>
      </c>
      <c r="HT11" s="5">
        <v>46242</v>
      </c>
      <c r="HU11" s="5">
        <v>46243</v>
      </c>
      <c r="HV11" s="4">
        <v>46244</v>
      </c>
      <c r="HW11" s="4">
        <v>46245</v>
      </c>
      <c r="HX11" s="4">
        <v>46246</v>
      </c>
      <c r="HY11" s="4">
        <v>46247</v>
      </c>
      <c r="HZ11" s="4">
        <v>46248</v>
      </c>
      <c r="IA11" s="5">
        <v>46249</v>
      </c>
      <c r="IB11" s="5">
        <v>46250</v>
      </c>
    </row>
    <row r="12" spans="1:246" x14ac:dyDescent="0.35">
      <c r="A12" s="3" t="s">
        <v>32</v>
      </c>
      <c r="J12" t="s">
        <v>33</v>
      </c>
      <c r="R12" t="s">
        <v>27</v>
      </c>
      <c r="W12" t="s">
        <v>34</v>
      </c>
    </row>
    <row r="13" spans="1:246" s="1" customFormat="1" x14ac:dyDescent="0.35">
      <c r="A13" s="1" t="s">
        <v>36</v>
      </c>
      <c r="B13" s="1">
        <v>6</v>
      </c>
      <c r="C13" s="1">
        <v>5</v>
      </c>
      <c r="G13" s="1">
        <v>8</v>
      </c>
      <c r="H13" s="1">
        <v>5</v>
      </c>
      <c r="I13" s="1">
        <v>6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2</v>
      </c>
      <c r="AA13" s="1">
        <v>2</v>
      </c>
      <c r="AB13" s="1">
        <v>3</v>
      </c>
      <c r="AC13" s="1">
        <v>3</v>
      </c>
      <c r="AD13" s="1">
        <v>4</v>
      </c>
      <c r="AE13" s="1">
        <v>4</v>
      </c>
      <c r="AF13" s="24"/>
      <c r="AN13" s="1">
        <v>1</v>
      </c>
      <c r="AO13" s="1">
        <v>2</v>
      </c>
      <c r="AQ13" s="1">
        <v>2</v>
      </c>
      <c r="AR13" s="1">
        <v>1</v>
      </c>
      <c r="AW13" s="1">
        <v>4</v>
      </c>
      <c r="AX13" s="1">
        <v>2</v>
      </c>
      <c r="AY13" s="1">
        <v>2</v>
      </c>
      <c r="AZ13" s="1">
        <v>2</v>
      </c>
      <c r="BA13" s="1">
        <v>2</v>
      </c>
      <c r="BB13" s="1">
        <v>4</v>
      </c>
      <c r="BC13" s="1">
        <v>4</v>
      </c>
      <c r="BD13" s="1">
        <v>4</v>
      </c>
      <c r="BE13" s="1">
        <v>4</v>
      </c>
      <c r="BF13" s="1">
        <v>3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O13" s="1">
        <v>2</v>
      </c>
      <c r="BP13" s="1">
        <v>2</v>
      </c>
      <c r="BQ13" s="1">
        <v>2</v>
      </c>
      <c r="BR13" s="1">
        <v>2</v>
      </c>
      <c r="BS13" s="14">
        <v>2</v>
      </c>
      <c r="BT13" s="14">
        <v>2</v>
      </c>
      <c r="BU13" s="14">
        <v>2</v>
      </c>
      <c r="BV13" s="14">
        <v>2</v>
      </c>
      <c r="BW13" s="14">
        <v>2</v>
      </c>
      <c r="BX13" s="14">
        <v>2</v>
      </c>
      <c r="BY13" s="14">
        <v>1</v>
      </c>
      <c r="BZ13" s="14"/>
      <c r="CA13" s="14"/>
      <c r="CB13" s="14">
        <v>1</v>
      </c>
      <c r="CC13" s="12"/>
      <c r="CD13" s="12">
        <v>2</v>
      </c>
      <c r="CE13" s="12">
        <v>2</v>
      </c>
      <c r="CF13" s="12">
        <v>2</v>
      </c>
      <c r="CG13" s="12">
        <v>2</v>
      </c>
      <c r="CH13" s="14">
        <v>2</v>
      </c>
      <c r="CI13" s="14">
        <v>2</v>
      </c>
      <c r="CJ13" s="14"/>
      <c r="CK13" s="14"/>
      <c r="CP13" s="1">
        <v>2</v>
      </c>
      <c r="CQ13" s="1">
        <v>2</v>
      </c>
      <c r="CR13" s="1">
        <v>4</v>
      </c>
      <c r="CS13" s="1">
        <v>4</v>
      </c>
      <c r="CT13" s="1">
        <v>4</v>
      </c>
      <c r="CU13" s="1">
        <v>4</v>
      </c>
      <c r="CV13" s="1">
        <v>4</v>
      </c>
      <c r="CW13" s="1">
        <v>4</v>
      </c>
      <c r="CX13" s="1">
        <v>2</v>
      </c>
      <c r="CZ13" s="1">
        <v>2</v>
      </c>
      <c r="DA13" s="1">
        <v>2</v>
      </c>
      <c r="DB13" s="1">
        <v>2</v>
      </c>
      <c r="DC13" s="1">
        <v>2</v>
      </c>
      <c r="DE13" s="1">
        <v>2</v>
      </c>
      <c r="DF13" s="1">
        <v>2</v>
      </c>
      <c r="DG13" s="1">
        <v>2</v>
      </c>
      <c r="DH13" s="1">
        <v>2</v>
      </c>
      <c r="DL13" s="1">
        <v>2</v>
      </c>
    </row>
    <row r="14" spans="1:246" s="20" customFormat="1" x14ac:dyDescent="0.35">
      <c r="A14" s="20" t="s">
        <v>41</v>
      </c>
      <c r="AF14" s="24"/>
      <c r="BS14" s="21">
        <f>BS13*42</f>
        <v>84</v>
      </c>
      <c r="BT14" s="21">
        <f t="shared" ref="BT14:CC14" si="19">BT13*42</f>
        <v>84</v>
      </c>
      <c r="BU14" s="21">
        <f t="shared" si="19"/>
        <v>84</v>
      </c>
      <c r="BV14" s="21">
        <f t="shared" si="19"/>
        <v>84</v>
      </c>
      <c r="BW14" s="21">
        <f t="shared" si="19"/>
        <v>84</v>
      </c>
      <c r="BX14" s="21">
        <f t="shared" si="19"/>
        <v>84</v>
      </c>
      <c r="BY14" s="21">
        <f t="shared" si="19"/>
        <v>42</v>
      </c>
      <c r="BZ14" s="21">
        <f t="shared" si="19"/>
        <v>0</v>
      </c>
      <c r="CA14" s="21">
        <f t="shared" si="19"/>
        <v>0</v>
      </c>
      <c r="CB14" s="21">
        <f t="shared" si="19"/>
        <v>42</v>
      </c>
      <c r="CC14" s="21">
        <f t="shared" si="19"/>
        <v>0</v>
      </c>
      <c r="CD14" s="21">
        <f t="shared" ref="CD14" si="20">CD13*42</f>
        <v>84</v>
      </c>
      <c r="CE14" s="21">
        <f t="shared" ref="CE14" si="21">CE13*42</f>
        <v>84</v>
      </c>
      <c r="CF14" s="21">
        <f t="shared" ref="CF14" si="22">CF13*42</f>
        <v>84</v>
      </c>
      <c r="CG14" s="21">
        <f t="shared" ref="CG14" si="23">CG13*42</f>
        <v>84</v>
      </c>
      <c r="CH14" s="21">
        <f t="shared" ref="CH14" si="24">CH13*42</f>
        <v>84</v>
      </c>
      <c r="CI14" s="21">
        <f t="shared" ref="CI14" si="25">CI13*42</f>
        <v>84</v>
      </c>
      <c r="CJ14" s="21">
        <f t="shared" ref="CJ14" si="26">CJ13*42</f>
        <v>0</v>
      </c>
      <c r="CK14" s="21">
        <f t="shared" ref="CK14:CQ14" si="27">CK13*42</f>
        <v>0</v>
      </c>
      <c r="CL14" s="21">
        <f t="shared" si="27"/>
        <v>0</v>
      </c>
      <c r="CM14" s="21">
        <f t="shared" si="27"/>
        <v>0</v>
      </c>
      <c r="CN14" s="21">
        <f t="shared" si="27"/>
        <v>0</v>
      </c>
      <c r="CO14" s="21">
        <f t="shared" si="27"/>
        <v>0</v>
      </c>
      <c r="CP14" s="21">
        <f t="shared" si="27"/>
        <v>84</v>
      </c>
      <c r="CQ14" s="21">
        <f t="shared" si="27"/>
        <v>84</v>
      </c>
      <c r="CR14" s="21">
        <f t="shared" ref="CR14:CZ14" si="28">CR13*42</f>
        <v>168</v>
      </c>
      <c r="CS14" s="21">
        <f t="shared" si="28"/>
        <v>168</v>
      </c>
      <c r="CT14" s="21">
        <f t="shared" si="28"/>
        <v>168</v>
      </c>
      <c r="CU14" s="21">
        <f t="shared" si="28"/>
        <v>168</v>
      </c>
      <c r="CV14" s="21">
        <f t="shared" si="28"/>
        <v>168</v>
      </c>
      <c r="CW14" s="21">
        <f t="shared" si="28"/>
        <v>168</v>
      </c>
      <c r="CX14" s="21">
        <f t="shared" si="28"/>
        <v>84</v>
      </c>
      <c r="CY14" s="21">
        <f t="shared" si="28"/>
        <v>0</v>
      </c>
      <c r="CZ14" s="21">
        <f t="shared" si="28"/>
        <v>84</v>
      </c>
      <c r="DA14" s="21">
        <f t="shared" ref="DA14:DE14" si="29">DA13*42</f>
        <v>84</v>
      </c>
      <c r="DB14" s="21">
        <f t="shared" si="29"/>
        <v>84</v>
      </c>
      <c r="DC14" s="21">
        <f t="shared" si="29"/>
        <v>84</v>
      </c>
      <c r="DD14" s="21">
        <f t="shared" si="29"/>
        <v>0</v>
      </c>
      <c r="DE14" s="21">
        <f t="shared" si="29"/>
        <v>84</v>
      </c>
      <c r="DF14" s="21">
        <f t="shared" ref="DF14:DJ14" si="30">DF13*42</f>
        <v>84</v>
      </c>
      <c r="DG14" s="21">
        <f t="shared" si="30"/>
        <v>84</v>
      </c>
      <c r="DH14" s="21">
        <f t="shared" si="30"/>
        <v>84</v>
      </c>
      <c r="DI14" s="21">
        <f t="shared" si="30"/>
        <v>0</v>
      </c>
      <c r="DJ14" s="21">
        <f t="shared" si="30"/>
        <v>0</v>
      </c>
      <c r="DK14" s="21">
        <f t="shared" ref="DK14:DN14" si="31">DK13*42</f>
        <v>0</v>
      </c>
      <c r="DL14" s="21">
        <f t="shared" si="31"/>
        <v>84</v>
      </c>
      <c r="DM14" s="21">
        <f t="shared" si="31"/>
        <v>0</v>
      </c>
      <c r="DN14" s="21">
        <f t="shared" si="31"/>
        <v>0</v>
      </c>
      <c r="DO14" s="21">
        <f t="shared" ref="DO14:DT14" si="32">DO13*42</f>
        <v>0</v>
      </c>
      <c r="DP14" s="21">
        <f t="shared" si="32"/>
        <v>0</v>
      </c>
      <c r="DQ14" s="21">
        <f t="shared" si="32"/>
        <v>0</v>
      </c>
      <c r="DR14" s="21">
        <f t="shared" si="32"/>
        <v>0</v>
      </c>
      <c r="DS14" s="21">
        <f t="shared" si="32"/>
        <v>0</v>
      </c>
      <c r="DT14" s="21">
        <f t="shared" si="32"/>
        <v>0</v>
      </c>
      <c r="DU14" s="21">
        <f t="shared" ref="DU14:ED14" si="33">DU13*42</f>
        <v>0</v>
      </c>
      <c r="DV14" s="21">
        <f t="shared" si="33"/>
        <v>0</v>
      </c>
      <c r="DW14" s="21">
        <f t="shared" si="33"/>
        <v>0</v>
      </c>
      <c r="DX14" s="21">
        <f t="shared" si="33"/>
        <v>0</v>
      </c>
      <c r="DY14" s="21">
        <f t="shared" si="33"/>
        <v>0</v>
      </c>
      <c r="DZ14" s="21">
        <f t="shared" si="33"/>
        <v>0</v>
      </c>
      <c r="EA14" s="21">
        <f t="shared" si="33"/>
        <v>0</v>
      </c>
      <c r="EB14" s="21">
        <f t="shared" si="33"/>
        <v>0</v>
      </c>
      <c r="EC14" s="21">
        <f t="shared" si="33"/>
        <v>0</v>
      </c>
      <c r="ED14" s="21">
        <f t="shared" si="33"/>
        <v>0</v>
      </c>
      <c r="EE14" s="21">
        <f t="shared" ref="EE14:EG14" si="34">EE13*42</f>
        <v>0</v>
      </c>
      <c r="EF14" s="21">
        <f t="shared" si="34"/>
        <v>0</v>
      </c>
      <c r="EG14" s="21">
        <f t="shared" si="34"/>
        <v>0</v>
      </c>
      <c r="EH14" s="21">
        <f t="shared" ref="EH14:EO14" si="35">EH13*42</f>
        <v>0</v>
      </c>
      <c r="EI14" s="21">
        <f t="shared" si="35"/>
        <v>0</v>
      </c>
      <c r="EJ14" s="21">
        <f t="shared" si="35"/>
        <v>0</v>
      </c>
      <c r="EK14" s="21">
        <f t="shared" si="35"/>
        <v>0</v>
      </c>
      <c r="EL14" s="21">
        <f t="shared" si="35"/>
        <v>0</v>
      </c>
      <c r="EM14" s="21">
        <f t="shared" si="35"/>
        <v>0</v>
      </c>
      <c r="EN14" s="21">
        <f t="shared" si="35"/>
        <v>0</v>
      </c>
      <c r="EO14" s="21">
        <f t="shared" si="35"/>
        <v>0</v>
      </c>
      <c r="EP14" s="21">
        <f t="shared" ref="EP14:EU14" si="36">EP13*42</f>
        <v>0</v>
      </c>
      <c r="EQ14" s="21">
        <f t="shared" si="36"/>
        <v>0</v>
      </c>
      <c r="ER14" s="21">
        <f t="shared" si="36"/>
        <v>0</v>
      </c>
      <c r="ES14" s="21">
        <f t="shared" si="36"/>
        <v>0</v>
      </c>
      <c r="ET14" s="21">
        <f t="shared" si="36"/>
        <v>0</v>
      </c>
      <c r="EU14" s="21">
        <f t="shared" si="36"/>
        <v>0</v>
      </c>
      <c r="EV14" s="21">
        <f t="shared" ref="EV14:FF14" si="37">EV13*42</f>
        <v>0</v>
      </c>
      <c r="EW14" s="21">
        <f t="shared" si="37"/>
        <v>0</v>
      </c>
      <c r="EX14" s="21">
        <f t="shared" si="37"/>
        <v>0</v>
      </c>
      <c r="EY14" s="21">
        <f t="shared" si="37"/>
        <v>0</v>
      </c>
      <c r="EZ14" s="21">
        <f t="shared" si="37"/>
        <v>0</v>
      </c>
      <c r="FA14" s="21">
        <f t="shared" si="37"/>
        <v>0</v>
      </c>
      <c r="FB14" s="21">
        <f t="shared" si="37"/>
        <v>0</v>
      </c>
      <c r="FC14" s="21">
        <f t="shared" si="37"/>
        <v>0</v>
      </c>
      <c r="FD14" s="21">
        <f t="shared" si="37"/>
        <v>0</v>
      </c>
      <c r="FE14" s="21">
        <f t="shared" si="37"/>
        <v>0</v>
      </c>
      <c r="FF14" s="21">
        <f t="shared" si="37"/>
        <v>0</v>
      </c>
      <c r="FG14" s="21">
        <f t="shared" ref="FG14:FP14" si="38">FG13*42</f>
        <v>0</v>
      </c>
      <c r="FH14" s="21">
        <f t="shared" si="38"/>
        <v>0</v>
      </c>
      <c r="FI14" s="21">
        <f t="shared" si="38"/>
        <v>0</v>
      </c>
      <c r="FJ14" s="21">
        <f t="shared" si="38"/>
        <v>0</v>
      </c>
      <c r="FK14" s="21">
        <f t="shared" si="38"/>
        <v>0</v>
      </c>
      <c r="FL14" s="21">
        <f t="shared" si="38"/>
        <v>0</v>
      </c>
      <c r="FM14" s="21">
        <f t="shared" si="38"/>
        <v>0</v>
      </c>
      <c r="FN14" s="21">
        <f t="shared" si="38"/>
        <v>0</v>
      </c>
      <c r="FO14" s="21">
        <f t="shared" si="38"/>
        <v>0</v>
      </c>
      <c r="FP14" s="21">
        <f t="shared" si="38"/>
        <v>0</v>
      </c>
      <c r="FQ14" s="21">
        <f t="shared" ref="FQ14:FY14" si="39">FQ13*42</f>
        <v>0</v>
      </c>
      <c r="FR14" s="21">
        <f t="shared" si="39"/>
        <v>0</v>
      </c>
      <c r="FS14" s="21">
        <f t="shared" si="39"/>
        <v>0</v>
      </c>
      <c r="FT14" s="21">
        <f t="shared" si="39"/>
        <v>0</v>
      </c>
      <c r="FU14" s="21">
        <f t="shared" si="39"/>
        <v>0</v>
      </c>
      <c r="FV14" s="21">
        <f t="shared" si="39"/>
        <v>0</v>
      </c>
      <c r="FW14" s="21">
        <f t="shared" si="39"/>
        <v>0</v>
      </c>
      <c r="FX14" s="21">
        <f t="shared" si="39"/>
        <v>0</v>
      </c>
      <c r="FY14" s="21">
        <f t="shared" si="39"/>
        <v>0</v>
      </c>
      <c r="FZ14" s="21">
        <f t="shared" ref="FZ14:GJ14" si="40">FZ13*42</f>
        <v>0</v>
      </c>
      <c r="GA14" s="21">
        <f t="shared" si="40"/>
        <v>0</v>
      </c>
      <c r="GB14" s="21">
        <f t="shared" si="40"/>
        <v>0</v>
      </c>
      <c r="GC14" s="21">
        <f t="shared" si="40"/>
        <v>0</v>
      </c>
      <c r="GD14" s="21">
        <f t="shared" si="40"/>
        <v>0</v>
      </c>
      <c r="GE14" s="21">
        <f t="shared" si="40"/>
        <v>0</v>
      </c>
      <c r="GF14" s="21">
        <f t="shared" si="40"/>
        <v>0</v>
      </c>
      <c r="GG14" s="21">
        <f t="shared" si="40"/>
        <v>0</v>
      </c>
      <c r="GH14" s="21">
        <f t="shared" si="40"/>
        <v>0</v>
      </c>
      <c r="GI14" s="21">
        <f t="shared" si="40"/>
        <v>0</v>
      </c>
      <c r="GJ14" s="21">
        <f t="shared" si="40"/>
        <v>0</v>
      </c>
      <c r="GK14" s="21">
        <f t="shared" ref="GK14:GT14" si="41">GK13*42</f>
        <v>0</v>
      </c>
      <c r="GL14" s="21">
        <f t="shared" si="41"/>
        <v>0</v>
      </c>
      <c r="GM14" s="21">
        <f t="shared" si="41"/>
        <v>0</v>
      </c>
      <c r="GN14" s="21">
        <f t="shared" si="41"/>
        <v>0</v>
      </c>
      <c r="GO14" s="21">
        <f t="shared" si="41"/>
        <v>0</v>
      </c>
      <c r="GP14" s="21">
        <f t="shared" si="41"/>
        <v>0</v>
      </c>
      <c r="GQ14" s="21">
        <f t="shared" si="41"/>
        <v>0</v>
      </c>
      <c r="GR14" s="21">
        <f t="shared" si="41"/>
        <v>0</v>
      </c>
      <c r="GS14" s="21">
        <f t="shared" si="41"/>
        <v>0</v>
      </c>
      <c r="GT14" s="21">
        <f t="shared" si="41"/>
        <v>0</v>
      </c>
      <c r="GU14" s="21">
        <f t="shared" ref="GU14:GY14" si="42">GU13*42</f>
        <v>0</v>
      </c>
      <c r="GV14" s="21">
        <f t="shared" si="42"/>
        <v>0</v>
      </c>
      <c r="GW14" s="21">
        <f t="shared" si="42"/>
        <v>0</v>
      </c>
      <c r="GX14" s="21">
        <f t="shared" si="42"/>
        <v>0</v>
      </c>
      <c r="GY14" s="21">
        <f t="shared" si="42"/>
        <v>0</v>
      </c>
      <c r="GZ14" s="21">
        <f t="shared" ref="GZ14:HG14" si="43">GZ13*42</f>
        <v>0</v>
      </c>
      <c r="HA14" s="21">
        <f t="shared" si="43"/>
        <v>0</v>
      </c>
      <c r="HB14" s="21">
        <f t="shared" si="43"/>
        <v>0</v>
      </c>
      <c r="HC14" s="21">
        <f t="shared" si="43"/>
        <v>0</v>
      </c>
      <c r="HD14" s="21">
        <f t="shared" si="43"/>
        <v>0</v>
      </c>
      <c r="HE14" s="21">
        <f t="shared" si="43"/>
        <v>0</v>
      </c>
      <c r="HF14" s="21">
        <f t="shared" si="43"/>
        <v>0</v>
      </c>
      <c r="HG14" s="21">
        <f t="shared" si="43"/>
        <v>0</v>
      </c>
      <c r="HH14" s="21">
        <f t="shared" ref="HH14:HQ14" si="44">HH13*42</f>
        <v>0</v>
      </c>
      <c r="HI14" s="21">
        <f t="shared" si="44"/>
        <v>0</v>
      </c>
      <c r="HJ14" s="21">
        <f t="shared" si="44"/>
        <v>0</v>
      </c>
      <c r="HK14" s="21">
        <f t="shared" si="44"/>
        <v>0</v>
      </c>
      <c r="HL14" s="21">
        <f t="shared" si="44"/>
        <v>0</v>
      </c>
      <c r="HM14" s="21">
        <f t="shared" si="44"/>
        <v>0</v>
      </c>
      <c r="HN14" s="21">
        <f t="shared" si="44"/>
        <v>0</v>
      </c>
      <c r="HO14" s="21">
        <f t="shared" si="44"/>
        <v>0</v>
      </c>
      <c r="HP14" s="21">
        <f t="shared" si="44"/>
        <v>0</v>
      </c>
      <c r="HQ14" s="21">
        <f t="shared" si="44"/>
        <v>0</v>
      </c>
      <c r="HR14" s="21">
        <f t="shared" ref="HR14:ID14" si="45">HR13*42</f>
        <v>0</v>
      </c>
      <c r="HS14" s="21">
        <f t="shared" si="45"/>
        <v>0</v>
      </c>
      <c r="HT14" s="21">
        <f t="shared" si="45"/>
        <v>0</v>
      </c>
      <c r="HU14" s="21">
        <f t="shared" si="45"/>
        <v>0</v>
      </c>
      <c r="HV14" s="21">
        <f t="shared" si="45"/>
        <v>0</v>
      </c>
      <c r="HW14" s="21">
        <f t="shared" si="45"/>
        <v>0</v>
      </c>
      <c r="HX14" s="21">
        <f t="shared" si="45"/>
        <v>0</v>
      </c>
      <c r="HY14" s="21">
        <f t="shared" si="45"/>
        <v>0</v>
      </c>
      <c r="HZ14" s="21">
        <f t="shared" si="45"/>
        <v>0</v>
      </c>
      <c r="IA14" s="21">
        <f t="shared" si="45"/>
        <v>0</v>
      </c>
      <c r="IB14" s="21">
        <f t="shared" si="45"/>
        <v>0</v>
      </c>
      <c r="IC14" s="21">
        <f t="shared" si="45"/>
        <v>0</v>
      </c>
      <c r="ID14" s="21">
        <f t="shared" si="45"/>
        <v>0</v>
      </c>
    </row>
    <row r="15" spans="1:246" s="1" customFormat="1" x14ac:dyDescent="0.35">
      <c r="A15" s="1" t="s">
        <v>35</v>
      </c>
      <c r="Y15" s="1">
        <v>2</v>
      </c>
      <c r="Z15" s="1">
        <v>2</v>
      </c>
      <c r="AA15" s="1">
        <v>2</v>
      </c>
      <c r="AF15" s="24"/>
      <c r="AG15" s="1">
        <v>2</v>
      </c>
      <c r="AH15" s="1">
        <v>2</v>
      </c>
      <c r="AI15" s="1">
        <v>2</v>
      </c>
      <c r="AJ15" s="1">
        <v>4</v>
      </c>
      <c r="AK15" s="1">
        <v>4</v>
      </c>
      <c r="AL15" s="1">
        <v>4</v>
      </c>
      <c r="AM15" s="1">
        <v>2</v>
      </c>
      <c r="AN15" s="1">
        <v>1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3</v>
      </c>
      <c r="BG15" s="1">
        <v>2</v>
      </c>
      <c r="BH15" s="1">
        <v>2</v>
      </c>
      <c r="BN15" s="1">
        <v>2</v>
      </c>
      <c r="BO15" s="1">
        <v>2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2">
        <v>2</v>
      </c>
      <c r="CG15" s="12">
        <v>2</v>
      </c>
      <c r="CH15" s="12">
        <v>2</v>
      </c>
      <c r="CI15" s="12">
        <v>2</v>
      </c>
      <c r="CJ15" s="12">
        <v>4</v>
      </c>
      <c r="CK15" s="12">
        <v>4</v>
      </c>
      <c r="CL15" s="12">
        <v>4</v>
      </c>
      <c r="CM15" s="12">
        <v>4</v>
      </c>
      <c r="CN15" s="14">
        <v>2</v>
      </c>
      <c r="CO15" s="14">
        <v>2</v>
      </c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>
        <v>2</v>
      </c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>
        <v>1</v>
      </c>
      <c r="EN15" s="14">
        <v>2</v>
      </c>
      <c r="EO15" s="14">
        <v>2</v>
      </c>
      <c r="EP15" s="14">
        <v>2</v>
      </c>
      <c r="EQ15" s="14"/>
      <c r="ER15" s="14">
        <v>1</v>
      </c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</row>
    <row r="16" spans="1:246" s="20" customFormat="1" x14ac:dyDescent="0.35">
      <c r="A16" s="20" t="s">
        <v>41</v>
      </c>
      <c r="AF16" s="24"/>
      <c r="BS16" s="21">
        <f t="shared" ref="BS16:CE16" si="46">BS15*42</f>
        <v>0</v>
      </c>
      <c r="BT16" s="21">
        <f t="shared" si="46"/>
        <v>0</v>
      </c>
      <c r="BU16" s="21">
        <f t="shared" si="46"/>
        <v>0</v>
      </c>
      <c r="BV16" s="21">
        <f t="shared" si="46"/>
        <v>0</v>
      </c>
      <c r="BW16" s="21">
        <f t="shared" si="46"/>
        <v>0</v>
      </c>
      <c r="BX16" s="21">
        <f t="shared" si="46"/>
        <v>0</v>
      </c>
      <c r="BY16" s="21">
        <f t="shared" si="46"/>
        <v>0</v>
      </c>
      <c r="BZ16" s="21">
        <f t="shared" si="46"/>
        <v>0</v>
      </c>
      <c r="CA16" s="21">
        <f t="shared" si="46"/>
        <v>0</v>
      </c>
      <c r="CB16" s="21">
        <f t="shared" si="46"/>
        <v>0</v>
      </c>
      <c r="CC16" s="21">
        <f t="shared" si="46"/>
        <v>0</v>
      </c>
      <c r="CD16" s="21">
        <f t="shared" si="46"/>
        <v>0</v>
      </c>
      <c r="CE16" s="21">
        <f t="shared" si="46"/>
        <v>0</v>
      </c>
      <c r="CF16" s="21" t="b">
        <f>A2=CF15*42</f>
        <v>0</v>
      </c>
      <c r="CG16" s="21">
        <f t="shared" ref="CG16:DL16" si="47">CG15*42</f>
        <v>84</v>
      </c>
      <c r="CH16" s="21">
        <f t="shared" si="47"/>
        <v>84</v>
      </c>
      <c r="CI16" s="21">
        <f t="shared" si="47"/>
        <v>84</v>
      </c>
      <c r="CJ16" s="21">
        <f t="shared" si="47"/>
        <v>168</v>
      </c>
      <c r="CK16" s="21">
        <f t="shared" si="47"/>
        <v>168</v>
      </c>
      <c r="CL16" s="21">
        <f t="shared" si="47"/>
        <v>168</v>
      </c>
      <c r="CM16" s="21">
        <f t="shared" si="47"/>
        <v>168</v>
      </c>
      <c r="CN16" s="21">
        <f t="shared" si="47"/>
        <v>84</v>
      </c>
      <c r="CO16" s="21">
        <f t="shared" si="47"/>
        <v>84</v>
      </c>
      <c r="CP16" s="21">
        <f t="shared" si="47"/>
        <v>0</v>
      </c>
      <c r="CQ16" s="21">
        <f t="shared" si="47"/>
        <v>0</v>
      </c>
      <c r="CR16" s="21">
        <f t="shared" si="47"/>
        <v>0</v>
      </c>
      <c r="CS16" s="21">
        <f t="shared" si="47"/>
        <v>0</v>
      </c>
      <c r="CT16" s="21">
        <f t="shared" si="47"/>
        <v>0</v>
      </c>
      <c r="CU16" s="21">
        <f t="shared" si="47"/>
        <v>0</v>
      </c>
      <c r="CV16" s="21">
        <f t="shared" si="47"/>
        <v>0</v>
      </c>
      <c r="CW16" s="21">
        <f t="shared" si="47"/>
        <v>0</v>
      </c>
      <c r="CX16" s="21">
        <f t="shared" si="47"/>
        <v>0</v>
      </c>
      <c r="CY16" s="21">
        <f t="shared" si="47"/>
        <v>0</v>
      </c>
      <c r="CZ16" s="21">
        <f t="shared" si="47"/>
        <v>0</v>
      </c>
      <c r="DA16" s="21">
        <f t="shared" si="47"/>
        <v>0</v>
      </c>
      <c r="DB16" s="21">
        <f t="shared" si="47"/>
        <v>0</v>
      </c>
      <c r="DC16" s="21">
        <f t="shared" si="47"/>
        <v>0</v>
      </c>
      <c r="DD16" s="21">
        <f t="shared" si="47"/>
        <v>0</v>
      </c>
      <c r="DE16" s="21">
        <f t="shared" si="47"/>
        <v>0</v>
      </c>
      <c r="DF16" s="21">
        <f t="shared" si="47"/>
        <v>0</v>
      </c>
      <c r="DG16" s="21">
        <f t="shared" si="47"/>
        <v>0</v>
      </c>
      <c r="DH16" s="21">
        <f t="shared" si="47"/>
        <v>0</v>
      </c>
      <c r="DI16" s="21">
        <f t="shared" si="47"/>
        <v>0</v>
      </c>
      <c r="DJ16" s="21">
        <f t="shared" si="47"/>
        <v>0</v>
      </c>
      <c r="DK16" s="21">
        <f t="shared" si="47"/>
        <v>84</v>
      </c>
      <c r="DL16" s="21">
        <f t="shared" si="47"/>
        <v>0</v>
      </c>
      <c r="DM16" s="21">
        <f t="shared" ref="DM16:ER16" si="48">DM15*42</f>
        <v>0</v>
      </c>
      <c r="DN16" s="21">
        <f t="shared" si="48"/>
        <v>0</v>
      </c>
      <c r="DO16" s="21">
        <f t="shared" si="48"/>
        <v>0</v>
      </c>
      <c r="DP16" s="21">
        <f t="shared" si="48"/>
        <v>0</v>
      </c>
      <c r="DQ16" s="21">
        <f t="shared" si="48"/>
        <v>0</v>
      </c>
      <c r="DR16" s="21">
        <f t="shared" si="48"/>
        <v>0</v>
      </c>
      <c r="DS16" s="21">
        <f t="shared" si="48"/>
        <v>0</v>
      </c>
      <c r="DT16" s="21">
        <f t="shared" si="48"/>
        <v>0</v>
      </c>
      <c r="DU16" s="21">
        <f t="shared" si="48"/>
        <v>0</v>
      </c>
      <c r="DV16" s="21">
        <f t="shared" si="48"/>
        <v>0</v>
      </c>
      <c r="DW16" s="21">
        <f t="shared" si="48"/>
        <v>0</v>
      </c>
      <c r="DX16" s="21">
        <f t="shared" si="48"/>
        <v>0</v>
      </c>
      <c r="DY16" s="21">
        <f t="shared" si="48"/>
        <v>0</v>
      </c>
      <c r="DZ16" s="21">
        <f t="shared" si="48"/>
        <v>0</v>
      </c>
      <c r="EA16" s="21">
        <f t="shared" si="48"/>
        <v>0</v>
      </c>
      <c r="EB16" s="21">
        <f t="shared" si="48"/>
        <v>0</v>
      </c>
      <c r="EC16" s="21">
        <f t="shared" si="48"/>
        <v>0</v>
      </c>
      <c r="ED16" s="21">
        <f t="shared" si="48"/>
        <v>0</v>
      </c>
      <c r="EE16" s="21">
        <f t="shared" si="48"/>
        <v>0</v>
      </c>
      <c r="EF16" s="21">
        <f t="shared" si="48"/>
        <v>0</v>
      </c>
      <c r="EG16" s="21">
        <f t="shared" si="48"/>
        <v>0</v>
      </c>
      <c r="EH16" s="21">
        <f t="shared" si="48"/>
        <v>0</v>
      </c>
      <c r="EI16" s="21">
        <f t="shared" si="48"/>
        <v>0</v>
      </c>
      <c r="EJ16" s="21">
        <f t="shared" si="48"/>
        <v>0</v>
      </c>
      <c r="EK16" s="21">
        <f t="shared" si="48"/>
        <v>0</v>
      </c>
      <c r="EL16" s="21">
        <f t="shared" si="48"/>
        <v>0</v>
      </c>
      <c r="EM16" s="21">
        <f t="shared" si="48"/>
        <v>42</v>
      </c>
      <c r="EN16" s="21">
        <f t="shared" si="48"/>
        <v>84</v>
      </c>
      <c r="EO16" s="21">
        <f t="shared" si="48"/>
        <v>84</v>
      </c>
      <c r="EP16" s="21">
        <f t="shared" si="48"/>
        <v>84</v>
      </c>
      <c r="EQ16" s="21">
        <f t="shared" si="48"/>
        <v>0</v>
      </c>
      <c r="ER16" s="21">
        <f t="shared" si="48"/>
        <v>42</v>
      </c>
      <c r="ES16" s="21">
        <f t="shared" ref="ES16:EU16" si="49">ES15*42</f>
        <v>0</v>
      </c>
      <c r="ET16" s="21">
        <f t="shared" si="49"/>
        <v>0</v>
      </c>
      <c r="EU16" s="21">
        <f t="shared" si="49"/>
        <v>0</v>
      </c>
      <c r="EV16" s="21">
        <f t="shared" ref="EV16:FF16" si="50">EV15*42</f>
        <v>0</v>
      </c>
      <c r="EW16" s="21">
        <f t="shared" si="50"/>
        <v>0</v>
      </c>
      <c r="EX16" s="21">
        <f t="shared" si="50"/>
        <v>0</v>
      </c>
      <c r="EY16" s="21">
        <f t="shared" si="50"/>
        <v>0</v>
      </c>
      <c r="EZ16" s="21">
        <f t="shared" si="50"/>
        <v>0</v>
      </c>
      <c r="FA16" s="21">
        <f t="shared" si="50"/>
        <v>0</v>
      </c>
      <c r="FB16" s="21">
        <f t="shared" si="50"/>
        <v>0</v>
      </c>
      <c r="FC16" s="21">
        <f t="shared" si="50"/>
        <v>0</v>
      </c>
      <c r="FD16" s="21">
        <f t="shared" si="50"/>
        <v>0</v>
      </c>
      <c r="FE16" s="21">
        <f t="shared" si="50"/>
        <v>0</v>
      </c>
      <c r="FF16" s="21">
        <f t="shared" si="50"/>
        <v>0</v>
      </c>
      <c r="FG16" s="21">
        <f t="shared" ref="FG16:FP16" si="51">FG15*42</f>
        <v>0</v>
      </c>
      <c r="FH16" s="21">
        <f t="shared" si="51"/>
        <v>0</v>
      </c>
      <c r="FI16" s="21">
        <f t="shared" si="51"/>
        <v>0</v>
      </c>
      <c r="FJ16" s="21">
        <f t="shared" si="51"/>
        <v>0</v>
      </c>
      <c r="FK16" s="21">
        <f t="shared" si="51"/>
        <v>0</v>
      </c>
      <c r="FL16" s="21">
        <f t="shared" si="51"/>
        <v>0</v>
      </c>
      <c r="FM16" s="21">
        <f t="shared" si="51"/>
        <v>0</v>
      </c>
      <c r="FN16" s="21">
        <f t="shared" si="51"/>
        <v>0</v>
      </c>
      <c r="FO16" s="21">
        <f t="shared" si="51"/>
        <v>0</v>
      </c>
      <c r="FP16" s="21">
        <f t="shared" si="51"/>
        <v>0</v>
      </c>
      <c r="FQ16" s="21">
        <f t="shared" ref="FQ16:FY16" si="52">FQ15*42</f>
        <v>0</v>
      </c>
      <c r="FR16" s="21">
        <f t="shared" si="52"/>
        <v>0</v>
      </c>
      <c r="FS16" s="21">
        <f t="shared" si="52"/>
        <v>0</v>
      </c>
      <c r="FT16" s="21">
        <f t="shared" si="52"/>
        <v>0</v>
      </c>
      <c r="FU16" s="21">
        <f t="shared" si="52"/>
        <v>0</v>
      </c>
      <c r="FV16" s="21">
        <f t="shared" si="52"/>
        <v>0</v>
      </c>
      <c r="FW16" s="21">
        <f t="shared" si="52"/>
        <v>0</v>
      </c>
      <c r="FX16" s="21">
        <f t="shared" si="52"/>
        <v>0</v>
      </c>
      <c r="FY16" s="21">
        <f t="shared" si="52"/>
        <v>0</v>
      </c>
      <c r="FZ16" s="21">
        <f t="shared" ref="FZ16:GJ16" si="53">FZ15*42</f>
        <v>0</v>
      </c>
      <c r="GA16" s="21">
        <f t="shared" si="53"/>
        <v>0</v>
      </c>
      <c r="GB16" s="21">
        <f t="shared" si="53"/>
        <v>0</v>
      </c>
      <c r="GC16" s="21">
        <f t="shared" si="53"/>
        <v>0</v>
      </c>
      <c r="GD16" s="21">
        <f t="shared" si="53"/>
        <v>0</v>
      </c>
      <c r="GE16" s="21">
        <f t="shared" si="53"/>
        <v>0</v>
      </c>
      <c r="GF16" s="21">
        <f t="shared" si="53"/>
        <v>0</v>
      </c>
      <c r="GG16" s="21">
        <f t="shared" si="53"/>
        <v>0</v>
      </c>
      <c r="GH16" s="21">
        <f t="shared" si="53"/>
        <v>0</v>
      </c>
      <c r="GI16" s="21">
        <f t="shared" si="53"/>
        <v>0</v>
      </c>
      <c r="GJ16" s="21">
        <f t="shared" si="53"/>
        <v>0</v>
      </c>
      <c r="GK16" s="21">
        <f t="shared" ref="GK16:GT16" si="54">GK15*42</f>
        <v>0</v>
      </c>
      <c r="GL16" s="21">
        <f t="shared" si="54"/>
        <v>0</v>
      </c>
      <c r="GM16" s="21">
        <f t="shared" si="54"/>
        <v>0</v>
      </c>
      <c r="GN16" s="21">
        <f t="shared" si="54"/>
        <v>0</v>
      </c>
      <c r="GO16" s="21">
        <f t="shared" si="54"/>
        <v>0</v>
      </c>
      <c r="GP16" s="21">
        <f t="shared" si="54"/>
        <v>0</v>
      </c>
      <c r="GQ16" s="21">
        <f t="shared" si="54"/>
        <v>0</v>
      </c>
      <c r="GR16" s="21">
        <f t="shared" si="54"/>
        <v>0</v>
      </c>
      <c r="GS16" s="21">
        <f t="shared" si="54"/>
        <v>0</v>
      </c>
      <c r="GT16" s="21">
        <f t="shared" si="54"/>
        <v>0</v>
      </c>
      <c r="GU16" s="21">
        <f t="shared" ref="GU16:GY16" si="55">GU15*42</f>
        <v>0</v>
      </c>
      <c r="GV16" s="21">
        <f t="shared" si="55"/>
        <v>0</v>
      </c>
      <c r="GW16" s="21">
        <f t="shared" si="55"/>
        <v>0</v>
      </c>
      <c r="GX16" s="21">
        <f t="shared" si="55"/>
        <v>0</v>
      </c>
      <c r="GY16" s="21">
        <f t="shared" si="55"/>
        <v>0</v>
      </c>
      <c r="GZ16" s="21">
        <f t="shared" ref="GZ16:HG16" si="56">GZ15*42</f>
        <v>0</v>
      </c>
      <c r="HA16" s="21">
        <f t="shared" si="56"/>
        <v>0</v>
      </c>
      <c r="HB16" s="21">
        <f t="shared" si="56"/>
        <v>0</v>
      </c>
      <c r="HC16" s="21">
        <f t="shared" si="56"/>
        <v>0</v>
      </c>
      <c r="HD16" s="21">
        <f t="shared" si="56"/>
        <v>0</v>
      </c>
      <c r="HE16" s="21">
        <f t="shared" si="56"/>
        <v>0</v>
      </c>
      <c r="HF16" s="21">
        <f t="shared" si="56"/>
        <v>0</v>
      </c>
      <c r="HG16" s="21">
        <f t="shared" si="56"/>
        <v>0</v>
      </c>
      <c r="HH16" s="21">
        <f t="shared" ref="HH16:HQ16" si="57">HH15*42</f>
        <v>0</v>
      </c>
      <c r="HI16" s="21">
        <f t="shared" si="57"/>
        <v>0</v>
      </c>
      <c r="HJ16" s="21">
        <f t="shared" si="57"/>
        <v>0</v>
      </c>
      <c r="HK16" s="21">
        <f t="shared" si="57"/>
        <v>0</v>
      </c>
      <c r="HL16" s="21">
        <f t="shared" si="57"/>
        <v>0</v>
      </c>
      <c r="HM16" s="21">
        <f t="shared" si="57"/>
        <v>0</v>
      </c>
      <c r="HN16" s="21">
        <f t="shared" si="57"/>
        <v>0</v>
      </c>
      <c r="HO16" s="21">
        <f t="shared" si="57"/>
        <v>0</v>
      </c>
      <c r="HP16" s="21">
        <f t="shared" si="57"/>
        <v>0</v>
      </c>
      <c r="HQ16" s="21">
        <f t="shared" si="57"/>
        <v>0</v>
      </c>
      <c r="HR16" s="21">
        <f t="shared" ref="HR16:ID16" si="58">HR15*42</f>
        <v>0</v>
      </c>
      <c r="HS16" s="21">
        <f t="shared" si="58"/>
        <v>0</v>
      </c>
      <c r="HT16" s="21">
        <f t="shared" si="58"/>
        <v>0</v>
      </c>
      <c r="HU16" s="21">
        <f t="shared" si="58"/>
        <v>0</v>
      </c>
      <c r="HV16" s="21">
        <f t="shared" si="58"/>
        <v>0</v>
      </c>
      <c r="HW16" s="21">
        <f t="shared" si="58"/>
        <v>0</v>
      </c>
      <c r="HX16" s="21">
        <f t="shared" si="58"/>
        <v>0</v>
      </c>
      <c r="HY16" s="21">
        <f t="shared" si="58"/>
        <v>0</v>
      </c>
      <c r="HZ16" s="21">
        <f t="shared" si="58"/>
        <v>0</v>
      </c>
      <c r="IA16" s="21">
        <f t="shared" si="58"/>
        <v>0</v>
      </c>
      <c r="IB16" s="21">
        <f t="shared" si="58"/>
        <v>0</v>
      </c>
      <c r="IC16" s="21">
        <f t="shared" si="58"/>
        <v>0</v>
      </c>
      <c r="ID16" s="21">
        <f t="shared" si="58"/>
        <v>0</v>
      </c>
    </row>
    <row r="17" spans="1:238" s="1" customFormat="1" x14ac:dyDescent="0.35">
      <c r="A17" s="1" t="s">
        <v>107</v>
      </c>
      <c r="AF17" s="2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2"/>
      <c r="CG17" s="12"/>
      <c r="CH17" s="12"/>
      <c r="CI17" s="12"/>
      <c r="CJ17" s="12"/>
      <c r="CK17" s="12"/>
      <c r="CL17" s="12"/>
      <c r="CM17" s="12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>
        <v>1</v>
      </c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</row>
    <row r="18" spans="1:238" s="20" customFormat="1" x14ac:dyDescent="0.35">
      <c r="A18" s="20" t="s">
        <v>41</v>
      </c>
      <c r="AF18" s="24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>
        <f>EM17*42</f>
        <v>42</v>
      </c>
      <c r="EN18" s="21">
        <f t="shared" ref="EN18:EU18" si="59">EN17*42</f>
        <v>0</v>
      </c>
      <c r="EO18" s="21">
        <f t="shared" si="59"/>
        <v>0</v>
      </c>
      <c r="EP18" s="21">
        <f t="shared" si="59"/>
        <v>0</v>
      </c>
      <c r="EQ18" s="21">
        <f t="shared" si="59"/>
        <v>0</v>
      </c>
      <c r="ER18" s="21">
        <f t="shared" si="59"/>
        <v>0</v>
      </c>
      <c r="ES18" s="21">
        <f t="shared" si="59"/>
        <v>0</v>
      </c>
      <c r="ET18" s="21">
        <f t="shared" si="59"/>
        <v>0</v>
      </c>
      <c r="EU18" s="21">
        <f t="shared" si="59"/>
        <v>0</v>
      </c>
      <c r="EV18" s="21">
        <f t="shared" ref="EV18:FF18" si="60">EV17*42</f>
        <v>0</v>
      </c>
      <c r="EW18" s="21">
        <f t="shared" si="60"/>
        <v>0</v>
      </c>
      <c r="EX18" s="21">
        <f t="shared" si="60"/>
        <v>0</v>
      </c>
      <c r="EY18" s="21">
        <f t="shared" si="60"/>
        <v>0</v>
      </c>
      <c r="EZ18" s="21">
        <f t="shared" si="60"/>
        <v>0</v>
      </c>
      <c r="FA18" s="21">
        <f t="shared" si="60"/>
        <v>0</v>
      </c>
      <c r="FB18" s="21">
        <f t="shared" si="60"/>
        <v>0</v>
      </c>
      <c r="FC18" s="21">
        <f t="shared" si="60"/>
        <v>0</v>
      </c>
      <c r="FD18" s="21">
        <f t="shared" si="60"/>
        <v>0</v>
      </c>
      <c r="FE18" s="21">
        <f t="shared" si="60"/>
        <v>0</v>
      </c>
      <c r="FF18" s="21">
        <f t="shared" si="60"/>
        <v>0</v>
      </c>
      <c r="FG18" s="21">
        <f t="shared" ref="FG18:FP18" si="61">FG17*42</f>
        <v>0</v>
      </c>
      <c r="FH18" s="21">
        <f t="shared" si="61"/>
        <v>0</v>
      </c>
      <c r="FI18" s="21">
        <f t="shared" si="61"/>
        <v>0</v>
      </c>
      <c r="FJ18" s="21">
        <f t="shared" si="61"/>
        <v>0</v>
      </c>
      <c r="FK18" s="21">
        <f t="shared" si="61"/>
        <v>0</v>
      </c>
      <c r="FL18" s="21">
        <f t="shared" si="61"/>
        <v>0</v>
      </c>
      <c r="FM18" s="21">
        <f t="shared" si="61"/>
        <v>0</v>
      </c>
      <c r="FN18" s="21">
        <f t="shared" si="61"/>
        <v>0</v>
      </c>
      <c r="FO18" s="21">
        <f t="shared" si="61"/>
        <v>0</v>
      </c>
      <c r="FP18" s="21">
        <f t="shared" si="61"/>
        <v>0</v>
      </c>
      <c r="FQ18" s="21">
        <f t="shared" ref="FQ18:FY18" si="62">FQ17*42</f>
        <v>0</v>
      </c>
      <c r="FR18" s="21">
        <f t="shared" si="62"/>
        <v>0</v>
      </c>
      <c r="FS18" s="21">
        <f t="shared" si="62"/>
        <v>0</v>
      </c>
      <c r="FT18" s="21">
        <f t="shared" si="62"/>
        <v>0</v>
      </c>
      <c r="FU18" s="21">
        <f t="shared" si="62"/>
        <v>0</v>
      </c>
      <c r="FV18" s="21">
        <f t="shared" si="62"/>
        <v>0</v>
      </c>
      <c r="FW18" s="21">
        <f t="shared" si="62"/>
        <v>0</v>
      </c>
      <c r="FX18" s="21">
        <f t="shared" si="62"/>
        <v>0</v>
      </c>
      <c r="FY18" s="21">
        <f t="shared" si="62"/>
        <v>0</v>
      </c>
      <c r="FZ18" s="21">
        <f t="shared" ref="FZ18:GJ18" si="63">FZ17*42</f>
        <v>0</v>
      </c>
      <c r="GA18" s="21">
        <f t="shared" si="63"/>
        <v>0</v>
      </c>
      <c r="GB18" s="21">
        <f t="shared" si="63"/>
        <v>0</v>
      </c>
      <c r="GC18" s="21">
        <f t="shared" si="63"/>
        <v>0</v>
      </c>
      <c r="GD18" s="21">
        <f t="shared" si="63"/>
        <v>0</v>
      </c>
      <c r="GE18" s="21">
        <f t="shared" si="63"/>
        <v>0</v>
      </c>
      <c r="GF18" s="21">
        <f t="shared" si="63"/>
        <v>0</v>
      </c>
      <c r="GG18" s="21">
        <f t="shared" si="63"/>
        <v>0</v>
      </c>
      <c r="GH18" s="21">
        <f t="shared" si="63"/>
        <v>0</v>
      </c>
      <c r="GI18" s="21">
        <f t="shared" si="63"/>
        <v>0</v>
      </c>
      <c r="GJ18" s="21">
        <f t="shared" si="63"/>
        <v>0</v>
      </c>
      <c r="GK18" s="21">
        <f t="shared" ref="GK18:GT18" si="64">GK17*42</f>
        <v>0</v>
      </c>
      <c r="GL18" s="21">
        <f t="shared" si="64"/>
        <v>0</v>
      </c>
      <c r="GM18" s="21">
        <f t="shared" si="64"/>
        <v>0</v>
      </c>
      <c r="GN18" s="21">
        <f t="shared" si="64"/>
        <v>0</v>
      </c>
      <c r="GO18" s="21">
        <f t="shared" si="64"/>
        <v>0</v>
      </c>
      <c r="GP18" s="21">
        <f t="shared" si="64"/>
        <v>0</v>
      </c>
      <c r="GQ18" s="21">
        <f t="shared" si="64"/>
        <v>0</v>
      </c>
      <c r="GR18" s="21">
        <f t="shared" si="64"/>
        <v>0</v>
      </c>
      <c r="GS18" s="21">
        <f t="shared" si="64"/>
        <v>0</v>
      </c>
      <c r="GT18" s="21">
        <f t="shared" si="64"/>
        <v>0</v>
      </c>
      <c r="GU18" s="21">
        <f t="shared" ref="GU18:GY18" si="65">GU17*42</f>
        <v>0</v>
      </c>
      <c r="GV18" s="21">
        <f t="shared" si="65"/>
        <v>0</v>
      </c>
      <c r="GW18" s="21">
        <f t="shared" si="65"/>
        <v>0</v>
      </c>
      <c r="GX18" s="21">
        <f t="shared" si="65"/>
        <v>0</v>
      </c>
      <c r="GY18" s="21">
        <f t="shared" si="65"/>
        <v>0</v>
      </c>
      <c r="GZ18" s="21">
        <f t="shared" ref="GZ18:HG18" si="66">GZ17*42</f>
        <v>0</v>
      </c>
      <c r="HA18" s="21">
        <f t="shared" si="66"/>
        <v>0</v>
      </c>
      <c r="HB18" s="21">
        <f t="shared" si="66"/>
        <v>0</v>
      </c>
      <c r="HC18" s="21">
        <f t="shared" si="66"/>
        <v>0</v>
      </c>
      <c r="HD18" s="21">
        <f t="shared" si="66"/>
        <v>0</v>
      </c>
      <c r="HE18" s="21">
        <f t="shared" si="66"/>
        <v>0</v>
      </c>
      <c r="HF18" s="21">
        <f t="shared" si="66"/>
        <v>0</v>
      </c>
      <c r="HG18" s="21">
        <f t="shared" si="66"/>
        <v>0</v>
      </c>
      <c r="HH18" s="21">
        <f t="shared" ref="HH18:HQ18" si="67">HH17*42</f>
        <v>0</v>
      </c>
      <c r="HI18" s="21">
        <f t="shared" si="67"/>
        <v>0</v>
      </c>
      <c r="HJ18" s="21">
        <f t="shared" si="67"/>
        <v>0</v>
      </c>
      <c r="HK18" s="21">
        <f t="shared" si="67"/>
        <v>0</v>
      </c>
      <c r="HL18" s="21">
        <f t="shared" si="67"/>
        <v>0</v>
      </c>
      <c r="HM18" s="21">
        <f t="shared" si="67"/>
        <v>0</v>
      </c>
      <c r="HN18" s="21">
        <f t="shared" si="67"/>
        <v>0</v>
      </c>
      <c r="HO18" s="21">
        <f t="shared" si="67"/>
        <v>0</v>
      </c>
      <c r="HP18" s="21">
        <f t="shared" si="67"/>
        <v>0</v>
      </c>
      <c r="HQ18" s="21">
        <f t="shared" si="67"/>
        <v>0</v>
      </c>
      <c r="HR18" s="21">
        <f t="shared" ref="HR18:ID18" si="68">HR17*42</f>
        <v>0</v>
      </c>
      <c r="HS18" s="21">
        <f t="shared" si="68"/>
        <v>0</v>
      </c>
      <c r="HT18" s="21">
        <f t="shared" si="68"/>
        <v>0</v>
      </c>
      <c r="HU18" s="21">
        <f t="shared" si="68"/>
        <v>0</v>
      </c>
      <c r="HV18" s="21">
        <f t="shared" si="68"/>
        <v>0</v>
      </c>
      <c r="HW18" s="21">
        <f t="shared" si="68"/>
        <v>0</v>
      </c>
      <c r="HX18" s="21">
        <f t="shared" si="68"/>
        <v>0</v>
      </c>
      <c r="HY18" s="21">
        <f t="shared" si="68"/>
        <v>0</v>
      </c>
      <c r="HZ18" s="21">
        <f t="shared" si="68"/>
        <v>0</v>
      </c>
      <c r="IA18" s="21">
        <f t="shared" si="68"/>
        <v>0</v>
      </c>
      <c r="IB18" s="21">
        <f t="shared" si="68"/>
        <v>0</v>
      </c>
      <c r="IC18" s="21">
        <f t="shared" si="68"/>
        <v>0</v>
      </c>
      <c r="ID18" s="21">
        <f t="shared" si="68"/>
        <v>0</v>
      </c>
    </row>
    <row r="19" spans="1:238" s="10" customFormat="1" x14ac:dyDescent="0.35">
      <c r="A19" s="10" t="s">
        <v>68</v>
      </c>
      <c r="B19" s="10">
        <f t="shared" ref="B19:X19" si="69">B13*42</f>
        <v>252</v>
      </c>
      <c r="C19" s="10">
        <f t="shared" si="69"/>
        <v>210</v>
      </c>
      <c r="D19" s="10">
        <f t="shared" si="69"/>
        <v>0</v>
      </c>
      <c r="E19" s="10">
        <f t="shared" si="69"/>
        <v>0</v>
      </c>
      <c r="F19" s="10">
        <f t="shared" si="69"/>
        <v>0</v>
      </c>
      <c r="G19" s="10">
        <f t="shared" si="69"/>
        <v>336</v>
      </c>
      <c r="H19" s="10">
        <f t="shared" si="69"/>
        <v>210</v>
      </c>
      <c r="I19" s="10">
        <f t="shared" si="69"/>
        <v>252</v>
      </c>
      <c r="J19" s="10">
        <f t="shared" si="69"/>
        <v>168</v>
      </c>
      <c r="K19" s="10">
        <f t="shared" si="69"/>
        <v>168</v>
      </c>
      <c r="L19" s="10">
        <f t="shared" si="69"/>
        <v>168</v>
      </c>
      <c r="M19" s="10">
        <f t="shared" si="69"/>
        <v>168</v>
      </c>
      <c r="N19" s="10">
        <f t="shared" si="69"/>
        <v>168</v>
      </c>
      <c r="O19" s="10">
        <f t="shared" si="69"/>
        <v>168</v>
      </c>
      <c r="P19" s="10">
        <f t="shared" si="69"/>
        <v>168</v>
      </c>
      <c r="Q19" s="10">
        <f t="shared" si="69"/>
        <v>168</v>
      </c>
      <c r="R19" s="10">
        <f t="shared" si="69"/>
        <v>42</v>
      </c>
      <c r="S19" s="10">
        <f t="shared" si="69"/>
        <v>42</v>
      </c>
      <c r="T19" s="10">
        <f t="shared" si="69"/>
        <v>42</v>
      </c>
      <c r="U19" s="10">
        <f t="shared" si="69"/>
        <v>42</v>
      </c>
      <c r="V19" s="10">
        <f t="shared" si="69"/>
        <v>42</v>
      </c>
      <c r="W19" s="10">
        <f t="shared" si="69"/>
        <v>42</v>
      </c>
      <c r="X19" s="10">
        <f t="shared" si="69"/>
        <v>42</v>
      </c>
      <c r="Y19" s="10">
        <f t="shared" ref="Y19:AE19" si="70">Y13*42+Y15*42</f>
        <v>126</v>
      </c>
      <c r="Z19" s="10">
        <f t="shared" si="70"/>
        <v>168</v>
      </c>
      <c r="AA19" s="10">
        <f t="shared" si="70"/>
        <v>168</v>
      </c>
      <c r="AB19" s="10">
        <f t="shared" si="70"/>
        <v>126</v>
      </c>
      <c r="AC19" s="10">
        <f t="shared" si="70"/>
        <v>126</v>
      </c>
      <c r="AD19" s="10">
        <f t="shared" si="70"/>
        <v>168</v>
      </c>
      <c r="AE19" s="10">
        <f t="shared" si="70"/>
        <v>168</v>
      </c>
      <c r="AF19" s="24"/>
      <c r="AG19" s="10">
        <f t="shared" ref="AG19:BR19" si="71">AG13*42+AG15*42</f>
        <v>84</v>
      </c>
      <c r="AH19" s="10">
        <f t="shared" si="71"/>
        <v>84</v>
      </c>
      <c r="AI19" s="10">
        <f t="shared" si="71"/>
        <v>84</v>
      </c>
      <c r="AJ19" s="10">
        <f t="shared" si="71"/>
        <v>168</v>
      </c>
      <c r="AK19" s="10">
        <f t="shared" si="71"/>
        <v>168</v>
      </c>
      <c r="AL19" s="10">
        <f t="shared" si="71"/>
        <v>168</v>
      </c>
      <c r="AM19" s="10">
        <f t="shared" si="71"/>
        <v>84</v>
      </c>
      <c r="AN19" s="10">
        <f t="shared" si="71"/>
        <v>84</v>
      </c>
      <c r="AO19" s="10">
        <f t="shared" si="71"/>
        <v>84</v>
      </c>
      <c r="AP19" s="10">
        <f t="shared" si="71"/>
        <v>0</v>
      </c>
      <c r="AQ19" s="10">
        <f t="shared" si="71"/>
        <v>84</v>
      </c>
      <c r="AR19" s="10">
        <f t="shared" si="71"/>
        <v>42</v>
      </c>
      <c r="AS19" s="10">
        <f t="shared" si="71"/>
        <v>0</v>
      </c>
      <c r="AT19" s="10">
        <f t="shared" si="71"/>
        <v>0</v>
      </c>
      <c r="AU19" s="10">
        <f t="shared" si="71"/>
        <v>0</v>
      </c>
      <c r="AV19" s="10">
        <f t="shared" si="71"/>
        <v>0</v>
      </c>
      <c r="AW19" s="10">
        <f t="shared" si="71"/>
        <v>168</v>
      </c>
      <c r="AX19" s="10">
        <f t="shared" si="71"/>
        <v>168</v>
      </c>
      <c r="AY19" s="10">
        <f t="shared" si="71"/>
        <v>168</v>
      </c>
      <c r="AZ19" s="10">
        <f t="shared" si="71"/>
        <v>168</v>
      </c>
      <c r="BA19" s="10">
        <f t="shared" si="71"/>
        <v>168</v>
      </c>
      <c r="BB19" s="10">
        <f t="shared" si="71"/>
        <v>252</v>
      </c>
      <c r="BC19" s="10">
        <f t="shared" si="71"/>
        <v>252</v>
      </c>
      <c r="BD19" s="10">
        <f t="shared" si="71"/>
        <v>252</v>
      </c>
      <c r="BE19" s="10">
        <f t="shared" si="71"/>
        <v>252</v>
      </c>
      <c r="BF19" s="10">
        <f t="shared" si="71"/>
        <v>252</v>
      </c>
      <c r="BG19" s="10">
        <f t="shared" si="71"/>
        <v>168</v>
      </c>
      <c r="BH19" s="10">
        <f t="shared" si="71"/>
        <v>168</v>
      </c>
      <c r="BI19" s="10">
        <f t="shared" si="71"/>
        <v>84</v>
      </c>
      <c r="BJ19" s="10">
        <f t="shared" si="71"/>
        <v>84</v>
      </c>
      <c r="BK19" s="10">
        <f t="shared" si="71"/>
        <v>84</v>
      </c>
      <c r="BL19" s="10">
        <f t="shared" si="71"/>
        <v>84</v>
      </c>
      <c r="BM19" s="10">
        <f t="shared" si="71"/>
        <v>84</v>
      </c>
      <c r="BN19" s="10">
        <f t="shared" si="71"/>
        <v>84</v>
      </c>
      <c r="BO19" s="10">
        <f t="shared" si="71"/>
        <v>168</v>
      </c>
      <c r="BP19" s="10">
        <f t="shared" si="71"/>
        <v>84</v>
      </c>
      <c r="BQ19" s="10">
        <f t="shared" si="71"/>
        <v>84</v>
      </c>
      <c r="BR19" s="10">
        <f t="shared" si="71"/>
        <v>84</v>
      </c>
      <c r="BS19" s="22">
        <f t="shared" ref="BS19:CX19" si="72">SUM(BS14,BS16)</f>
        <v>84</v>
      </c>
      <c r="BT19" s="22">
        <f t="shared" si="72"/>
        <v>84</v>
      </c>
      <c r="BU19" s="22">
        <f t="shared" si="72"/>
        <v>84</v>
      </c>
      <c r="BV19" s="22">
        <f t="shared" si="72"/>
        <v>84</v>
      </c>
      <c r="BW19" s="22">
        <f t="shared" si="72"/>
        <v>84</v>
      </c>
      <c r="BX19" s="22">
        <f t="shared" si="72"/>
        <v>84</v>
      </c>
      <c r="BY19" s="22">
        <f t="shared" si="72"/>
        <v>42</v>
      </c>
      <c r="BZ19" s="22">
        <f t="shared" si="72"/>
        <v>0</v>
      </c>
      <c r="CA19" s="22">
        <f t="shared" si="72"/>
        <v>0</v>
      </c>
      <c r="CB19" s="22">
        <f t="shared" si="72"/>
        <v>42</v>
      </c>
      <c r="CC19" s="22">
        <f t="shared" si="72"/>
        <v>0</v>
      </c>
      <c r="CD19" s="22">
        <f t="shared" si="72"/>
        <v>84</v>
      </c>
      <c r="CE19" s="22">
        <f t="shared" si="72"/>
        <v>84</v>
      </c>
      <c r="CF19" s="22">
        <f t="shared" si="72"/>
        <v>84</v>
      </c>
      <c r="CG19" s="22">
        <f t="shared" si="72"/>
        <v>168</v>
      </c>
      <c r="CH19" s="22">
        <f t="shared" si="72"/>
        <v>168</v>
      </c>
      <c r="CI19" s="22">
        <f t="shared" si="72"/>
        <v>168</v>
      </c>
      <c r="CJ19" s="22">
        <f t="shared" si="72"/>
        <v>168</v>
      </c>
      <c r="CK19" s="22">
        <f t="shared" si="72"/>
        <v>168</v>
      </c>
      <c r="CL19" s="22">
        <f t="shared" si="72"/>
        <v>168</v>
      </c>
      <c r="CM19" s="22">
        <f t="shared" si="72"/>
        <v>168</v>
      </c>
      <c r="CN19" s="22">
        <f t="shared" si="72"/>
        <v>84</v>
      </c>
      <c r="CO19" s="22">
        <f t="shared" si="72"/>
        <v>84</v>
      </c>
      <c r="CP19" s="22">
        <f t="shared" si="72"/>
        <v>84</v>
      </c>
      <c r="CQ19" s="22">
        <f t="shared" si="72"/>
        <v>84</v>
      </c>
      <c r="CR19" s="22">
        <f t="shared" si="72"/>
        <v>168</v>
      </c>
      <c r="CS19" s="22">
        <f t="shared" si="72"/>
        <v>168</v>
      </c>
      <c r="CT19" s="22">
        <f t="shared" si="72"/>
        <v>168</v>
      </c>
      <c r="CU19" s="22">
        <f t="shared" si="72"/>
        <v>168</v>
      </c>
      <c r="CV19" s="22">
        <f t="shared" si="72"/>
        <v>168</v>
      </c>
      <c r="CW19" s="22">
        <f t="shared" si="72"/>
        <v>168</v>
      </c>
      <c r="CX19" s="22">
        <f t="shared" si="72"/>
        <v>84</v>
      </c>
      <c r="CY19" s="22">
        <f t="shared" ref="CY19:ED19" si="73">SUM(CY14,CY16)</f>
        <v>0</v>
      </c>
      <c r="CZ19" s="22">
        <f t="shared" si="73"/>
        <v>84</v>
      </c>
      <c r="DA19" s="22">
        <f t="shared" si="73"/>
        <v>84</v>
      </c>
      <c r="DB19" s="22">
        <f t="shared" si="73"/>
        <v>84</v>
      </c>
      <c r="DC19" s="22">
        <f t="shared" si="73"/>
        <v>84</v>
      </c>
      <c r="DD19" s="22">
        <f t="shared" si="73"/>
        <v>0</v>
      </c>
      <c r="DE19" s="22">
        <f t="shared" si="73"/>
        <v>84</v>
      </c>
      <c r="DF19" s="22">
        <f t="shared" si="73"/>
        <v>84</v>
      </c>
      <c r="DG19" s="22">
        <f t="shared" si="73"/>
        <v>84</v>
      </c>
      <c r="DH19" s="22">
        <f t="shared" si="73"/>
        <v>84</v>
      </c>
      <c r="DI19" s="22">
        <f t="shared" si="73"/>
        <v>0</v>
      </c>
      <c r="DJ19" s="22">
        <f t="shared" si="73"/>
        <v>0</v>
      </c>
      <c r="DK19" s="22">
        <f t="shared" si="73"/>
        <v>84</v>
      </c>
      <c r="DL19" s="22">
        <f t="shared" si="73"/>
        <v>84</v>
      </c>
      <c r="DM19" s="22">
        <f t="shared" si="73"/>
        <v>0</v>
      </c>
      <c r="DN19" s="22">
        <f t="shared" si="73"/>
        <v>0</v>
      </c>
      <c r="DO19" s="22">
        <f t="shared" si="73"/>
        <v>0</v>
      </c>
      <c r="DP19" s="22">
        <f t="shared" si="73"/>
        <v>0</v>
      </c>
      <c r="DQ19" s="22">
        <f t="shared" si="73"/>
        <v>0</v>
      </c>
      <c r="DR19" s="22">
        <f t="shared" si="73"/>
        <v>0</v>
      </c>
      <c r="DS19" s="22">
        <f t="shared" si="73"/>
        <v>0</v>
      </c>
      <c r="DT19" s="22">
        <f t="shared" si="73"/>
        <v>0</v>
      </c>
      <c r="DU19" s="22">
        <f t="shared" si="73"/>
        <v>0</v>
      </c>
      <c r="DV19" s="22">
        <f t="shared" si="73"/>
        <v>0</v>
      </c>
      <c r="DW19" s="22">
        <f t="shared" si="73"/>
        <v>0</v>
      </c>
      <c r="DX19" s="22">
        <f t="shared" si="73"/>
        <v>0</v>
      </c>
      <c r="DY19" s="22">
        <f t="shared" si="73"/>
        <v>0</v>
      </c>
      <c r="DZ19" s="22">
        <f t="shared" si="73"/>
        <v>0</v>
      </c>
      <c r="EA19" s="22">
        <f t="shared" si="73"/>
        <v>0</v>
      </c>
      <c r="EB19" s="22">
        <f t="shared" si="73"/>
        <v>0</v>
      </c>
      <c r="EC19" s="22">
        <f t="shared" si="73"/>
        <v>0</v>
      </c>
      <c r="ED19" s="22">
        <f t="shared" si="73"/>
        <v>0</v>
      </c>
      <c r="EE19" s="22">
        <f t="shared" ref="EE19:EL19" si="74">SUM(EE14,EE16)</f>
        <v>0</v>
      </c>
      <c r="EF19" s="22">
        <f t="shared" si="74"/>
        <v>0</v>
      </c>
      <c r="EG19" s="22">
        <f t="shared" si="74"/>
        <v>0</v>
      </c>
      <c r="EH19" s="22">
        <f t="shared" si="74"/>
        <v>0</v>
      </c>
      <c r="EI19" s="22">
        <f t="shared" si="74"/>
        <v>0</v>
      </c>
      <c r="EJ19" s="22">
        <f t="shared" si="74"/>
        <v>0</v>
      </c>
      <c r="EK19" s="22">
        <f t="shared" si="74"/>
        <v>0</v>
      </c>
      <c r="EL19" s="22">
        <f t="shared" si="74"/>
        <v>0</v>
      </c>
      <c r="EM19" s="22">
        <f>SUM(EM14,EM16,EM18)</f>
        <v>84</v>
      </c>
      <c r="EN19" s="22">
        <f t="shared" ref="EN19:EU19" si="75">SUM(EN14,EN16,EN18)</f>
        <v>84</v>
      </c>
      <c r="EO19" s="22">
        <f t="shared" si="75"/>
        <v>84</v>
      </c>
      <c r="EP19" s="22">
        <f t="shared" si="75"/>
        <v>84</v>
      </c>
      <c r="EQ19" s="22">
        <f t="shared" si="75"/>
        <v>0</v>
      </c>
      <c r="ER19" s="22">
        <f t="shared" si="75"/>
        <v>42</v>
      </c>
      <c r="ES19" s="22">
        <f t="shared" si="75"/>
        <v>0</v>
      </c>
      <c r="ET19" s="22">
        <f t="shared" si="75"/>
        <v>0</v>
      </c>
      <c r="EU19" s="22">
        <f t="shared" si="75"/>
        <v>0</v>
      </c>
      <c r="EV19" s="22">
        <f t="shared" ref="EV19:FF19" si="76">SUM(EV14,EV16,EV18)</f>
        <v>0</v>
      </c>
      <c r="EW19" s="22">
        <f t="shared" si="76"/>
        <v>0</v>
      </c>
      <c r="EX19" s="22">
        <f t="shared" si="76"/>
        <v>0</v>
      </c>
      <c r="EY19" s="22">
        <f t="shared" si="76"/>
        <v>0</v>
      </c>
      <c r="EZ19" s="22">
        <f t="shared" si="76"/>
        <v>0</v>
      </c>
      <c r="FA19" s="22">
        <f t="shared" si="76"/>
        <v>0</v>
      </c>
      <c r="FB19" s="22">
        <f t="shared" si="76"/>
        <v>0</v>
      </c>
      <c r="FC19" s="22">
        <f t="shared" si="76"/>
        <v>0</v>
      </c>
      <c r="FD19" s="22">
        <f t="shared" si="76"/>
        <v>0</v>
      </c>
      <c r="FE19" s="22">
        <f t="shared" si="76"/>
        <v>0</v>
      </c>
      <c r="FF19" s="22">
        <f t="shared" si="76"/>
        <v>0</v>
      </c>
      <c r="FG19" s="22">
        <f t="shared" ref="FG19:FP19" si="77">SUM(FG14,FG16,FG18)</f>
        <v>0</v>
      </c>
      <c r="FH19" s="22">
        <f t="shared" si="77"/>
        <v>0</v>
      </c>
      <c r="FI19" s="22">
        <f t="shared" si="77"/>
        <v>0</v>
      </c>
      <c r="FJ19" s="22">
        <f t="shared" si="77"/>
        <v>0</v>
      </c>
      <c r="FK19" s="22">
        <f t="shared" si="77"/>
        <v>0</v>
      </c>
      <c r="FL19" s="22">
        <f t="shared" si="77"/>
        <v>0</v>
      </c>
      <c r="FM19" s="22">
        <f t="shared" si="77"/>
        <v>0</v>
      </c>
      <c r="FN19" s="22">
        <f t="shared" si="77"/>
        <v>0</v>
      </c>
      <c r="FO19" s="22">
        <f t="shared" si="77"/>
        <v>0</v>
      </c>
      <c r="FP19" s="22">
        <f t="shared" si="77"/>
        <v>0</v>
      </c>
      <c r="FQ19" s="22">
        <f t="shared" ref="FQ19:FY19" si="78">SUM(FQ14,FQ16,FQ18)</f>
        <v>0</v>
      </c>
      <c r="FR19" s="22">
        <f t="shared" si="78"/>
        <v>0</v>
      </c>
      <c r="FS19" s="22">
        <f t="shared" si="78"/>
        <v>0</v>
      </c>
      <c r="FT19" s="22">
        <f t="shared" si="78"/>
        <v>0</v>
      </c>
      <c r="FU19" s="22">
        <f t="shared" si="78"/>
        <v>0</v>
      </c>
      <c r="FV19" s="22">
        <f t="shared" si="78"/>
        <v>0</v>
      </c>
      <c r="FW19" s="22">
        <f t="shared" si="78"/>
        <v>0</v>
      </c>
      <c r="FX19" s="22">
        <f t="shared" si="78"/>
        <v>0</v>
      </c>
      <c r="FY19" s="22">
        <f t="shared" si="78"/>
        <v>0</v>
      </c>
      <c r="FZ19" s="22">
        <f t="shared" ref="FZ19:GJ19" si="79">SUM(FZ14,FZ16,FZ18)</f>
        <v>0</v>
      </c>
      <c r="GA19" s="22">
        <f t="shared" si="79"/>
        <v>0</v>
      </c>
      <c r="GB19" s="22">
        <f t="shared" si="79"/>
        <v>0</v>
      </c>
      <c r="GC19" s="22">
        <f t="shared" si="79"/>
        <v>0</v>
      </c>
      <c r="GD19" s="22">
        <f t="shared" si="79"/>
        <v>0</v>
      </c>
      <c r="GE19" s="22">
        <f t="shared" si="79"/>
        <v>0</v>
      </c>
      <c r="GF19" s="22">
        <f t="shared" si="79"/>
        <v>0</v>
      </c>
      <c r="GG19" s="22">
        <f t="shared" si="79"/>
        <v>0</v>
      </c>
      <c r="GH19" s="22">
        <f t="shared" si="79"/>
        <v>0</v>
      </c>
      <c r="GI19" s="22">
        <f t="shared" si="79"/>
        <v>0</v>
      </c>
      <c r="GJ19" s="22">
        <f t="shared" si="79"/>
        <v>0</v>
      </c>
      <c r="GK19" s="22">
        <f t="shared" ref="GK19:GT19" si="80">SUM(GK14,GK16,GK18)</f>
        <v>0</v>
      </c>
      <c r="GL19" s="22">
        <f t="shared" si="80"/>
        <v>0</v>
      </c>
      <c r="GM19" s="22">
        <f t="shared" si="80"/>
        <v>0</v>
      </c>
      <c r="GN19" s="22">
        <f t="shared" si="80"/>
        <v>0</v>
      </c>
      <c r="GO19" s="22">
        <f t="shared" si="80"/>
        <v>0</v>
      </c>
      <c r="GP19" s="22">
        <f t="shared" si="80"/>
        <v>0</v>
      </c>
      <c r="GQ19" s="22">
        <f t="shared" si="80"/>
        <v>0</v>
      </c>
      <c r="GR19" s="22">
        <f t="shared" si="80"/>
        <v>0</v>
      </c>
      <c r="GS19" s="22">
        <f t="shared" si="80"/>
        <v>0</v>
      </c>
      <c r="GT19" s="22">
        <f t="shared" si="80"/>
        <v>0</v>
      </c>
      <c r="GU19" s="22">
        <f t="shared" ref="GU19:GY19" si="81">SUM(GU14,GU16,GU18)</f>
        <v>0</v>
      </c>
      <c r="GV19" s="22">
        <f t="shared" si="81"/>
        <v>0</v>
      </c>
      <c r="GW19" s="22">
        <f t="shared" si="81"/>
        <v>0</v>
      </c>
      <c r="GX19" s="22">
        <f t="shared" si="81"/>
        <v>0</v>
      </c>
      <c r="GY19" s="22">
        <f t="shared" si="81"/>
        <v>0</v>
      </c>
      <c r="GZ19" s="22">
        <f t="shared" ref="GZ19:HG19" si="82">SUM(GZ14,GZ16,GZ18)</f>
        <v>0</v>
      </c>
      <c r="HA19" s="22">
        <f t="shared" si="82"/>
        <v>0</v>
      </c>
      <c r="HB19" s="22">
        <f t="shared" si="82"/>
        <v>0</v>
      </c>
      <c r="HC19" s="22">
        <f t="shared" si="82"/>
        <v>0</v>
      </c>
      <c r="HD19" s="22">
        <f t="shared" si="82"/>
        <v>0</v>
      </c>
      <c r="HE19" s="22">
        <f t="shared" si="82"/>
        <v>0</v>
      </c>
      <c r="HF19" s="22">
        <f t="shared" si="82"/>
        <v>0</v>
      </c>
      <c r="HG19" s="22">
        <f t="shared" si="82"/>
        <v>0</v>
      </c>
      <c r="HH19" s="22">
        <f t="shared" ref="HH19:HQ19" si="83">SUM(HH14,HH16,HH18)</f>
        <v>0</v>
      </c>
      <c r="HI19" s="22">
        <f t="shared" si="83"/>
        <v>0</v>
      </c>
      <c r="HJ19" s="22">
        <f t="shared" si="83"/>
        <v>0</v>
      </c>
      <c r="HK19" s="22">
        <f t="shared" si="83"/>
        <v>0</v>
      </c>
      <c r="HL19" s="22">
        <f t="shared" si="83"/>
        <v>0</v>
      </c>
      <c r="HM19" s="22">
        <f t="shared" si="83"/>
        <v>0</v>
      </c>
      <c r="HN19" s="22">
        <f t="shared" si="83"/>
        <v>0</v>
      </c>
      <c r="HO19" s="22">
        <f t="shared" si="83"/>
        <v>0</v>
      </c>
      <c r="HP19" s="22">
        <f t="shared" si="83"/>
        <v>0</v>
      </c>
      <c r="HQ19" s="22">
        <f t="shared" si="83"/>
        <v>0</v>
      </c>
      <c r="HR19" s="22">
        <f t="shared" ref="HR19:ID19" si="84">SUM(HR14,HR16,HR18)</f>
        <v>0</v>
      </c>
      <c r="HS19" s="22">
        <f t="shared" si="84"/>
        <v>0</v>
      </c>
      <c r="HT19" s="22">
        <f t="shared" si="84"/>
        <v>0</v>
      </c>
      <c r="HU19" s="22">
        <f t="shared" si="84"/>
        <v>0</v>
      </c>
      <c r="HV19" s="22">
        <f t="shared" si="84"/>
        <v>0</v>
      </c>
      <c r="HW19" s="22">
        <f t="shared" si="84"/>
        <v>0</v>
      </c>
      <c r="HX19" s="22">
        <f t="shared" si="84"/>
        <v>0</v>
      </c>
      <c r="HY19" s="22">
        <f t="shared" si="84"/>
        <v>0</v>
      </c>
      <c r="HZ19" s="22">
        <f t="shared" si="84"/>
        <v>0</v>
      </c>
      <c r="IA19" s="22">
        <f t="shared" si="84"/>
        <v>0</v>
      </c>
      <c r="IB19" s="22">
        <f t="shared" si="84"/>
        <v>0</v>
      </c>
      <c r="IC19" s="22">
        <f t="shared" si="84"/>
        <v>0</v>
      </c>
      <c r="ID19" s="22">
        <f t="shared" si="84"/>
        <v>0</v>
      </c>
    </row>
    <row r="20" spans="1:238" s="1" customFormat="1" x14ac:dyDescent="0.35">
      <c r="A20" s="1" t="s">
        <v>79</v>
      </c>
      <c r="D20" s="1">
        <v>4</v>
      </c>
      <c r="E20" s="1">
        <v>4</v>
      </c>
      <c r="F20" s="1">
        <v>4</v>
      </c>
      <c r="H20" s="1">
        <v>1</v>
      </c>
      <c r="J20" s="1">
        <v>2</v>
      </c>
      <c r="K20" s="1">
        <v>2</v>
      </c>
      <c r="L20" s="1">
        <v>2</v>
      </c>
      <c r="M20" s="1">
        <v>2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2</v>
      </c>
      <c r="W20" s="1">
        <v>4</v>
      </c>
      <c r="X20" s="1">
        <v>4</v>
      </c>
      <c r="AF20" s="24"/>
      <c r="AL20" s="1">
        <v>2</v>
      </c>
      <c r="AM20" s="1">
        <v>4</v>
      </c>
      <c r="AN20" s="1">
        <v>2</v>
      </c>
      <c r="AO20" s="1">
        <v>2</v>
      </c>
      <c r="AP20" s="1">
        <v>4</v>
      </c>
      <c r="AQ20" s="1">
        <v>2</v>
      </c>
      <c r="AR20" s="1">
        <v>3</v>
      </c>
      <c r="AS20" s="1">
        <v>4</v>
      </c>
      <c r="AT20" s="1">
        <v>4</v>
      </c>
      <c r="AU20" s="1">
        <v>4</v>
      </c>
      <c r="AV20" s="1">
        <v>4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S20" s="14"/>
      <c r="BT20" s="14"/>
      <c r="BU20" s="14"/>
      <c r="BV20" s="14"/>
      <c r="BW20" s="14">
        <v>2</v>
      </c>
      <c r="BX20" s="14"/>
      <c r="BY20" s="14">
        <v>3</v>
      </c>
      <c r="BZ20" s="14">
        <v>4</v>
      </c>
      <c r="CA20" s="14">
        <v>4</v>
      </c>
      <c r="CB20" s="14">
        <v>3</v>
      </c>
      <c r="CC20" s="14">
        <v>4</v>
      </c>
      <c r="CD20" s="12">
        <v>2</v>
      </c>
      <c r="CE20" s="12">
        <v>2</v>
      </c>
      <c r="CF20" s="14"/>
      <c r="CG20" s="14"/>
      <c r="CH20" s="14"/>
      <c r="CI20" s="14"/>
      <c r="CJ20" s="14"/>
      <c r="CK20" s="14"/>
      <c r="CL20" s="14"/>
      <c r="CM20" s="14"/>
      <c r="CN20" s="14">
        <v>1</v>
      </c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>
        <v>2</v>
      </c>
      <c r="CZ20" s="14"/>
      <c r="DA20" s="14"/>
      <c r="DB20" s="14"/>
      <c r="DC20" s="14"/>
      <c r="DD20" s="14">
        <v>2</v>
      </c>
      <c r="DE20" s="14"/>
      <c r="DF20" s="14"/>
      <c r="DG20" s="14"/>
      <c r="DH20" s="14"/>
      <c r="DI20" s="14">
        <v>2</v>
      </c>
      <c r="DJ20" s="14">
        <v>2</v>
      </c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>
        <v>2</v>
      </c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</row>
    <row r="21" spans="1:238" s="20" customFormat="1" x14ac:dyDescent="0.35">
      <c r="A21" s="20" t="s">
        <v>41</v>
      </c>
      <c r="AF21" s="24"/>
      <c r="BS21" s="21">
        <f>BS20*42</f>
        <v>0</v>
      </c>
      <c r="BT21" s="21">
        <f t="shared" ref="BT21:CC21" si="85">BT20*42</f>
        <v>0</v>
      </c>
      <c r="BU21" s="21">
        <f t="shared" si="85"/>
        <v>0</v>
      </c>
      <c r="BV21" s="21">
        <f t="shared" si="85"/>
        <v>0</v>
      </c>
      <c r="BW21" s="21">
        <f t="shared" si="85"/>
        <v>84</v>
      </c>
      <c r="BX21" s="21">
        <f t="shared" si="85"/>
        <v>0</v>
      </c>
      <c r="BY21" s="21">
        <f t="shared" si="85"/>
        <v>126</v>
      </c>
      <c r="BZ21" s="21">
        <f t="shared" si="85"/>
        <v>168</v>
      </c>
      <c r="CA21" s="21">
        <f t="shared" si="85"/>
        <v>168</v>
      </c>
      <c r="CB21" s="21">
        <f t="shared" si="85"/>
        <v>126</v>
      </c>
      <c r="CC21" s="21">
        <f t="shared" si="85"/>
        <v>168</v>
      </c>
      <c r="CD21" s="21">
        <f t="shared" ref="CD21" si="86">CD20*42</f>
        <v>84</v>
      </c>
      <c r="CE21" s="21">
        <f t="shared" ref="CE21" si="87">CE20*42</f>
        <v>84</v>
      </c>
      <c r="CF21" s="21">
        <f t="shared" ref="CF21" si="88">CF20*42</f>
        <v>0</v>
      </c>
      <c r="CG21" s="21">
        <f t="shared" ref="CG21" si="89">CG20*42</f>
        <v>0</v>
      </c>
      <c r="CH21" s="21">
        <f t="shared" ref="CH21" si="90">CH20*42</f>
        <v>0</v>
      </c>
      <c r="CI21" s="21">
        <f t="shared" ref="CI21" si="91">CI20*42</f>
        <v>0</v>
      </c>
      <c r="CJ21" s="21">
        <f t="shared" ref="CJ21" si="92">CJ20*42</f>
        <v>0</v>
      </c>
      <c r="CK21" s="21">
        <f t="shared" ref="CK21:CQ21" si="93">CK20*42</f>
        <v>0</v>
      </c>
      <c r="CL21" s="21">
        <f t="shared" si="93"/>
        <v>0</v>
      </c>
      <c r="CM21" s="21">
        <f t="shared" si="93"/>
        <v>0</v>
      </c>
      <c r="CN21" s="21">
        <f t="shared" si="93"/>
        <v>42</v>
      </c>
      <c r="CO21" s="21">
        <f t="shared" si="93"/>
        <v>0</v>
      </c>
      <c r="CP21" s="21">
        <f t="shared" si="93"/>
        <v>0</v>
      </c>
      <c r="CQ21" s="21">
        <f t="shared" si="93"/>
        <v>0</v>
      </c>
      <c r="CR21" s="21">
        <f t="shared" ref="CR21:CZ23" si="94">CR20*42</f>
        <v>0</v>
      </c>
      <c r="CS21" s="21">
        <f t="shared" si="94"/>
        <v>0</v>
      </c>
      <c r="CT21" s="21">
        <f t="shared" si="94"/>
        <v>0</v>
      </c>
      <c r="CU21" s="21">
        <f t="shared" si="94"/>
        <v>0</v>
      </c>
      <c r="CV21" s="21">
        <f t="shared" si="94"/>
        <v>0</v>
      </c>
      <c r="CW21" s="21">
        <f t="shared" si="94"/>
        <v>0</v>
      </c>
      <c r="CX21" s="21">
        <f t="shared" si="94"/>
        <v>0</v>
      </c>
      <c r="CY21" s="21">
        <f t="shared" si="94"/>
        <v>84</v>
      </c>
      <c r="CZ21" s="21">
        <f t="shared" si="94"/>
        <v>0</v>
      </c>
      <c r="DA21" s="21">
        <f t="shared" ref="DA21:DE21" si="95">DA20*42</f>
        <v>0</v>
      </c>
      <c r="DB21" s="21">
        <f t="shared" si="95"/>
        <v>0</v>
      </c>
      <c r="DC21" s="21">
        <f t="shared" si="95"/>
        <v>0</v>
      </c>
      <c r="DD21" s="21">
        <f t="shared" si="95"/>
        <v>84</v>
      </c>
      <c r="DE21" s="21">
        <f t="shared" si="95"/>
        <v>0</v>
      </c>
      <c r="DF21" s="21">
        <f t="shared" ref="DF21:DJ21" si="96">DF20*42</f>
        <v>0</v>
      </c>
      <c r="DG21" s="21">
        <f t="shared" si="96"/>
        <v>0</v>
      </c>
      <c r="DH21" s="21">
        <f t="shared" si="96"/>
        <v>0</v>
      </c>
      <c r="DI21" s="21">
        <f t="shared" si="96"/>
        <v>84</v>
      </c>
      <c r="DJ21" s="21">
        <f t="shared" si="96"/>
        <v>84</v>
      </c>
      <c r="DK21" s="21">
        <f t="shared" ref="DK21:DN21" si="97">DK20*42</f>
        <v>0</v>
      </c>
      <c r="DL21" s="21">
        <f t="shared" si="97"/>
        <v>0</v>
      </c>
      <c r="DM21" s="21">
        <f t="shared" si="97"/>
        <v>0</v>
      </c>
      <c r="DN21" s="21">
        <f t="shared" si="97"/>
        <v>0</v>
      </c>
      <c r="DO21" s="21">
        <f t="shared" ref="DO21:DT21" si="98">DO20*42</f>
        <v>0</v>
      </c>
      <c r="DP21" s="21">
        <f t="shared" si="98"/>
        <v>0</v>
      </c>
      <c r="DQ21" s="21">
        <f t="shared" si="98"/>
        <v>0</v>
      </c>
      <c r="DR21" s="21">
        <f t="shared" si="98"/>
        <v>0</v>
      </c>
      <c r="DS21" s="21">
        <f t="shared" si="98"/>
        <v>0</v>
      </c>
      <c r="DT21" s="21">
        <f t="shared" si="98"/>
        <v>0</v>
      </c>
      <c r="DU21" s="21">
        <f t="shared" ref="DU21:ED21" si="99">DU20*42</f>
        <v>0</v>
      </c>
      <c r="DV21" s="21">
        <f t="shared" si="99"/>
        <v>0</v>
      </c>
      <c r="DW21" s="21">
        <f t="shared" si="99"/>
        <v>0</v>
      </c>
      <c r="DX21" s="21">
        <f t="shared" si="99"/>
        <v>0</v>
      </c>
      <c r="DY21" s="21">
        <f t="shared" si="99"/>
        <v>0</v>
      </c>
      <c r="DZ21" s="21">
        <f t="shared" si="99"/>
        <v>0</v>
      </c>
      <c r="EA21" s="21">
        <f t="shared" si="99"/>
        <v>0</v>
      </c>
      <c r="EB21" s="21">
        <f t="shared" si="99"/>
        <v>0</v>
      </c>
      <c r="EC21" s="21">
        <f t="shared" si="99"/>
        <v>0</v>
      </c>
      <c r="ED21" s="21">
        <f t="shared" si="99"/>
        <v>0</v>
      </c>
      <c r="EE21" s="21">
        <f t="shared" ref="EE21:EG21" si="100">EE20*42</f>
        <v>0</v>
      </c>
      <c r="EF21" s="21">
        <f t="shared" si="100"/>
        <v>0</v>
      </c>
      <c r="EG21" s="21">
        <f t="shared" si="100"/>
        <v>0</v>
      </c>
      <c r="EH21" s="21">
        <f t="shared" ref="EH21:EO21" si="101">EH20*42</f>
        <v>0</v>
      </c>
      <c r="EI21" s="21">
        <f t="shared" si="101"/>
        <v>0</v>
      </c>
      <c r="EJ21" s="21">
        <f t="shared" si="101"/>
        <v>0</v>
      </c>
      <c r="EK21" s="21">
        <f t="shared" si="101"/>
        <v>0</v>
      </c>
      <c r="EL21" s="21">
        <f t="shared" si="101"/>
        <v>0</v>
      </c>
      <c r="EM21" s="21">
        <f t="shared" si="101"/>
        <v>0</v>
      </c>
      <c r="EN21" s="21">
        <f t="shared" si="101"/>
        <v>0</v>
      </c>
      <c r="EO21" s="21">
        <f t="shared" si="101"/>
        <v>0</v>
      </c>
      <c r="EP21" s="21">
        <f t="shared" ref="EP21:EU21" si="102">EP20*42</f>
        <v>0</v>
      </c>
      <c r="EQ21" s="21">
        <f t="shared" si="102"/>
        <v>0</v>
      </c>
      <c r="ER21" s="21">
        <f t="shared" si="102"/>
        <v>0</v>
      </c>
      <c r="ES21" s="21">
        <f t="shared" si="102"/>
        <v>0</v>
      </c>
      <c r="ET21" s="21">
        <f t="shared" si="102"/>
        <v>0</v>
      </c>
      <c r="EU21" s="21">
        <f t="shared" si="102"/>
        <v>84</v>
      </c>
      <c r="EV21" s="21">
        <f t="shared" ref="EV21:FF21" si="103">EV20*42</f>
        <v>0</v>
      </c>
      <c r="EW21" s="21">
        <f t="shared" si="103"/>
        <v>0</v>
      </c>
      <c r="EX21" s="21">
        <f t="shared" si="103"/>
        <v>0</v>
      </c>
      <c r="EY21" s="21">
        <f t="shared" si="103"/>
        <v>0</v>
      </c>
      <c r="EZ21" s="21">
        <f t="shared" si="103"/>
        <v>0</v>
      </c>
      <c r="FA21" s="21">
        <f t="shared" si="103"/>
        <v>0</v>
      </c>
      <c r="FB21" s="21">
        <f t="shared" si="103"/>
        <v>0</v>
      </c>
      <c r="FC21" s="21">
        <f t="shared" si="103"/>
        <v>0</v>
      </c>
      <c r="FD21" s="21">
        <f t="shared" si="103"/>
        <v>0</v>
      </c>
      <c r="FE21" s="21">
        <f t="shared" si="103"/>
        <v>0</v>
      </c>
      <c r="FF21" s="21">
        <f t="shared" si="103"/>
        <v>0</v>
      </c>
      <c r="FG21" s="21">
        <f t="shared" ref="FG21:FP21" si="104">FG20*42</f>
        <v>0</v>
      </c>
      <c r="FH21" s="21">
        <f t="shared" si="104"/>
        <v>0</v>
      </c>
      <c r="FI21" s="21">
        <f t="shared" si="104"/>
        <v>0</v>
      </c>
      <c r="FJ21" s="21">
        <f t="shared" si="104"/>
        <v>0</v>
      </c>
      <c r="FK21" s="21">
        <f t="shared" si="104"/>
        <v>0</v>
      </c>
      <c r="FL21" s="21">
        <f t="shared" si="104"/>
        <v>0</v>
      </c>
      <c r="FM21" s="21">
        <f t="shared" si="104"/>
        <v>0</v>
      </c>
      <c r="FN21" s="21">
        <f t="shared" si="104"/>
        <v>0</v>
      </c>
      <c r="FO21" s="21">
        <f t="shared" si="104"/>
        <v>0</v>
      </c>
      <c r="FP21" s="21">
        <f t="shared" si="104"/>
        <v>0</v>
      </c>
      <c r="FQ21" s="21">
        <f t="shared" ref="FQ21:FY21" si="105">FQ20*42</f>
        <v>0</v>
      </c>
      <c r="FR21" s="21">
        <f t="shared" si="105"/>
        <v>0</v>
      </c>
      <c r="FS21" s="21">
        <f t="shared" si="105"/>
        <v>0</v>
      </c>
      <c r="FT21" s="21">
        <f t="shared" si="105"/>
        <v>0</v>
      </c>
      <c r="FU21" s="21">
        <f t="shared" si="105"/>
        <v>0</v>
      </c>
      <c r="FV21" s="21">
        <f t="shared" si="105"/>
        <v>0</v>
      </c>
      <c r="FW21" s="21">
        <f t="shared" si="105"/>
        <v>0</v>
      </c>
      <c r="FX21" s="21">
        <f t="shared" si="105"/>
        <v>0</v>
      </c>
      <c r="FY21" s="21">
        <f t="shared" si="105"/>
        <v>0</v>
      </c>
      <c r="FZ21" s="21">
        <f t="shared" ref="FZ21:GJ21" si="106">FZ20*42</f>
        <v>0</v>
      </c>
      <c r="GA21" s="21">
        <f t="shared" si="106"/>
        <v>0</v>
      </c>
      <c r="GB21" s="21">
        <f t="shared" si="106"/>
        <v>0</v>
      </c>
      <c r="GC21" s="21">
        <f t="shared" si="106"/>
        <v>0</v>
      </c>
      <c r="GD21" s="21">
        <f t="shared" si="106"/>
        <v>0</v>
      </c>
      <c r="GE21" s="21">
        <f t="shared" si="106"/>
        <v>0</v>
      </c>
      <c r="GF21" s="21">
        <f t="shared" si="106"/>
        <v>0</v>
      </c>
      <c r="GG21" s="21">
        <f t="shared" si="106"/>
        <v>0</v>
      </c>
      <c r="GH21" s="21">
        <f t="shared" si="106"/>
        <v>0</v>
      </c>
      <c r="GI21" s="21">
        <f t="shared" si="106"/>
        <v>0</v>
      </c>
      <c r="GJ21" s="21">
        <f t="shared" si="106"/>
        <v>0</v>
      </c>
      <c r="GK21" s="21">
        <f t="shared" ref="GK21:GT21" si="107">GK20*42</f>
        <v>0</v>
      </c>
      <c r="GL21" s="21">
        <f t="shared" si="107"/>
        <v>0</v>
      </c>
      <c r="GM21" s="21">
        <f t="shared" si="107"/>
        <v>0</v>
      </c>
      <c r="GN21" s="21">
        <f t="shared" si="107"/>
        <v>0</v>
      </c>
      <c r="GO21" s="21">
        <f t="shared" si="107"/>
        <v>0</v>
      </c>
      <c r="GP21" s="21">
        <f t="shared" si="107"/>
        <v>0</v>
      </c>
      <c r="GQ21" s="21">
        <f t="shared" si="107"/>
        <v>0</v>
      </c>
      <c r="GR21" s="21">
        <f t="shared" si="107"/>
        <v>0</v>
      </c>
      <c r="GS21" s="21">
        <f t="shared" si="107"/>
        <v>0</v>
      </c>
      <c r="GT21" s="21">
        <f t="shared" si="107"/>
        <v>0</v>
      </c>
      <c r="GU21" s="21">
        <f t="shared" ref="GU21:GY21" si="108">GU20*42</f>
        <v>0</v>
      </c>
      <c r="GV21" s="21">
        <f t="shared" si="108"/>
        <v>0</v>
      </c>
      <c r="GW21" s="21">
        <f t="shared" si="108"/>
        <v>0</v>
      </c>
      <c r="GX21" s="21">
        <f t="shared" si="108"/>
        <v>0</v>
      </c>
      <c r="GY21" s="21">
        <f t="shared" si="108"/>
        <v>0</v>
      </c>
      <c r="GZ21" s="21">
        <f t="shared" ref="GZ21:HG21" si="109">GZ20*42</f>
        <v>0</v>
      </c>
      <c r="HA21" s="21">
        <f t="shared" si="109"/>
        <v>0</v>
      </c>
      <c r="HB21" s="21">
        <f t="shared" si="109"/>
        <v>0</v>
      </c>
      <c r="HC21" s="21">
        <f t="shared" si="109"/>
        <v>0</v>
      </c>
      <c r="HD21" s="21">
        <f t="shared" si="109"/>
        <v>0</v>
      </c>
      <c r="HE21" s="21">
        <f t="shared" si="109"/>
        <v>0</v>
      </c>
      <c r="HF21" s="21">
        <f t="shared" si="109"/>
        <v>0</v>
      </c>
      <c r="HG21" s="21">
        <f t="shared" si="109"/>
        <v>0</v>
      </c>
      <c r="HH21" s="21">
        <f t="shared" ref="HH21:HQ21" si="110">HH20*42</f>
        <v>0</v>
      </c>
      <c r="HI21" s="21">
        <f t="shared" si="110"/>
        <v>0</v>
      </c>
      <c r="HJ21" s="21">
        <f t="shared" si="110"/>
        <v>0</v>
      </c>
      <c r="HK21" s="21">
        <f t="shared" si="110"/>
        <v>0</v>
      </c>
      <c r="HL21" s="21">
        <f t="shared" si="110"/>
        <v>0</v>
      </c>
      <c r="HM21" s="21">
        <f t="shared" si="110"/>
        <v>0</v>
      </c>
      <c r="HN21" s="21">
        <f t="shared" si="110"/>
        <v>0</v>
      </c>
      <c r="HO21" s="21">
        <f t="shared" si="110"/>
        <v>0</v>
      </c>
      <c r="HP21" s="21">
        <f t="shared" si="110"/>
        <v>0</v>
      </c>
      <c r="HQ21" s="21">
        <f t="shared" si="110"/>
        <v>0</v>
      </c>
      <c r="HR21" s="21">
        <f t="shared" ref="HR21:ID21" si="111">HR20*42</f>
        <v>0</v>
      </c>
      <c r="HS21" s="21">
        <f t="shared" si="111"/>
        <v>0</v>
      </c>
      <c r="HT21" s="21">
        <f t="shared" si="111"/>
        <v>0</v>
      </c>
      <c r="HU21" s="21">
        <f t="shared" si="111"/>
        <v>0</v>
      </c>
      <c r="HV21" s="21">
        <f t="shared" si="111"/>
        <v>0</v>
      </c>
      <c r="HW21" s="21">
        <f t="shared" si="111"/>
        <v>0</v>
      </c>
      <c r="HX21" s="21">
        <f t="shared" si="111"/>
        <v>0</v>
      </c>
      <c r="HY21" s="21">
        <f t="shared" si="111"/>
        <v>0</v>
      </c>
      <c r="HZ21" s="21">
        <f t="shared" si="111"/>
        <v>0</v>
      </c>
      <c r="IA21" s="21">
        <f t="shared" si="111"/>
        <v>0</v>
      </c>
      <c r="IB21" s="21">
        <f t="shared" si="111"/>
        <v>0</v>
      </c>
      <c r="IC21" s="21">
        <f t="shared" si="111"/>
        <v>0</v>
      </c>
      <c r="ID21" s="21">
        <f t="shared" si="111"/>
        <v>0</v>
      </c>
    </row>
    <row r="22" spans="1:238" s="1" customFormat="1" x14ac:dyDescent="0.35">
      <c r="A22" s="1" t="s">
        <v>80</v>
      </c>
      <c r="AF22" s="2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</row>
    <row r="23" spans="1:238" s="20" customFormat="1" x14ac:dyDescent="0.35">
      <c r="A23" s="20" t="s">
        <v>41</v>
      </c>
      <c r="AF23" s="24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>
        <f t="shared" si="94"/>
        <v>0</v>
      </c>
      <c r="CS23" s="21">
        <f t="shared" si="94"/>
        <v>0</v>
      </c>
      <c r="CT23" s="21">
        <f t="shared" si="94"/>
        <v>0</v>
      </c>
      <c r="CU23" s="21">
        <f t="shared" si="94"/>
        <v>0</v>
      </c>
      <c r="CV23" s="21">
        <f t="shared" si="94"/>
        <v>0</v>
      </c>
      <c r="CW23" s="21">
        <f t="shared" si="94"/>
        <v>0</v>
      </c>
      <c r="CX23" s="21">
        <f t="shared" si="94"/>
        <v>0</v>
      </c>
      <c r="CY23" s="21">
        <f t="shared" si="94"/>
        <v>0</v>
      </c>
      <c r="CZ23" s="21">
        <f t="shared" si="94"/>
        <v>0</v>
      </c>
      <c r="DA23" s="21">
        <f t="shared" ref="DA23:DE23" si="112">DA22*42</f>
        <v>0</v>
      </c>
      <c r="DB23" s="21">
        <f t="shared" si="112"/>
        <v>0</v>
      </c>
      <c r="DC23" s="21">
        <f t="shared" si="112"/>
        <v>0</v>
      </c>
      <c r="DD23" s="21">
        <f t="shared" si="112"/>
        <v>0</v>
      </c>
      <c r="DE23" s="21">
        <f t="shared" si="112"/>
        <v>0</v>
      </c>
      <c r="DF23" s="21">
        <f t="shared" ref="DF23:DJ23" si="113">DF22*42</f>
        <v>0</v>
      </c>
      <c r="DG23" s="21">
        <f t="shared" si="113"/>
        <v>0</v>
      </c>
      <c r="DH23" s="21">
        <f t="shared" si="113"/>
        <v>0</v>
      </c>
      <c r="DI23" s="21">
        <f t="shared" si="113"/>
        <v>0</v>
      </c>
      <c r="DJ23" s="21">
        <f t="shared" si="113"/>
        <v>0</v>
      </c>
      <c r="DK23" s="21">
        <f t="shared" ref="DK23:DN23" si="114">DK22*42</f>
        <v>0</v>
      </c>
      <c r="DL23" s="21">
        <f t="shared" si="114"/>
        <v>0</v>
      </c>
      <c r="DM23" s="21">
        <f t="shared" si="114"/>
        <v>0</v>
      </c>
      <c r="DN23" s="21">
        <f t="shared" si="114"/>
        <v>0</v>
      </c>
      <c r="DO23" s="21">
        <f t="shared" ref="DO23:DT23" si="115">DO22*42</f>
        <v>0</v>
      </c>
      <c r="DP23" s="21">
        <f t="shared" si="115"/>
        <v>0</v>
      </c>
      <c r="DQ23" s="21">
        <f t="shared" si="115"/>
        <v>0</v>
      </c>
      <c r="DR23" s="21">
        <f t="shared" si="115"/>
        <v>0</v>
      </c>
      <c r="DS23" s="21">
        <f t="shared" si="115"/>
        <v>0</v>
      </c>
      <c r="DT23" s="21">
        <f t="shared" si="115"/>
        <v>0</v>
      </c>
      <c r="DU23" s="21">
        <f t="shared" ref="DU23:ED23" si="116">DU22*42</f>
        <v>0</v>
      </c>
      <c r="DV23" s="21">
        <f t="shared" si="116"/>
        <v>0</v>
      </c>
      <c r="DW23" s="21">
        <f t="shared" si="116"/>
        <v>0</v>
      </c>
      <c r="DX23" s="21">
        <f t="shared" si="116"/>
        <v>0</v>
      </c>
      <c r="DY23" s="21">
        <f t="shared" si="116"/>
        <v>0</v>
      </c>
      <c r="DZ23" s="21">
        <f t="shared" si="116"/>
        <v>0</v>
      </c>
      <c r="EA23" s="21">
        <f t="shared" si="116"/>
        <v>0</v>
      </c>
      <c r="EB23" s="21">
        <f t="shared" si="116"/>
        <v>0</v>
      </c>
      <c r="EC23" s="21">
        <f t="shared" si="116"/>
        <v>0</v>
      </c>
      <c r="ED23" s="21">
        <f t="shared" si="116"/>
        <v>0</v>
      </c>
      <c r="EE23" s="21">
        <f t="shared" ref="EE23:EG23" si="117">EE22*42</f>
        <v>0</v>
      </c>
      <c r="EF23" s="21">
        <f t="shared" si="117"/>
        <v>0</v>
      </c>
      <c r="EG23" s="21">
        <f t="shared" si="117"/>
        <v>0</v>
      </c>
      <c r="EH23" s="21">
        <f t="shared" ref="EH23:EO23" si="118">EH22*42</f>
        <v>0</v>
      </c>
      <c r="EI23" s="21">
        <f t="shared" si="118"/>
        <v>0</v>
      </c>
      <c r="EJ23" s="21">
        <f t="shared" si="118"/>
        <v>0</v>
      </c>
      <c r="EK23" s="21">
        <f t="shared" si="118"/>
        <v>0</v>
      </c>
      <c r="EL23" s="21">
        <f t="shared" si="118"/>
        <v>0</v>
      </c>
      <c r="EM23" s="21">
        <f t="shared" si="118"/>
        <v>0</v>
      </c>
      <c r="EN23" s="21">
        <f t="shared" si="118"/>
        <v>0</v>
      </c>
      <c r="EO23" s="21">
        <f t="shared" si="118"/>
        <v>0</v>
      </c>
      <c r="EP23" s="21">
        <f t="shared" ref="EP23:EU23" si="119">EP22*42</f>
        <v>0</v>
      </c>
      <c r="EQ23" s="21">
        <f t="shared" si="119"/>
        <v>0</v>
      </c>
      <c r="ER23" s="21">
        <f t="shared" si="119"/>
        <v>0</v>
      </c>
      <c r="ES23" s="21">
        <f t="shared" si="119"/>
        <v>0</v>
      </c>
      <c r="ET23" s="21">
        <f t="shared" si="119"/>
        <v>0</v>
      </c>
      <c r="EU23" s="21">
        <f t="shared" si="119"/>
        <v>0</v>
      </c>
      <c r="EV23" s="21">
        <f t="shared" ref="EV23:FF23" si="120">EV22*42</f>
        <v>0</v>
      </c>
      <c r="EW23" s="21">
        <f t="shared" si="120"/>
        <v>0</v>
      </c>
      <c r="EX23" s="21">
        <f t="shared" si="120"/>
        <v>0</v>
      </c>
      <c r="EY23" s="21">
        <f t="shared" si="120"/>
        <v>0</v>
      </c>
      <c r="EZ23" s="21">
        <f t="shared" si="120"/>
        <v>0</v>
      </c>
      <c r="FA23" s="21">
        <f t="shared" si="120"/>
        <v>0</v>
      </c>
      <c r="FB23" s="21">
        <f t="shared" si="120"/>
        <v>0</v>
      </c>
      <c r="FC23" s="21">
        <f t="shared" si="120"/>
        <v>0</v>
      </c>
      <c r="FD23" s="21">
        <f t="shared" si="120"/>
        <v>0</v>
      </c>
      <c r="FE23" s="21">
        <f t="shared" si="120"/>
        <v>0</v>
      </c>
      <c r="FF23" s="21">
        <f t="shared" si="120"/>
        <v>0</v>
      </c>
      <c r="FG23" s="21">
        <f t="shared" ref="FG23:FP23" si="121">FG22*42</f>
        <v>0</v>
      </c>
      <c r="FH23" s="21">
        <f t="shared" si="121"/>
        <v>0</v>
      </c>
      <c r="FI23" s="21">
        <f t="shared" si="121"/>
        <v>0</v>
      </c>
      <c r="FJ23" s="21">
        <f t="shared" si="121"/>
        <v>0</v>
      </c>
      <c r="FK23" s="21">
        <f t="shared" si="121"/>
        <v>0</v>
      </c>
      <c r="FL23" s="21">
        <f t="shared" si="121"/>
        <v>0</v>
      </c>
      <c r="FM23" s="21">
        <f t="shared" si="121"/>
        <v>0</v>
      </c>
      <c r="FN23" s="21">
        <f t="shared" si="121"/>
        <v>0</v>
      </c>
      <c r="FO23" s="21">
        <f t="shared" si="121"/>
        <v>0</v>
      </c>
      <c r="FP23" s="21">
        <f t="shared" si="121"/>
        <v>0</v>
      </c>
      <c r="FQ23" s="21">
        <f t="shared" ref="FQ23:FY23" si="122">FQ22*42</f>
        <v>0</v>
      </c>
      <c r="FR23" s="21">
        <f t="shared" si="122"/>
        <v>0</v>
      </c>
      <c r="FS23" s="21">
        <f t="shared" si="122"/>
        <v>0</v>
      </c>
      <c r="FT23" s="21">
        <f t="shared" si="122"/>
        <v>0</v>
      </c>
      <c r="FU23" s="21">
        <f t="shared" si="122"/>
        <v>0</v>
      </c>
      <c r="FV23" s="21">
        <f t="shared" si="122"/>
        <v>0</v>
      </c>
      <c r="FW23" s="21">
        <f t="shared" si="122"/>
        <v>0</v>
      </c>
      <c r="FX23" s="21">
        <f t="shared" si="122"/>
        <v>0</v>
      </c>
      <c r="FY23" s="21">
        <f t="shared" si="122"/>
        <v>0</v>
      </c>
      <c r="FZ23" s="21">
        <f t="shared" ref="FZ23:GJ23" si="123">FZ22*42</f>
        <v>0</v>
      </c>
      <c r="GA23" s="21">
        <f t="shared" si="123"/>
        <v>0</v>
      </c>
      <c r="GB23" s="21">
        <f t="shared" si="123"/>
        <v>0</v>
      </c>
      <c r="GC23" s="21">
        <f t="shared" si="123"/>
        <v>0</v>
      </c>
      <c r="GD23" s="21">
        <f t="shared" si="123"/>
        <v>0</v>
      </c>
      <c r="GE23" s="21">
        <f t="shared" si="123"/>
        <v>0</v>
      </c>
      <c r="GF23" s="21">
        <f t="shared" si="123"/>
        <v>0</v>
      </c>
      <c r="GG23" s="21">
        <f t="shared" si="123"/>
        <v>0</v>
      </c>
      <c r="GH23" s="21">
        <f t="shared" si="123"/>
        <v>0</v>
      </c>
      <c r="GI23" s="21">
        <f t="shared" si="123"/>
        <v>0</v>
      </c>
      <c r="GJ23" s="21">
        <f t="shared" si="123"/>
        <v>0</v>
      </c>
      <c r="GK23" s="21">
        <f t="shared" ref="GK23:GT23" si="124">GK22*42</f>
        <v>0</v>
      </c>
      <c r="GL23" s="21">
        <f t="shared" si="124"/>
        <v>0</v>
      </c>
      <c r="GM23" s="21">
        <f t="shared" si="124"/>
        <v>0</v>
      </c>
      <c r="GN23" s="21">
        <f t="shared" si="124"/>
        <v>0</v>
      </c>
      <c r="GO23" s="21">
        <f t="shared" si="124"/>
        <v>0</v>
      </c>
      <c r="GP23" s="21">
        <f t="shared" si="124"/>
        <v>0</v>
      </c>
      <c r="GQ23" s="21">
        <f t="shared" si="124"/>
        <v>0</v>
      </c>
      <c r="GR23" s="21">
        <f t="shared" si="124"/>
        <v>0</v>
      </c>
      <c r="GS23" s="21">
        <f t="shared" si="124"/>
        <v>0</v>
      </c>
      <c r="GT23" s="21">
        <f t="shared" si="124"/>
        <v>0</v>
      </c>
      <c r="GU23" s="21">
        <f t="shared" ref="GU23:GY23" si="125">GU22*42</f>
        <v>0</v>
      </c>
      <c r="GV23" s="21">
        <f t="shared" si="125"/>
        <v>0</v>
      </c>
      <c r="GW23" s="21">
        <f t="shared" si="125"/>
        <v>0</v>
      </c>
      <c r="GX23" s="21">
        <f t="shared" si="125"/>
        <v>0</v>
      </c>
      <c r="GY23" s="21">
        <f t="shared" si="125"/>
        <v>0</v>
      </c>
      <c r="GZ23" s="21">
        <f t="shared" ref="GZ23:HG23" si="126">GZ22*42</f>
        <v>0</v>
      </c>
      <c r="HA23" s="21">
        <f t="shared" si="126"/>
        <v>0</v>
      </c>
      <c r="HB23" s="21">
        <f t="shared" si="126"/>
        <v>0</v>
      </c>
      <c r="HC23" s="21">
        <f t="shared" si="126"/>
        <v>0</v>
      </c>
      <c r="HD23" s="21">
        <f t="shared" si="126"/>
        <v>0</v>
      </c>
      <c r="HE23" s="21">
        <f t="shared" si="126"/>
        <v>0</v>
      </c>
      <c r="HF23" s="21">
        <f t="shared" si="126"/>
        <v>0</v>
      </c>
      <c r="HG23" s="21">
        <f t="shared" si="126"/>
        <v>0</v>
      </c>
      <c r="HH23" s="21">
        <f t="shared" ref="HH23:HQ23" si="127">HH22*42</f>
        <v>0</v>
      </c>
      <c r="HI23" s="21">
        <f t="shared" si="127"/>
        <v>0</v>
      </c>
      <c r="HJ23" s="21">
        <f t="shared" si="127"/>
        <v>0</v>
      </c>
      <c r="HK23" s="21">
        <f t="shared" si="127"/>
        <v>0</v>
      </c>
      <c r="HL23" s="21">
        <f t="shared" si="127"/>
        <v>0</v>
      </c>
      <c r="HM23" s="21">
        <f t="shared" si="127"/>
        <v>0</v>
      </c>
      <c r="HN23" s="21">
        <f t="shared" si="127"/>
        <v>0</v>
      </c>
      <c r="HO23" s="21">
        <f t="shared" si="127"/>
        <v>0</v>
      </c>
      <c r="HP23" s="21">
        <f t="shared" si="127"/>
        <v>0</v>
      </c>
      <c r="HQ23" s="21">
        <f t="shared" si="127"/>
        <v>0</v>
      </c>
      <c r="HR23" s="21">
        <f t="shared" ref="HR23:ID23" si="128">HR22*42</f>
        <v>0</v>
      </c>
      <c r="HS23" s="21">
        <f t="shared" si="128"/>
        <v>0</v>
      </c>
      <c r="HT23" s="21">
        <f t="shared" si="128"/>
        <v>0</v>
      </c>
      <c r="HU23" s="21">
        <f t="shared" si="128"/>
        <v>0</v>
      </c>
      <c r="HV23" s="21">
        <f t="shared" si="128"/>
        <v>0</v>
      </c>
      <c r="HW23" s="21">
        <f t="shared" si="128"/>
        <v>0</v>
      </c>
      <c r="HX23" s="21">
        <f t="shared" si="128"/>
        <v>0</v>
      </c>
      <c r="HY23" s="21">
        <f t="shared" si="128"/>
        <v>0</v>
      </c>
      <c r="HZ23" s="21">
        <f t="shared" si="128"/>
        <v>0</v>
      </c>
      <c r="IA23" s="21">
        <f t="shared" si="128"/>
        <v>0</v>
      </c>
      <c r="IB23" s="21">
        <f t="shared" si="128"/>
        <v>0</v>
      </c>
      <c r="IC23" s="21">
        <f t="shared" si="128"/>
        <v>0</v>
      </c>
      <c r="ID23" s="21">
        <f t="shared" si="128"/>
        <v>0</v>
      </c>
    </row>
    <row r="24" spans="1:238" s="1" customFormat="1" x14ac:dyDescent="0.35">
      <c r="A24" s="1" t="s">
        <v>37</v>
      </c>
      <c r="R24" s="1">
        <v>0</v>
      </c>
      <c r="S24" s="1" t="s">
        <v>38</v>
      </c>
      <c r="V24" s="1">
        <v>2</v>
      </c>
      <c r="W24" s="1" t="s">
        <v>39</v>
      </c>
      <c r="AF24" s="24"/>
      <c r="BS24" s="14"/>
      <c r="BT24" s="14"/>
      <c r="BU24" s="14"/>
      <c r="BV24" s="14"/>
      <c r="BW24" s="14"/>
      <c r="BX24" s="14">
        <v>2</v>
      </c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>
        <v>2</v>
      </c>
      <c r="CP24" s="14">
        <v>2</v>
      </c>
      <c r="CQ24" s="14">
        <v>2</v>
      </c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>
        <v>2</v>
      </c>
      <c r="ER24" s="14"/>
      <c r="ES24" s="14">
        <v>2</v>
      </c>
      <c r="ET24" s="14">
        <v>2</v>
      </c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</row>
    <row r="25" spans="1:238" s="20" customFormat="1" x14ac:dyDescent="0.35">
      <c r="A25" s="20" t="s">
        <v>41</v>
      </c>
      <c r="D25" s="20">
        <f t="shared" ref="D25:AE25" si="129">SUM(D20:D24)</f>
        <v>4</v>
      </c>
      <c r="E25" s="20">
        <f t="shared" si="129"/>
        <v>4</v>
      </c>
      <c r="F25" s="20">
        <f t="shared" si="129"/>
        <v>4</v>
      </c>
      <c r="G25" s="20">
        <f t="shared" si="129"/>
        <v>0</v>
      </c>
      <c r="H25" s="20">
        <f t="shared" si="129"/>
        <v>1</v>
      </c>
      <c r="I25" s="20">
        <f t="shared" si="129"/>
        <v>0</v>
      </c>
      <c r="J25" s="20">
        <f t="shared" si="129"/>
        <v>2</v>
      </c>
      <c r="K25" s="20">
        <f t="shared" si="129"/>
        <v>2</v>
      </c>
      <c r="L25" s="20">
        <f t="shared" si="129"/>
        <v>2</v>
      </c>
      <c r="M25" s="20">
        <f t="shared" si="129"/>
        <v>2</v>
      </c>
      <c r="N25" s="20">
        <f t="shared" si="129"/>
        <v>4</v>
      </c>
      <c r="O25" s="20">
        <f t="shared" si="129"/>
        <v>4</v>
      </c>
      <c r="P25" s="20">
        <f t="shared" si="129"/>
        <v>4</v>
      </c>
      <c r="Q25" s="20">
        <f t="shared" si="129"/>
        <v>4</v>
      </c>
      <c r="R25" s="20">
        <f t="shared" si="129"/>
        <v>4</v>
      </c>
      <c r="S25" s="20">
        <f t="shared" si="129"/>
        <v>4</v>
      </c>
      <c r="T25" s="20">
        <f t="shared" si="129"/>
        <v>4</v>
      </c>
      <c r="U25" s="20">
        <f t="shared" si="129"/>
        <v>4</v>
      </c>
      <c r="V25" s="20">
        <f t="shared" si="129"/>
        <v>4</v>
      </c>
      <c r="W25" s="20">
        <f t="shared" si="129"/>
        <v>4</v>
      </c>
      <c r="X25" s="20">
        <f t="shared" si="129"/>
        <v>4</v>
      </c>
      <c r="Y25" s="20">
        <f t="shared" si="129"/>
        <v>0</v>
      </c>
      <c r="Z25" s="20">
        <f t="shared" si="129"/>
        <v>0</v>
      </c>
      <c r="AA25" s="20">
        <f t="shared" si="129"/>
        <v>0</v>
      </c>
      <c r="AB25" s="20">
        <f t="shared" si="129"/>
        <v>0</v>
      </c>
      <c r="AC25" s="20">
        <f t="shared" si="129"/>
        <v>0</v>
      </c>
      <c r="AD25" s="20">
        <f t="shared" si="129"/>
        <v>0</v>
      </c>
      <c r="AE25" s="20">
        <f t="shared" si="129"/>
        <v>0</v>
      </c>
      <c r="AF25" s="24"/>
      <c r="BG25" s="20">
        <v>2</v>
      </c>
      <c r="BH25" s="20">
        <v>2</v>
      </c>
      <c r="BS25" s="21">
        <f>BS24*42</f>
        <v>0</v>
      </c>
      <c r="BT25" s="21">
        <f t="shared" ref="BT25:CC25" si="130">BT24*42</f>
        <v>0</v>
      </c>
      <c r="BU25" s="21">
        <f t="shared" si="130"/>
        <v>0</v>
      </c>
      <c r="BV25" s="21">
        <f t="shared" si="130"/>
        <v>0</v>
      </c>
      <c r="BW25" s="21">
        <f t="shared" si="130"/>
        <v>0</v>
      </c>
      <c r="BX25" s="21">
        <f t="shared" si="130"/>
        <v>84</v>
      </c>
      <c r="BY25" s="21">
        <f t="shared" si="130"/>
        <v>0</v>
      </c>
      <c r="BZ25" s="21">
        <f t="shared" si="130"/>
        <v>0</v>
      </c>
      <c r="CA25" s="21">
        <f t="shared" si="130"/>
        <v>0</v>
      </c>
      <c r="CB25" s="21">
        <f t="shared" si="130"/>
        <v>0</v>
      </c>
      <c r="CC25" s="21">
        <f t="shared" si="130"/>
        <v>0</v>
      </c>
      <c r="CD25" s="21">
        <f t="shared" ref="CD25" si="131">CD24*42</f>
        <v>0</v>
      </c>
      <c r="CE25" s="21">
        <f t="shared" ref="CE25" si="132">CE24*42</f>
        <v>0</v>
      </c>
      <c r="CF25" s="21">
        <f t="shared" ref="CF25" si="133">CF24*42</f>
        <v>0</v>
      </c>
      <c r="CG25" s="21">
        <f t="shared" ref="CG25" si="134">CG24*42</f>
        <v>0</v>
      </c>
      <c r="CH25" s="21">
        <f t="shared" ref="CH25" si="135">CH24*42</f>
        <v>0</v>
      </c>
      <c r="CI25" s="21">
        <f t="shared" ref="CI25" si="136">CI24*42</f>
        <v>0</v>
      </c>
      <c r="CJ25" s="21">
        <f t="shared" ref="CJ25" si="137">CJ24*42</f>
        <v>0</v>
      </c>
      <c r="CK25" s="21">
        <f t="shared" ref="CK25:CQ25" si="138">CK24*42</f>
        <v>0</v>
      </c>
      <c r="CL25" s="21">
        <f t="shared" si="138"/>
        <v>0</v>
      </c>
      <c r="CM25" s="21">
        <f t="shared" si="138"/>
        <v>0</v>
      </c>
      <c r="CN25" s="21">
        <f t="shared" si="138"/>
        <v>0</v>
      </c>
      <c r="CO25" s="21">
        <f t="shared" si="138"/>
        <v>84</v>
      </c>
      <c r="CP25" s="21">
        <f t="shared" si="138"/>
        <v>84</v>
      </c>
      <c r="CQ25" s="21">
        <f t="shared" si="138"/>
        <v>84</v>
      </c>
      <c r="CR25" s="21">
        <f t="shared" ref="CR25:CZ25" si="139">CR24*42</f>
        <v>0</v>
      </c>
      <c r="CS25" s="21">
        <f t="shared" si="139"/>
        <v>0</v>
      </c>
      <c r="CT25" s="21">
        <f t="shared" si="139"/>
        <v>0</v>
      </c>
      <c r="CU25" s="21">
        <f t="shared" si="139"/>
        <v>0</v>
      </c>
      <c r="CV25" s="21">
        <f t="shared" si="139"/>
        <v>0</v>
      </c>
      <c r="CW25" s="21">
        <f t="shared" si="139"/>
        <v>0</v>
      </c>
      <c r="CX25" s="21">
        <f t="shared" si="139"/>
        <v>0</v>
      </c>
      <c r="CY25" s="21">
        <f t="shared" si="139"/>
        <v>0</v>
      </c>
      <c r="CZ25" s="21">
        <f t="shared" si="139"/>
        <v>0</v>
      </c>
      <c r="DA25" s="21">
        <f t="shared" ref="DA25:DE25" si="140">DA24*42</f>
        <v>0</v>
      </c>
      <c r="DB25" s="21">
        <f t="shared" si="140"/>
        <v>0</v>
      </c>
      <c r="DC25" s="21">
        <f t="shared" si="140"/>
        <v>0</v>
      </c>
      <c r="DD25" s="21">
        <f t="shared" si="140"/>
        <v>0</v>
      </c>
      <c r="DE25" s="21">
        <f t="shared" si="140"/>
        <v>0</v>
      </c>
      <c r="DF25" s="21">
        <f t="shared" ref="DF25:DJ25" si="141">DF24*42</f>
        <v>0</v>
      </c>
      <c r="DG25" s="21">
        <f t="shared" si="141"/>
        <v>0</v>
      </c>
      <c r="DH25" s="21">
        <f t="shared" si="141"/>
        <v>0</v>
      </c>
      <c r="DI25" s="21">
        <f t="shared" si="141"/>
        <v>0</v>
      </c>
      <c r="DJ25" s="21">
        <f t="shared" si="141"/>
        <v>0</v>
      </c>
      <c r="DK25" s="21">
        <f t="shared" ref="DK25:DN25" si="142">DK24*42</f>
        <v>0</v>
      </c>
      <c r="DL25" s="21">
        <f t="shared" si="142"/>
        <v>0</v>
      </c>
      <c r="DM25" s="21">
        <f t="shared" si="142"/>
        <v>0</v>
      </c>
      <c r="DN25" s="21">
        <f t="shared" si="142"/>
        <v>0</v>
      </c>
      <c r="DO25" s="21">
        <f t="shared" ref="DO25:DT25" si="143">DO24*42</f>
        <v>0</v>
      </c>
      <c r="DP25" s="21">
        <f t="shared" si="143"/>
        <v>0</v>
      </c>
      <c r="DQ25" s="21">
        <f t="shared" si="143"/>
        <v>0</v>
      </c>
      <c r="DR25" s="21">
        <f t="shared" si="143"/>
        <v>0</v>
      </c>
      <c r="DS25" s="21">
        <f t="shared" si="143"/>
        <v>0</v>
      </c>
      <c r="DT25" s="21">
        <f t="shared" si="143"/>
        <v>0</v>
      </c>
      <c r="DU25" s="21">
        <f t="shared" ref="DU25:ED25" si="144">DU24*42</f>
        <v>0</v>
      </c>
      <c r="DV25" s="21">
        <f t="shared" si="144"/>
        <v>0</v>
      </c>
      <c r="DW25" s="21">
        <f t="shared" si="144"/>
        <v>0</v>
      </c>
      <c r="DX25" s="21">
        <f t="shared" si="144"/>
        <v>0</v>
      </c>
      <c r="DY25" s="21">
        <f t="shared" si="144"/>
        <v>0</v>
      </c>
      <c r="DZ25" s="21">
        <f t="shared" si="144"/>
        <v>0</v>
      </c>
      <c r="EA25" s="21">
        <f t="shared" si="144"/>
        <v>0</v>
      </c>
      <c r="EB25" s="21">
        <f t="shared" si="144"/>
        <v>0</v>
      </c>
      <c r="EC25" s="21">
        <f t="shared" si="144"/>
        <v>0</v>
      </c>
      <c r="ED25" s="21">
        <f t="shared" si="144"/>
        <v>0</v>
      </c>
      <c r="EE25" s="21">
        <f t="shared" ref="EE25:EG25" si="145">EE24*42</f>
        <v>0</v>
      </c>
      <c r="EF25" s="21">
        <f t="shared" si="145"/>
        <v>0</v>
      </c>
      <c r="EG25" s="21">
        <f t="shared" si="145"/>
        <v>0</v>
      </c>
      <c r="EH25" s="21">
        <f t="shared" ref="EH25:EO25" si="146">EH24*42</f>
        <v>0</v>
      </c>
      <c r="EI25" s="21">
        <f t="shared" si="146"/>
        <v>0</v>
      </c>
      <c r="EJ25" s="21">
        <f t="shared" si="146"/>
        <v>0</v>
      </c>
      <c r="EK25" s="21">
        <f t="shared" si="146"/>
        <v>0</v>
      </c>
      <c r="EL25" s="21">
        <f t="shared" si="146"/>
        <v>0</v>
      </c>
      <c r="EM25" s="21">
        <f t="shared" si="146"/>
        <v>0</v>
      </c>
      <c r="EN25" s="21">
        <f t="shared" si="146"/>
        <v>0</v>
      </c>
      <c r="EO25" s="21">
        <f t="shared" si="146"/>
        <v>0</v>
      </c>
      <c r="EP25" s="21">
        <f t="shared" ref="EP25:EU25" si="147">EP24*42</f>
        <v>0</v>
      </c>
      <c r="EQ25" s="21">
        <f t="shared" si="147"/>
        <v>84</v>
      </c>
      <c r="ER25" s="21">
        <f t="shared" si="147"/>
        <v>0</v>
      </c>
      <c r="ES25" s="21">
        <f t="shared" si="147"/>
        <v>84</v>
      </c>
      <c r="ET25" s="21">
        <f t="shared" si="147"/>
        <v>84</v>
      </c>
      <c r="EU25" s="21">
        <f t="shared" si="147"/>
        <v>0</v>
      </c>
      <c r="EV25" s="21">
        <f t="shared" ref="EV25:FF25" si="148">EV24*42</f>
        <v>0</v>
      </c>
      <c r="EW25" s="21">
        <f t="shared" si="148"/>
        <v>0</v>
      </c>
      <c r="EX25" s="21">
        <f t="shared" si="148"/>
        <v>0</v>
      </c>
      <c r="EY25" s="21">
        <f t="shared" si="148"/>
        <v>0</v>
      </c>
      <c r="EZ25" s="21">
        <f t="shared" si="148"/>
        <v>0</v>
      </c>
      <c r="FA25" s="21">
        <f t="shared" si="148"/>
        <v>0</v>
      </c>
      <c r="FB25" s="21">
        <f t="shared" si="148"/>
        <v>0</v>
      </c>
      <c r="FC25" s="21">
        <f t="shared" si="148"/>
        <v>0</v>
      </c>
      <c r="FD25" s="21">
        <f t="shared" si="148"/>
        <v>0</v>
      </c>
      <c r="FE25" s="21">
        <f t="shared" si="148"/>
        <v>0</v>
      </c>
      <c r="FF25" s="21">
        <f t="shared" si="148"/>
        <v>0</v>
      </c>
      <c r="FG25" s="21">
        <f t="shared" ref="FG25:FP25" si="149">FG24*42</f>
        <v>0</v>
      </c>
      <c r="FH25" s="21">
        <f t="shared" si="149"/>
        <v>0</v>
      </c>
      <c r="FI25" s="21">
        <f t="shared" si="149"/>
        <v>0</v>
      </c>
      <c r="FJ25" s="21">
        <f t="shared" si="149"/>
        <v>0</v>
      </c>
      <c r="FK25" s="21">
        <f t="shared" si="149"/>
        <v>0</v>
      </c>
      <c r="FL25" s="21">
        <f t="shared" si="149"/>
        <v>0</v>
      </c>
      <c r="FM25" s="21">
        <f t="shared" si="149"/>
        <v>0</v>
      </c>
      <c r="FN25" s="21">
        <f t="shared" si="149"/>
        <v>0</v>
      </c>
      <c r="FO25" s="21">
        <f t="shared" si="149"/>
        <v>0</v>
      </c>
      <c r="FP25" s="21">
        <f t="shared" si="149"/>
        <v>0</v>
      </c>
      <c r="FQ25" s="21">
        <f t="shared" ref="FQ25:FY25" si="150">FQ24*42</f>
        <v>0</v>
      </c>
      <c r="FR25" s="21">
        <f t="shared" si="150"/>
        <v>0</v>
      </c>
      <c r="FS25" s="21">
        <f t="shared" si="150"/>
        <v>0</v>
      </c>
      <c r="FT25" s="21">
        <f t="shared" si="150"/>
        <v>0</v>
      </c>
      <c r="FU25" s="21">
        <f t="shared" si="150"/>
        <v>0</v>
      </c>
      <c r="FV25" s="21">
        <f t="shared" si="150"/>
        <v>0</v>
      </c>
      <c r="FW25" s="21">
        <f t="shared" si="150"/>
        <v>0</v>
      </c>
      <c r="FX25" s="21">
        <f t="shared" si="150"/>
        <v>0</v>
      </c>
      <c r="FY25" s="21">
        <f t="shared" si="150"/>
        <v>0</v>
      </c>
      <c r="FZ25" s="21">
        <f t="shared" ref="FZ25:GJ25" si="151">FZ24*42</f>
        <v>0</v>
      </c>
      <c r="GA25" s="21">
        <f t="shared" si="151"/>
        <v>0</v>
      </c>
      <c r="GB25" s="21">
        <f t="shared" si="151"/>
        <v>0</v>
      </c>
      <c r="GC25" s="21">
        <f t="shared" si="151"/>
        <v>0</v>
      </c>
      <c r="GD25" s="21">
        <f t="shared" si="151"/>
        <v>0</v>
      </c>
      <c r="GE25" s="21">
        <f t="shared" si="151"/>
        <v>0</v>
      </c>
      <c r="GF25" s="21">
        <f t="shared" si="151"/>
        <v>0</v>
      </c>
      <c r="GG25" s="21">
        <f t="shared" si="151"/>
        <v>0</v>
      </c>
      <c r="GH25" s="21">
        <f t="shared" si="151"/>
        <v>0</v>
      </c>
      <c r="GI25" s="21">
        <f t="shared" si="151"/>
        <v>0</v>
      </c>
      <c r="GJ25" s="21">
        <f t="shared" si="151"/>
        <v>0</v>
      </c>
      <c r="GK25" s="21">
        <f t="shared" ref="GK25:GT25" si="152">GK24*42</f>
        <v>0</v>
      </c>
      <c r="GL25" s="21">
        <f t="shared" si="152"/>
        <v>0</v>
      </c>
      <c r="GM25" s="21">
        <f t="shared" si="152"/>
        <v>0</v>
      </c>
      <c r="GN25" s="21">
        <f t="shared" si="152"/>
        <v>0</v>
      </c>
      <c r="GO25" s="21">
        <f t="shared" si="152"/>
        <v>0</v>
      </c>
      <c r="GP25" s="21">
        <f t="shared" si="152"/>
        <v>0</v>
      </c>
      <c r="GQ25" s="21">
        <f t="shared" si="152"/>
        <v>0</v>
      </c>
      <c r="GR25" s="21">
        <f t="shared" si="152"/>
        <v>0</v>
      </c>
      <c r="GS25" s="21">
        <f t="shared" si="152"/>
        <v>0</v>
      </c>
      <c r="GT25" s="21">
        <f t="shared" si="152"/>
        <v>0</v>
      </c>
      <c r="GU25" s="21">
        <f t="shared" ref="GU25:GY25" si="153">GU24*42</f>
        <v>0</v>
      </c>
      <c r="GV25" s="21">
        <f t="shared" si="153"/>
        <v>0</v>
      </c>
      <c r="GW25" s="21">
        <f t="shared" si="153"/>
        <v>0</v>
      </c>
      <c r="GX25" s="21">
        <f t="shared" si="153"/>
        <v>0</v>
      </c>
      <c r="GY25" s="21">
        <f t="shared" si="153"/>
        <v>0</v>
      </c>
      <c r="GZ25" s="21">
        <f t="shared" ref="GZ25:HG25" si="154">GZ24*42</f>
        <v>0</v>
      </c>
      <c r="HA25" s="21">
        <f t="shared" si="154"/>
        <v>0</v>
      </c>
      <c r="HB25" s="21">
        <f t="shared" si="154"/>
        <v>0</v>
      </c>
      <c r="HC25" s="21">
        <f t="shared" si="154"/>
        <v>0</v>
      </c>
      <c r="HD25" s="21">
        <f t="shared" si="154"/>
        <v>0</v>
      </c>
      <c r="HE25" s="21">
        <f t="shared" si="154"/>
        <v>0</v>
      </c>
      <c r="HF25" s="21">
        <f t="shared" si="154"/>
        <v>0</v>
      </c>
      <c r="HG25" s="21">
        <f t="shared" si="154"/>
        <v>0</v>
      </c>
      <c r="HH25" s="21">
        <f t="shared" ref="HH25:HQ25" si="155">HH24*42</f>
        <v>0</v>
      </c>
      <c r="HI25" s="21">
        <f t="shared" si="155"/>
        <v>0</v>
      </c>
      <c r="HJ25" s="21">
        <f t="shared" si="155"/>
        <v>0</v>
      </c>
      <c r="HK25" s="21">
        <f t="shared" si="155"/>
        <v>0</v>
      </c>
      <c r="HL25" s="21">
        <f t="shared" si="155"/>
        <v>0</v>
      </c>
      <c r="HM25" s="21">
        <f t="shared" si="155"/>
        <v>0</v>
      </c>
      <c r="HN25" s="21">
        <f t="shared" si="155"/>
        <v>0</v>
      </c>
      <c r="HO25" s="21">
        <f t="shared" si="155"/>
        <v>0</v>
      </c>
      <c r="HP25" s="21">
        <f t="shared" si="155"/>
        <v>0</v>
      </c>
      <c r="HQ25" s="21">
        <f t="shared" si="155"/>
        <v>0</v>
      </c>
      <c r="HR25" s="21">
        <f t="shared" ref="HR25:ID25" si="156">HR24*42</f>
        <v>0</v>
      </c>
      <c r="HS25" s="21">
        <f t="shared" si="156"/>
        <v>0</v>
      </c>
      <c r="HT25" s="21">
        <f t="shared" si="156"/>
        <v>0</v>
      </c>
      <c r="HU25" s="21">
        <f t="shared" si="156"/>
        <v>0</v>
      </c>
      <c r="HV25" s="21">
        <f t="shared" si="156"/>
        <v>0</v>
      </c>
      <c r="HW25" s="21">
        <f t="shared" si="156"/>
        <v>0</v>
      </c>
      <c r="HX25" s="21">
        <f t="shared" si="156"/>
        <v>0</v>
      </c>
      <c r="HY25" s="21">
        <f t="shared" si="156"/>
        <v>0</v>
      </c>
      <c r="HZ25" s="21">
        <f t="shared" si="156"/>
        <v>0</v>
      </c>
      <c r="IA25" s="21">
        <f t="shared" si="156"/>
        <v>0</v>
      </c>
      <c r="IB25" s="21">
        <f t="shared" si="156"/>
        <v>0</v>
      </c>
      <c r="IC25" s="21">
        <f t="shared" si="156"/>
        <v>0</v>
      </c>
      <c r="ID25" s="21">
        <f t="shared" si="156"/>
        <v>0</v>
      </c>
    </row>
    <row r="26" spans="1:238" s="10" customFormat="1" x14ac:dyDescent="0.35">
      <c r="A26" s="10" t="s">
        <v>30</v>
      </c>
      <c r="D26" s="10">
        <f t="shared" ref="D26:AE26" si="157">D25*42</f>
        <v>168</v>
      </c>
      <c r="E26" s="10">
        <f t="shared" si="157"/>
        <v>168</v>
      </c>
      <c r="F26" s="10">
        <f t="shared" si="157"/>
        <v>168</v>
      </c>
      <c r="G26" s="10">
        <f t="shared" si="157"/>
        <v>0</v>
      </c>
      <c r="H26" s="10">
        <f t="shared" si="157"/>
        <v>42</v>
      </c>
      <c r="I26" s="10">
        <f t="shared" si="157"/>
        <v>0</v>
      </c>
      <c r="J26" s="10">
        <f t="shared" si="157"/>
        <v>84</v>
      </c>
      <c r="K26" s="10">
        <f t="shared" si="157"/>
        <v>84</v>
      </c>
      <c r="L26" s="10">
        <f t="shared" si="157"/>
        <v>84</v>
      </c>
      <c r="M26" s="10">
        <f t="shared" si="157"/>
        <v>84</v>
      </c>
      <c r="N26" s="10">
        <f t="shared" si="157"/>
        <v>168</v>
      </c>
      <c r="O26" s="10">
        <f t="shared" si="157"/>
        <v>168</v>
      </c>
      <c r="P26" s="10">
        <f t="shared" si="157"/>
        <v>168</v>
      </c>
      <c r="Q26" s="10">
        <f t="shared" si="157"/>
        <v>168</v>
      </c>
      <c r="R26" s="10">
        <f t="shared" si="157"/>
        <v>168</v>
      </c>
      <c r="S26" s="10">
        <f t="shared" si="157"/>
        <v>168</v>
      </c>
      <c r="T26" s="10">
        <f t="shared" si="157"/>
        <v>168</v>
      </c>
      <c r="U26" s="10">
        <f t="shared" si="157"/>
        <v>168</v>
      </c>
      <c r="V26" s="10">
        <f t="shared" si="157"/>
        <v>168</v>
      </c>
      <c r="W26" s="10">
        <f t="shared" si="157"/>
        <v>168</v>
      </c>
      <c r="X26" s="10">
        <f t="shared" si="157"/>
        <v>168</v>
      </c>
      <c r="Y26" s="10">
        <f t="shared" si="157"/>
        <v>0</v>
      </c>
      <c r="Z26" s="10">
        <f t="shared" si="157"/>
        <v>0</v>
      </c>
      <c r="AA26" s="10">
        <f t="shared" si="157"/>
        <v>0</v>
      </c>
      <c r="AB26" s="10">
        <f t="shared" si="157"/>
        <v>0</v>
      </c>
      <c r="AC26" s="10">
        <f t="shared" si="157"/>
        <v>0</v>
      </c>
      <c r="AD26" s="10">
        <f t="shared" si="157"/>
        <v>0</v>
      </c>
      <c r="AE26" s="10">
        <f t="shared" si="157"/>
        <v>0</v>
      </c>
      <c r="AF26" s="24"/>
      <c r="AG26" s="10">
        <f>AG25*42</f>
        <v>0</v>
      </c>
      <c r="AH26" s="10">
        <f>AH25*42</f>
        <v>0</v>
      </c>
      <c r="AI26" s="10">
        <f>AI25*42</f>
        <v>0</v>
      </c>
      <c r="AJ26" s="10">
        <f>AJ25*42</f>
        <v>0</v>
      </c>
      <c r="AK26" s="10">
        <f>AK25*42</f>
        <v>0</v>
      </c>
      <c r="AL26" s="10" cm="1">
        <f t="array" ref="AL26">SUM(AL20:AL25*42)</f>
        <v>84</v>
      </c>
      <c r="AM26" s="10" cm="1">
        <f t="array" ref="AM26">SUM(AM20:AM25*42)</f>
        <v>168</v>
      </c>
      <c r="AN26" s="10" cm="1">
        <f t="array" ref="AN26">SUM(AN20:AN25*42)</f>
        <v>84</v>
      </c>
      <c r="AO26" s="10" cm="1">
        <f t="array" ref="AO26">SUM(AO20:AO25*42)</f>
        <v>84</v>
      </c>
      <c r="AP26" s="10" cm="1">
        <f t="array" ref="AP26">SUM(AP20:AP25*42)</f>
        <v>168</v>
      </c>
      <c r="AQ26" s="10" cm="1">
        <f t="array" ref="AQ26">SUM(AQ20:AQ25*42)</f>
        <v>84</v>
      </c>
      <c r="AR26" s="10" cm="1">
        <f t="array" ref="AR26">SUM(AR20:AR25*42)</f>
        <v>126</v>
      </c>
      <c r="AS26" s="10" cm="1">
        <f t="array" ref="AS26">SUM(AS20:AS25*42)</f>
        <v>168</v>
      </c>
      <c r="AT26" s="10" cm="1">
        <f t="array" ref="AT26">SUM(AT20:AT25*42)</f>
        <v>168</v>
      </c>
      <c r="AU26" s="10" cm="1">
        <f t="array" ref="AU26">SUM(AU20:AU25*42)</f>
        <v>168</v>
      </c>
      <c r="AV26" s="10" cm="1">
        <f t="array" ref="AV26">SUM(AV20:AV25*42)</f>
        <v>168</v>
      </c>
      <c r="AW26" s="10" cm="1">
        <f t="array" ref="AW26">SUM(AW20:AW25*42)</f>
        <v>0</v>
      </c>
      <c r="AX26" s="10" cm="1">
        <f t="array" ref="AX26">SUM(AX20:AX25*42)</f>
        <v>0</v>
      </c>
      <c r="AY26" s="10" cm="1">
        <f t="array" ref="AY26">SUM(AY20:AY25*42)</f>
        <v>0</v>
      </c>
      <c r="AZ26" s="10" cm="1">
        <f t="array" ref="AZ26">SUM(AZ20:AZ25*42)</f>
        <v>0</v>
      </c>
      <c r="BA26" s="10" cm="1">
        <f t="array" ref="BA26">SUM(BA20:BA25*42)</f>
        <v>0</v>
      </c>
      <c r="BB26" s="10" cm="1">
        <f t="array" ref="BB26">SUM(BB20:BB25*42)</f>
        <v>0</v>
      </c>
      <c r="BC26" s="10" cm="1">
        <f t="array" ref="BC26">SUM(BC20:BC25*42)</f>
        <v>0</v>
      </c>
      <c r="BD26" s="10" cm="1">
        <f t="array" ref="BD26">SUM(BD20:BD25*42)</f>
        <v>0</v>
      </c>
      <c r="BE26" s="10" cm="1">
        <f t="array" ref="BE26">SUM(BE20:BE25*42)</f>
        <v>0</v>
      </c>
      <c r="BF26" s="10" cm="1">
        <f t="array" ref="BF26">SUM(BF20:BF25*42)</f>
        <v>0</v>
      </c>
      <c r="BG26" s="10" cm="1">
        <f t="array" ref="BG26">SUM(BG20:BG25*42)</f>
        <v>84</v>
      </c>
      <c r="BH26" s="10" cm="1">
        <f t="array" ref="BH26">SUM(BH20:BH25*42)</f>
        <v>84</v>
      </c>
      <c r="BI26" s="10" cm="1">
        <f t="array" ref="BI26">SUM(BI20:BI25*42)</f>
        <v>84</v>
      </c>
      <c r="BJ26" s="10" cm="1">
        <f t="array" ref="BJ26">SUM(BJ20:BJ25*42)</f>
        <v>84</v>
      </c>
      <c r="BK26" s="10" cm="1">
        <f t="array" ref="BK26">SUM(BK20:BK25*42)</f>
        <v>84</v>
      </c>
      <c r="BL26" s="10" cm="1">
        <f t="array" ref="BL26">SUM(BL20:BL25*42)</f>
        <v>84</v>
      </c>
      <c r="BM26" s="10" cm="1">
        <f t="array" ref="BM26">SUM(BM20:BM25*42)</f>
        <v>84</v>
      </c>
      <c r="BN26" s="10" cm="1">
        <f t="array" ref="BN26">SUM(BN20:BN25*42)</f>
        <v>84</v>
      </c>
      <c r="BO26" s="10" cm="1">
        <f t="array" ref="BO26">SUM(BO20:BO25*42)</f>
        <v>0</v>
      </c>
      <c r="BP26" s="10" cm="1">
        <f t="array" ref="BP26">SUM(BP20:BP25*42)</f>
        <v>0</v>
      </c>
      <c r="BQ26" s="10" cm="1">
        <f t="array" ref="BQ26">SUM(BQ20:BQ25*42)</f>
        <v>0</v>
      </c>
      <c r="BR26" s="10" cm="1">
        <f t="array" ref="BR26">SUM(BR20:BR25*42)</f>
        <v>0</v>
      </c>
      <c r="BS26" s="22">
        <f>SUM(BS21,BS25)</f>
        <v>0</v>
      </c>
      <c r="BT26" s="22">
        <f t="shared" ref="BT26:CC26" si="158">SUM(BT21,BT25)</f>
        <v>0</v>
      </c>
      <c r="BU26" s="22">
        <f t="shared" si="158"/>
        <v>0</v>
      </c>
      <c r="BV26" s="22">
        <f t="shared" si="158"/>
        <v>0</v>
      </c>
      <c r="BW26" s="22">
        <f t="shared" si="158"/>
        <v>84</v>
      </c>
      <c r="BX26" s="22">
        <f t="shared" si="158"/>
        <v>84</v>
      </c>
      <c r="BY26" s="22">
        <f t="shared" si="158"/>
        <v>126</v>
      </c>
      <c r="BZ26" s="22">
        <f t="shared" si="158"/>
        <v>168</v>
      </c>
      <c r="CA26" s="22">
        <f t="shared" si="158"/>
        <v>168</v>
      </c>
      <c r="CB26" s="22">
        <f t="shared" si="158"/>
        <v>126</v>
      </c>
      <c r="CC26" s="22">
        <f t="shared" si="158"/>
        <v>168</v>
      </c>
      <c r="CD26" s="22">
        <f t="shared" ref="CD26" si="159">SUM(CD21,CD25)</f>
        <v>84</v>
      </c>
      <c r="CE26" s="22">
        <f t="shared" ref="CE26" si="160">SUM(CE21,CE25)</f>
        <v>84</v>
      </c>
      <c r="CF26" s="22">
        <f t="shared" ref="CF26" si="161">SUM(CF21,CF25)</f>
        <v>0</v>
      </c>
      <c r="CG26" s="22">
        <f t="shared" ref="CG26" si="162">SUM(CG21,CG25)</f>
        <v>0</v>
      </c>
      <c r="CH26" s="22">
        <f t="shared" ref="CH26" si="163">SUM(CH21,CH25)</f>
        <v>0</v>
      </c>
      <c r="CI26" s="22">
        <f t="shared" ref="CI26" si="164">SUM(CI21,CI25)</f>
        <v>0</v>
      </c>
      <c r="CJ26" s="22">
        <f t="shared" ref="CJ26" si="165">SUM(CJ21,CJ25)</f>
        <v>0</v>
      </c>
      <c r="CK26" s="22">
        <f t="shared" ref="CK26:CQ26" si="166">SUM(CK21,CK25)</f>
        <v>0</v>
      </c>
      <c r="CL26" s="22">
        <f t="shared" si="166"/>
        <v>0</v>
      </c>
      <c r="CM26" s="22">
        <f t="shared" si="166"/>
        <v>0</v>
      </c>
      <c r="CN26" s="22">
        <f t="shared" si="166"/>
        <v>42</v>
      </c>
      <c r="CO26" s="22">
        <f t="shared" si="166"/>
        <v>84</v>
      </c>
      <c r="CP26" s="22">
        <f t="shared" si="166"/>
        <v>84</v>
      </c>
      <c r="CQ26" s="22">
        <f t="shared" si="166"/>
        <v>84</v>
      </c>
      <c r="CR26" s="22">
        <f t="shared" ref="CR26:CZ26" si="167">SUM(CR21,CR25)</f>
        <v>0</v>
      </c>
      <c r="CS26" s="22">
        <f t="shared" si="167"/>
        <v>0</v>
      </c>
      <c r="CT26" s="22">
        <f t="shared" si="167"/>
        <v>0</v>
      </c>
      <c r="CU26" s="22">
        <f t="shared" si="167"/>
        <v>0</v>
      </c>
      <c r="CV26" s="22">
        <f t="shared" si="167"/>
        <v>0</v>
      </c>
      <c r="CW26" s="22">
        <f t="shared" si="167"/>
        <v>0</v>
      </c>
      <c r="CX26" s="22">
        <f t="shared" si="167"/>
        <v>0</v>
      </c>
      <c r="CY26" s="22">
        <f t="shared" si="167"/>
        <v>84</v>
      </c>
      <c r="CZ26" s="22">
        <f t="shared" si="167"/>
        <v>0</v>
      </c>
      <c r="DA26" s="22">
        <f t="shared" ref="DA26:DE26" si="168">SUM(DA21,DA25)</f>
        <v>0</v>
      </c>
      <c r="DB26" s="22">
        <f t="shared" si="168"/>
        <v>0</v>
      </c>
      <c r="DC26" s="22">
        <f t="shared" si="168"/>
        <v>0</v>
      </c>
      <c r="DD26" s="22">
        <f t="shared" si="168"/>
        <v>84</v>
      </c>
      <c r="DE26" s="22">
        <f t="shared" si="168"/>
        <v>0</v>
      </c>
      <c r="DF26" s="22">
        <f t="shared" ref="DF26:DJ26" si="169">SUM(DF21,DF25)</f>
        <v>0</v>
      </c>
      <c r="DG26" s="22">
        <f t="shared" si="169"/>
        <v>0</v>
      </c>
      <c r="DH26" s="22">
        <f t="shared" si="169"/>
        <v>0</v>
      </c>
      <c r="DI26" s="22">
        <f t="shared" si="169"/>
        <v>84</v>
      </c>
      <c r="DJ26" s="22">
        <f t="shared" si="169"/>
        <v>84</v>
      </c>
      <c r="DK26" s="22">
        <f t="shared" ref="DK26:DN26" si="170">SUM(DK21,DK25)</f>
        <v>0</v>
      </c>
      <c r="DL26" s="22">
        <f t="shared" si="170"/>
        <v>0</v>
      </c>
      <c r="DM26" s="22">
        <f t="shared" si="170"/>
        <v>0</v>
      </c>
      <c r="DN26" s="22">
        <f t="shared" si="170"/>
        <v>0</v>
      </c>
      <c r="DO26" s="22">
        <f t="shared" ref="DO26:DT26" si="171">SUM(DO21,DO25)</f>
        <v>0</v>
      </c>
      <c r="DP26" s="22">
        <f t="shared" si="171"/>
        <v>0</v>
      </c>
      <c r="DQ26" s="22">
        <f t="shared" si="171"/>
        <v>0</v>
      </c>
      <c r="DR26" s="22">
        <f t="shared" si="171"/>
        <v>0</v>
      </c>
      <c r="DS26" s="22">
        <f t="shared" si="171"/>
        <v>0</v>
      </c>
      <c r="DT26" s="22">
        <f t="shared" si="171"/>
        <v>0</v>
      </c>
      <c r="DU26" s="22">
        <f t="shared" ref="DU26:ED26" si="172">SUM(DU21,DU25)</f>
        <v>0</v>
      </c>
      <c r="DV26" s="22">
        <f t="shared" si="172"/>
        <v>0</v>
      </c>
      <c r="DW26" s="22">
        <f t="shared" si="172"/>
        <v>0</v>
      </c>
      <c r="DX26" s="22">
        <f t="shared" si="172"/>
        <v>0</v>
      </c>
      <c r="DY26" s="22">
        <f t="shared" si="172"/>
        <v>0</v>
      </c>
      <c r="DZ26" s="22">
        <f t="shared" si="172"/>
        <v>0</v>
      </c>
      <c r="EA26" s="22">
        <f t="shared" si="172"/>
        <v>0</v>
      </c>
      <c r="EB26" s="22">
        <f t="shared" si="172"/>
        <v>0</v>
      </c>
      <c r="EC26" s="22">
        <f t="shared" si="172"/>
        <v>0</v>
      </c>
      <c r="ED26" s="22">
        <f t="shared" si="172"/>
        <v>0</v>
      </c>
      <c r="EE26" s="22">
        <f t="shared" ref="EE26:EG26" si="173">SUM(EE21,EE25)</f>
        <v>0</v>
      </c>
      <c r="EF26" s="22">
        <f t="shared" si="173"/>
        <v>0</v>
      </c>
      <c r="EG26" s="22">
        <f t="shared" si="173"/>
        <v>0</v>
      </c>
      <c r="EH26" s="22">
        <f t="shared" ref="EH26:EO26" si="174">SUM(EH21,EH25)</f>
        <v>0</v>
      </c>
      <c r="EI26" s="22">
        <f t="shared" si="174"/>
        <v>0</v>
      </c>
      <c r="EJ26" s="22">
        <f t="shared" si="174"/>
        <v>0</v>
      </c>
      <c r="EK26" s="22">
        <f t="shared" si="174"/>
        <v>0</v>
      </c>
      <c r="EL26" s="22">
        <f t="shared" si="174"/>
        <v>0</v>
      </c>
      <c r="EM26" s="22">
        <f t="shared" si="174"/>
        <v>0</v>
      </c>
      <c r="EN26" s="22">
        <f t="shared" si="174"/>
        <v>0</v>
      </c>
      <c r="EO26" s="22">
        <f t="shared" si="174"/>
        <v>0</v>
      </c>
      <c r="EP26" s="22">
        <f t="shared" ref="EP26:EU26" si="175">SUM(EP21,EP25)</f>
        <v>0</v>
      </c>
      <c r="EQ26" s="22">
        <f t="shared" si="175"/>
        <v>84</v>
      </c>
      <c r="ER26" s="22">
        <f t="shared" si="175"/>
        <v>0</v>
      </c>
      <c r="ES26" s="22">
        <f t="shared" si="175"/>
        <v>84</v>
      </c>
      <c r="ET26" s="22">
        <f t="shared" si="175"/>
        <v>84</v>
      </c>
      <c r="EU26" s="22">
        <f t="shared" si="175"/>
        <v>84</v>
      </c>
      <c r="EV26" s="22">
        <f t="shared" ref="EV26:FF26" si="176">SUM(EV21,EV25)</f>
        <v>0</v>
      </c>
      <c r="EW26" s="22">
        <f t="shared" si="176"/>
        <v>0</v>
      </c>
      <c r="EX26" s="22">
        <f t="shared" si="176"/>
        <v>0</v>
      </c>
      <c r="EY26" s="22">
        <f t="shared" si="176"/>
        <v>0</v>
      </c>
      <c r="EZ26" s="22">
        <f t="shared" si="176"/>
        <v>0</v>
      </c>
      <c r="FA26" s="22">
        <f t="shared" si="176"/>
        <v>0</v>
      </c>
      <c r="FB26" s="22">
        <f t="shared" si="176"/>
        <v>0</v>
      </c>
      <c r="FC26" s="22">
        <f t="shared" si="176"/>
        <v>0</v>
      </c>
      <c r="FD26" s="22">
        <f t="shared" si="176"/>
        <v>0</v>
      </c>
      <c r="FE26" s="22">
        <f t="shared" si="176"/>
        <v>0</v>
      </c>
      <c r="FF26" s="22">
        <f t="shared" si="176"/>
        <v>0</v>
      </c>
      <c r="FG26" s="22">
        <f t="shared" ref="FG26:FP26" si="177">SUM(FG21,FG25)</f>
        <v>0</v>
      </c>
      <c r="FH26" s="22">
        <f t="shared" si="177"/>
        <v>0</v>
      </c>
      <c r="FI26" s="22">
        <f t="shared" si="177"/>
        <v>0</v>
      </c>
      <c r="FJ26" s="22">
        <f t="shared" si="177"/>
        <v>0</v>
      </c>
      <c r="FK26" s="22">
        <f t="shared" si="177"/>
        <v>0</v>
      </c>
      <c r="FL26" s="22">
        <f t="shared" si="177"/>
        <v>0</v>
      </c>
      <c r="FM26" s="22">
        <f t="shared" si="177"/>
        <v>0</v>
      </c>
      <c r="FN26" s="22">
        <f t="shared" si="177"/>
        <v>0</v>
      </c>
      <c r="FO26" s="22">
        <f t="shared" si="177"/>
        <v>0</v>
      </c>
      <c r="FP26" s="22">
        <f t="shared" si="177"/>
        <v>0</v>
      </c>
      <c r="FQ26" s="22">
        <f t="shared" ref="FQ26:FY26" si="178">SUM(FQ21,FQ25)</f>
        <v>0</v>
      </c>
      <c r="FR26" s="22">
        <f t="shared" si="178"/>
        <v>0</v>
      </c>
      <c r="FS26" s="22">
        <f t="shared" si="178"/>
        <v>0</v>
      </c>
      <c r="FT26" s="22">
        <f t="shared" si="178"/>
        <v>0</v>
      </c>
      <c r="FU26" s="22">
        <f t="shared" si="178"/>
        <v>0</v>
      </c>
      <c r="FV26" s="22">
        <f t="shared" si="178"/>
        <v>0</v>
      </c>
      <c r="FW26" s="22">
        <f t="shared" si="178"/>
        <v>0</v>
      </c>
      <c r="FX26" s="22">
        <f t="shared" si="178"/>
        <v>0</v>
      </c>
      <c r="FY26" s="22">
        <f t="shared" si="178"/>
        <v>0</v>
      </c>
      <c r="FZ26" s="22">
        <f t="shared" ref="FZ26:GJ26" si="179">SUM(FZ21,FZ25)</f>
        <v>0</v>
      </c>
      <c r="GA26" s="22">
        <f t="shared" si="179"/>
        <v>0</v>
      </c>
      <c r="GB26" s="22">
        <f t="shared" si="179"/>
        <v>0</v>
      </c>
      <c r="GC26" s="22">
        <f t="shared" si="179"/>
        <v>0</v>
      </c>
      <c r="GD26" s="22">
        <f t="shared" si="179"/>
        <v>0</v>
      </c>
      <c r="GE26" s="22">
        <f t="shared" si="179"/>
        <v>0</v>
      </c>
      <c r="GF26" s="22">
        <f t="shared" si="179"/>
        <v>0</v>
      </c>
      <c r="GG26" s="22">
        <f t="shared" si="179"/>
        <v>0</v>
      </c>
      <c r="GH26" s="22">
        <f t="shared" si="179"/>
        <v>0</v>
      </c>
      <c r="GI26" s="22">
        <f t="shared" si="179"/>
        <v>0</v>
      </c>
      <c r="GJ26" s="22">
        <f t="shared" si="179"/>
        <v>0</v>
      </c>
      <c r="GK26" s="22">
        <f t="shared" ref="GK26:GT26" si="180">SUM(GK21,GK25)</f>
        <v>0</v>
      </c>
      <c r="GL26" s="22">
        <f t="shared" si="180"/>
        <v>0</v>
      </c>
      <c r="GM26" s="22">
        <f t="shared" si="180"/>
        <v>0</v>
      </c>
      <c r="GN26" s="22">
        <f t="shared" si="180"/>
        <v>0</v>
      </c>
      <c r="GO26" s="22">
        <f t="shared" si="180"/>
        <v>0</v>
      </c>
      <c r="GP26" s="22">
        <f t="shared" si="180"/>
        <v>0</v>
      </c>
      <c r="GQ26" s="22">
        <f t="shared" si="180"/>
        <v>0</v>
      </c>
      <c r="GR26" s="22">
        <f t="shared" si="180"/>
        <v>0</v>
      </c>
      <c r="GS26" s="22">
        <f t="shared" si="180"/>
        <v>0</v>
      </c>
      <c r="GT26" s="22">
        <f t="shared" si="180"/>
        <v>0</v>
      </c>
      <c r="GU26" s="22">
        <f t="shared" ref="GU26:GY26" si="181">SUM(GU21,GU25)</f>
        <v>0</v>
      </c>
      <c r="GV26" s="22">
        <f t="shared" si="181"/>
        <v>0</v>
      </c>
      <c r="GW26" s="22">
        <f t="shared" si="181"/>
        <v>0</v>
      </c>
      <c r="GX26" s="22">
        <f t="shared" si="181"/>
        <v>0</v>
      </c>
      <c r="GY26" s="22">
        <f t="shared" si="181"/>
        <v>0</v>
      </c>
      <c r="GZ26" s="22">
        <f t="shared" ref="GZ26:HG26" si="182">SUM(GZ21,GZ25)</f>
        <v>0</v>
      </c>
      <c r="HA26" s="22">
        <f t="shared" si="182"/>
        <v>0</v>
      </c>
      <c r="HB26" s="22">
        <f t="shared" si="182"/>
        <v>0</v>
      </c>
      <c r="HC26" s="22">
        <f t="shared" si="182"/>
        <v>0</v>
      </c>
      <c r="HD26" s="22">
        <f t="shared" si="182"/>
        <v>0</v>
      </c>
      <c r="HE26" s="22">
        <f t="shared" si="182"/>
        <v>0</v>
      </c>
      <c r="HF26" s="22">
        <f t="shared" si="182"/>
        <v>0</v>
      </c>
      <c r="HG26" s="22">
        <f t="shared" si="182"/>
        <v>0</v>
      </c>
      <c r="HH26" s="22">
        <f t="shared" ref="HH26:HQ26" si="183">SUM(HH21,HH25)</f>
        <v>0</v>
      </c>
      <c r="HI26" s="22">
        <f t="shared" si="183"/>
        <v>0</v>
      </c>
      <c r="HJ26" s="22">
        <f t="shared" si="183"/>
        <v>0</v>
      </c>
      <c r="HK26" s="22">
        <f t="shared" si="183"/>
        <v>0</v>
      </c>
      <c r="HL26" s="22">
        <f t="shared" si="183"/>
        <v>0</v>
      </c>
      <c r="HM26" s="22">
        <f t="shared" si="183"/>
        <v>0</v>
      </c>
      <c r="HN26" s="22">
        <f t="shared" si="183"/>
        <v>0</v>
      </c>
      <c r="HO26" s="22">
        <f t="shared" si="183"/>
        <v>0</v>
      </c>
      <c r="HP26" s="22">
        <f t="shared" si="183"/>
        <v>0</v>
      </c>
      <c r="HQ26" s="22">
        <f t="shared" si="183"/>
        <v>0</v>
      </c>
      <c r="HR26" s="22">
        <f t="shared" ref="HR26:ID26" si="184">SUM(HR21,HR25)</f>
        <v>0</v>
      </c>
      <c r="HS26" s="22">
        <f t="shared" si="184"/>
        <v>0</v>
      </c>
      <c r="HT26" s="22">
        <f t="shared" si="184"/>
        <v>0</v>
      </c>
      <c r="HU26" s="22">
        <f t="shared" si="184"/>
        <v>0</v>
      </c>
      <c r="HV26" s="22">
        <f t="shared" si="184"/>
        <v>0</v>
      </c>
      <c r="HW26" s="22">
        <f t="shared" si="184"/>
        <v>0</v>
      </c>
      <c r="HX26" s="22">
        <f t="shared" si="184"/>
        <v>0</v>
      </c>
      <c r="HY26" s="22">
        <f t="shared" si="184"/>
        <v>0</v>
      </c>
      <c r="HZ26" s="22">
        <f t="shared" si="184"/>
        <v>0</v>
      </c>
      <c r="IA26" s="22">
        <f t="shared" si="184"/>
        <v>0</v>
      </c>
      <c r="IB26" s="22">
        <f t="shared" si="184"/>
        <v>0</v>
      </c>
      <c r="IC26" s="22">
        <f t="shared" si="184"/>
        <v>0</v>
      </c>
      <c r="ID26" s="22">
        <f t="shared" si="184"/>
        <v>0</v>
      </c>
    </row>
    <row r="27" spans="1:238" s="11" customFormat="1" x14ac:dyDescent="0.35">
      <c r="A27" s="11" t="s">
        <v>31</v>
      </c>
      <c r="D27" s="11">
        <f t="shared" ref="D27:AE27" si="185">SUM(D19:D26)</f>
        <v>176</v>
      </c>
      <c r="E27" s="11">
        <f t="shared" si="185"/>
        <v>176</v>
      </c>
      <c r="F27" s="11">
        <f t="shared" si="185"/>
        <v>176</v>
      </c>
      <c r="G27" s="11">
        <f t="shared" si="185"/>
        <v>336</v>
      </c>
      <c r="H27" s="11">
        <f t="shared" si="185"/>
        <v>254</v>
      </c>
      <c r="I27" s="11">
        <f t="shared" si="185"/>
        <v>252</v>
      </c>
      <c r="J27" s="11">
        <f t="shared" si="185"/>
        <v>256</v>
      </c>
      <c r="K27" s="11">
        <f t="shared" si="185"/>
        <v>256</v>
      </c>
      <c r="L27" s="11">
        <f t="shared" si="185"/>
        <v>256</v>
      </c>
      <c r="M27" s="11">
        <f t="shared" si="185"/>
        <v>256</v>
      </c>
      <c r="N27" s="11">
        <f t="shared" si="185"/>
        <v>344</v>
      </c>
      <c r="O27" s="11">
        <f t="shared" si="185"/>
        <v>344</v>
      </c>
      <c r="P27" s="11">
        <f t="shared" si="185"/>
        <v>344</v>
      </c>
      <c r="Q27" s="11">
        <f t="shared" si="185"/>
        <v>344</v>
      </c>
      <c r="R27" s="11">
        <f t="shared" si="185"/>
        <v>218</v>
      </c>
      <c r="S27" s="11">
        <f t="shared" si="185"/>
        <v>218</v>
      </c>
      <c r="T27" s="11">
        <f t="shared" si="185"/>
        <v>218</v>
      </c>
      <c r="U27" s="11">
        <f t="shared" si="185"/>
        <v>218</v>
      </c>
      <c r="V27" s="11">
        <f t="shared" si="185"/>
        <v>218</v>
      </c>
      <c r="W27" s="11">
        <f t="shared" si="185"/>
        <v>218</v>
      </c>
      <c r="X27" s="11">
        <f t="shared" si="185"/>
        <v>218</v>
      </c>
      <c r="Y27" s="11">
        <f t="shared" si="185"/>
        <v>126</v>
      </c>
      <c r="Z27" s="11">
        <f t="shared" si="185"/>
        <v>168</v>
      </c>
      <c r="AA27" s="11">
        <f t="shared" si="185"/>
        <v>168</v>
      </c>
      <c r="AB27" s="11">
        <f t="shared" si="185"/>
        <v>126</v>
      </c>
      <c r="AC27" s="11">
        <f t="shared" si="185"/>
        <v>126</v>
      </c>
      <c r="AD27" s="11">
        <f t="shared" si="185"/>
        <v>168</v>
      </c>
      <c r="AE27" s="11">
        <f t="shared" si="185"/>
        <v>168</v>
      </c>
      <c r="AF27" s="24"/>
      <c r="AG27" s="11">
        <f t="shared" ref="AG27:BR27" si="186">SUM(AG19:AG26)</f>
        <v>84</v>
      </c>
      <c r="AH27" s="11">
        <f t="shared" si="186"/>
        <v>84</v>
      </c>
      <c r="AI27" s="11">
        <f t="shared" si="186"/>
        <v>84</v>
      </c>
      <c r="AJ27" s="11">
        <f t="shared" si="186"/>
        <v>168</v>
      </c>
      <c r="AK27" s="11">
        <f t="shared" si="186"/>
        <v>168</v>
      </c>
      <c r="AL27" s="11">
        <f t="shared" si="186"/>
        <v>254</v>
      </c>
      <c r="AM27" s="11">
        <f t="shared" si="186"/>
        <v>256</v>
      </c>
      <c r="AN27" s="11">
        <f t="shared" si="186"/>
        <v>170</v>
      </c>
      <c r="AO27" s="11">
        <f t="shared" si="186"/>
        <v>170</v>
      </c>
      <c r="AP27" s="11">
        <f t="shared" si="186"/>
        <v>172</v>
      </c>
      <c r="AQ27" s="11">
        <f t="shared" si="186"/>
        <v>170</v>
      </c>
      <c r="AR27" s="11">
        <f t="shared" si="186"/>
        <v>171</v>
      </c>
      <c r="AS27" s="11">
        <f t="shared" si="186"/>
        <v>172</v>
      </c>
      <c r="AT27" s="11">
        <f t="shared" si="186"/>
        <v>172</v>
      </c>
      <c r="AU27" s="11">
        <f t="shared" si="186"/>
        <v>172</v>
      </c>
      <c r="AV27" s="11">
        <f t="shared" si="186"/>
        <v>172</v>
      </c>
      <c r="AW27" s="11">
        <f t="shared" si="186"/>
        <v>168</v>
      </c>
      <c r="AX27" s="11">
        <f t="shared" si="186"/>
        <v>168</v>
      </c>
      <c r="AY27" s="11">
        <f t="shared" si="186"/>
        <v>168</v>
      </c>
      <c r="AZ27" s="11">
        <f t="shared" si="186"/>
        <v>168</v>
      </c>
      <c r="BA27" s="11">
        <f t="shared" si="186"/>
        <v>168</v>
      </c>
      <c r="BB27" s="11">
        <f t="shared" si="186"/>
        <v>252</v>
      </c>
      <c r="BC27" s="11">
        <f t="shared" si="186"/>
        <v>252</v>
      </c>
      <c r="BD27" s="11">
        <f t="shared" si="186"/>
        <v>252</v>
      </c>
      <c r="BE27" s="11">
        <f t="shared" si="186"/>
        <v>252</v>
      </c>
      <c r="BF27" s="11">
        <f t="shared" si="186"/>
        <v>252</v>
      </c>
      <c r="BG27" s="11">
        <f t="shared" si="186"/>
        <v>254</v>
      </c>
      <c r="BH27" s="11">
        <f t="shared" si="186"/>
        <v>254</v>
      </c>
      <c r="BI27" s="11">
        <f t="shared" si="186"/>
        <v>170</v>
      </c>
      <c r="BJ27" s="11">
        <f t="shared" si="186"/>
        <v>170</v>
      </c>
      <c r="BK27" s="11">
        <f t="shared" si="186"/>
        <v>170</v>
      </c>
      <c r="BL27" s="11">
        <f t="shared" si="186"/>
        <v>170</v>
      </c>
      <c r="BM27" s="11">
        <f t="shared" si="186"/>
        <v>170</v>
      </c>
      <c r="BN27" s="11">
        <f t="shared" si="186"/>
        <v>170</v>
      </c>
      <c r="BO27" s="11">
        <f t="shared" si="186"/>
        <v>168</v>
      </c>
      <c r="BP27" s="11">
        <f t="shared" si="186"/>
        <v>84</v>
      </c>
      <c r="BQ27" s="11">
        <f t="shared" si="186"/>
        <v>84</v>
      </c>
      <c r="BR27" s="11">
        <f t="shared" si="186"/>
        <v>84</v>
      </c>
      <c r="BS27" s="23">
        <f>SUM(BS19,BS26)</f>
        <v>84</v>
      </c>
      <c r="BT27" s="23">
        <f t="shared" ref="BT27:CC27" si="187">SUM(BT19,BT26)</f>
        <v>84</v>
      </c>
      <c r="BU27" s="23">
        <f t="shared" si="187"/>
        <v>84</v>
      </c>
      <c r="BV27" s="23">
        <f t="shared" si="187"/>
        <v>84</v>
      </c>
      <c r="BW27" s="23">
        <f t="shared" si="187"/>
        <v>168</v>
      </c>
      <c r="BX27" s="23">
        <f t="shared" si="187"/>
        <v>168</v>
      </c>
      <c r="BY27" s="23">
        <f t="shared" si="187"/>
        <v>168</v>
      </c>
      <c r="BZ27" s="23">
        <f t="shared" si="187"/>
        <v>168</v>
      </c>
      <c r="CA27" s="23">
        <f t="shared" si="187"/>
        <v>168</v>
      </c>
      <c r="CB27" s="23">
        <f t="shared" si="187"/>
        <v>168</v>
      </c>
      <c r="CC27" s="23">
        <f t="shared" si="187"/>
        <v>168</v>
      </c>
      <c r="CD27" s="23">
        <f t="shared" ref="CD27" si="188">SUM(CD19,CD26)</f>
        <v>168</v>
      </c>
      <c r="CE27" s="23">
        <f t="shared" ref="CE27" si="189">SUM(CE19,CE26)</f>
        <v>168</v>
      </c>
      <c r="CF27" s="23">
        <f t="shared" ref="CF27" si="190">SUM(CF19,CF26)</f>
        <v>84</v>
      </c>
      <c r="CG27" s="23">
        <f t="shared" ref="CG27" si="191">SUM(CG19,CG26)</f>
        <v>168</v>
      </c>
      <c r="CH27" s="23">
        <f t="shared" ref="CH27" si="192">SUM(CH19,CH26)</f>
        <v>168</v>
      </c>
      <c r="CI27" s="23">
        <f t="shared" ref="CI27" si="193">SUM(CI19,CI26)</f>
        <v>168</v>
      </c>
      <c r="CJ27" s="23">
        <f t="shared" ref="CJ27" si="194">SUM(CJ19,CJ26)</f>
        <v>168</v>
      </c>
      <c r="CK27" s="23">
        <f t="shared" ref="CK27:CQ27" si="195">SUM(CK19,CK26)</f>
        <v>168</v>
      </c>
      <c r="CL27" s="23">
        <f t="shared" si="195"/>
        <v>168</v>
      </c>
      <c r="CM27" s="23">
        <f t="shared" si="195"/>
        <v>168</v>
      </c>
      <c r="CN27" s="23">
        <f t="shared" si="195"/>
        <v>126</v>
      </c>
      <c r="CO27" s="23">
        <f t="shared" si="195"/>
        <v>168</v>
      </c>
      <c r="CP27" s="23">
        <f t="shared" si="195"/>
        <v>168</v>
      </c>
      <c r="CQ27" s="23">
        <f t="shared" si="195"/>
        <v>168</v>
      </c>
      <c r="CR27" s="23">
        <f t="shared" ref="CR27:CZ27" si="196">SUM(CR19,CR26)</f>
        <v>168</v>
      </c>
      <c r="CS27" s="23">
        <f t="shared" si="196"/>
        <v>168</v>
      </c>
      <c r="CT27" s="23">
        <f t="shared" si="196"/>
        <v>168</v>
      </c>
      <c r="CU27" s="23">
        <f t="shared" si="196"/>
        <v>168</v>
      </c>
      <c r="CV27" s="23">
        <f t="shared" si="196"/>
        <v>168</v>
      </c>
      <c r="CW27" s="23">
        <f t="shared" si="196"/>
        <v>168</v>
      </c>
      <c r="CX27" s="23">
        <f t="shared" si="196"/>
        <v>84</v>
      </c>
      <c r="CY27" s="23">
        <f t="shared" si="196"/>
        <v>84</v>
      </c>
      <c r="CZ27" s="23">
        <f t="shared" si="196"/>
        <v>84</v>
      </c>
      <c r="DA27" s="23">
        <f t="shared" ref="DA27:DE27" si="197">SUM(DA19,DA26)</f>
        <v>84</v>
      </c>
      <c r="DB27" s="23">
        <f t="shared" si="197"/>
        <v>84</v>
      </c>
      <c r="DC27" s="23">
        <f t="shared" si="197"/>
        <v>84</v>
      </c>
      <c r="DD27" s="23">
        <f t="shared" si="197"/>
        <v>84</v>
      </c>
      <c r="DE27" s="23">
        <f t="shared" si="197"/>
        <v>84</v>
      </c>
      <c r="DF27" s="23">
        <f t="shared" ref="DF27:DJ27" si="198">SUM(DF19,DF26)</f>
        <v>84</v>
      </c>
      <c r="DG27" s="23">
        <f t="shared" si="198"/>
        <v>84</v>
      </c>
      <c r="DH27" s="23">
        <f t="shared" si="198"/>
        <v>84</v>
      </c>
      <c r="DI27" s="23">
        <f t="shared" si="198"/>
        <v>84</v>
      </c>
      <c r="DJ27" s="23">
        <f t="shared" si="198"/>
        <v>84</v>
      </c>
      <c r="DK27" s="23">
        <f t="shared" ref="DK27:DN27" si="199">SUM(DK19,DK26)</f>
        <v>84</v>
      </c>
      <c r="DL27" s="23">
        <f t="shared" si="199"/>
        <v>84</v>
      </c>
      <c r="DM27" s="23">
        <f t="shared" si="199"/>
        <v>0</v>
      </c>
      <c r="DN27" s="23">
        <f t="shared" si="199"/>
        <v>0</v>
      </c>
      <c r="DO27" s="23">
        <f t="shared" ref="DO27:DT27" si="200">SUM(DO19,DO26)</f>
        <v>0</v>
      </c>
      <c r="DP27" s="23">
        <f t="shared" si="200"/>
        <v>0</v>
      </c>
      <c r="DQ27" s="23">
        <f t="shared" si="200"/>
        <v>0</v>
      </c>
      <c r="DR27" s="23">
        <f t="shared" si="200"/>
        <v>0</v>
      </c>
      <c r="DS27" s="23">
        <f t="shared" si="200"/>
        <v>0</v>
      </c>
      <c r="DT27" s="23">
        <f t="shared" si="200"/>
        <v>0</v>
      </c>
      <c r="DU27" s="23">
        <f t="shared" ref="DU27:ED27" si="201">SUM(DU19,DU26)</f>
        <v>0</v>
      </c>
      <c r="DV27" s="23">
        <f t="shared" si="201"/>
        <v>0</v>
      </c>
      <c r="DW27" s="23">
        <f t="shared" si="201"/>
        <v>0</v>
      </c>
      <c r="DX27" s="23">
        <f t="shared" si="201"/>
        <v>0</v>
      </c>
      <c r="DY27" s="23">
        <f t="shared" si="201"/>
        <v>0</v>
      </c>
      <c r="DZ27" s="23">
        <f t="shared" si="201"/>
        <v>0</v>
      </c>
      <c r="EA27" s="23">
        <f t="shared" si="201"/>
        <v>0</v>
      </c>
      <c r="EB27" s="23">
        <f t="shared" si="201"/>
        <v>0</v>
      </c>
      <c r="EC27" s="23">
        <f t="shared" si="201"/>
        <v>0</v>
      </c>
      <c r="ED27" s="23">
        <f t="shared" si="201"/>
        <v>0</v>
      </c>
      <c r="EE27" s="23">
        <f t="shared" ref="EE27:EG27" si="202">SUM(EE19,EE26)</f>
        <v>0</v>
      </c>
      <c r="EF27" s="23">
        <f t="shared" si="202"/>
        <v>0</v>
      </c>
      <c r="EG27" s="23">
        <f t="shared" si="202"/>
        <v>0</v>
      </c>
      <c r="EH27" s="23">
        <f t="shared" ref="EH27:EO27" si="203">SUM(EH19,EH26)</f>
        <v>0</v>
      </c>
      <c r="EI27" s="23">
        <f t="shared" si="203"/>
        <v>0</v>
      </c>
      <c r="EJ27" s="23">
        <f t="shared" si="203"/>
        <v>0</v>
      </c>
      <c r="EK27" s="23">
        <f t="shared" si="203"/>
        <v>0</v>
      </c>
      <c r="EL27" s="23">
        <f t="shared" si="203"/>
        <v>0</v>
      </c>
      <c r="EM27" s="23">
        <f t="shared" si="203"/>
        <v>84</v>
      </c>
      <c r="EN27" s="23">
        <f t="shared" si="203"/>
        <v>84</v>
      </c>
      <c r="EO27" s="23">
        <f t="shared" si="203"/>
        <v>84</v>
      </c>
      <c r="EP27" s="23">
        <f t="shared" ref="EP27:EU27" si="204">SUM(EP19,EP26)</f>
        <v>84</v>
      </c>
      <c r="EQ27" s="23">
        <f t="shared" si="204"/>
        <v>84</v>
      </c>
      <c r="ER27" s="23">
        <f t="shared" si="204"/>
        <v>42</v>
      </c>
      <c r="ES27" s="23">
        <f t="shared" si="204"/>
        <v>84</v>
      </c>
      <c r="ET27" s="23">
        <f t="shared" si="204"/>
        <v>84</v>
      </c>
      <c r="EU27" s="23">
        <f t="shared" si="204"/>
        <v>84</v>
      </c>
      <c r="EV27" s="23">
        <f t="shared" ref="EV27:FF27" si="205">SUM(EV19,EV26)</f>
        <v>0</v>
      </c>
      <c r="EW27" s="23">
        <f t="shared" si="205"/>
        <v>0</v>
      </c>
      <c r="EX27" s="23">
        <f t="shared" si="205"/>
        <v>0</v>
      </c>
      <c r="EY27" s="23">
        <f t="shared" si="205"/>
        <v>0</v>
      </c>
      <c r="EZ27" s="23">
        <f t="shared" si="205"/>
        <v>0</v>
      </c>
      <c r="FA27" s="23">
        <f t="shared" si="205"/>
        <v>0</v>
      </c>
      <c r="FB27" s="23">
        <f t="shared" si="205"/>
        <v>0</v>
      </c>
      <c r="FC27" s="23">
        <f t="shared" si="205"/>
        <v>0</v>
      </c>
      <c r="FD27" s="23">
        <f t="shared" si="205"/>
        <v>0</v>
      </c>
      <c r="FE27" s="23">
        <f t="shared" si="205"/>
        <v>0</v>
      </c>
      <c r="FF27" s="23">
        <f t="shared" si="205"/>
        <v>0</v>
      </c>
      <c r="FG27" s="23">
        <f t="shared" ref="FG27:FP27" si="206">SUM(FG19,FG26)</f>
        <v>0</v>
      </c>
      <c r="FH27" s="23">
        <f t="shared" si="206"/>
        <v>0</v>
      </c>
      <c r="FI27" s="23">
        <f t="shared" si="206"/>
        <v>0</v>
      </c>
      <c r="FJ27" s="23">
        <f t="shared" si="206"/>
        <v>0</v>
      </c>
      <c r="FK27" s="23">
        <f t="shared" si="206"/>
        <v>0</v>
      </c>
      <c r="FL27" s="23">
        <f t="shared" si="206"/>
        <v>0</v>
      </c>
      <c r="FM27" s="23">
        <f t="shared" si="206"/>
        <v>0</v>
      </c>
      <c r="FN27" s="23">
        <f t="shared" si="206"/>
        <v>0</v>
      </c>
      <c r="FO27" s="23">
        <f t="shared" si="206"/>
        <v>0</v>
      </c>
      <c r="FP27" s="23">
        <f t="shared" si="206"/>
        <v>0</v>
      </c>
      <c r="FQ27" s="23">
        <f t="shared" ref="FQ27:FY27" si="207">SUM(FQ19,FQ26)</f>
        <v>0</v>
      </c>
      <c r="FR27" s="23">
        <f t="shared" si="207"/>
        <v>0</v>
      </c>
      <c r="FS27" s="23">
        <f t="shared" si="207"/>
        <v>0</v>
      </c>
      <c r="FT27" s="23">
        <f t="shared" si="207"/>
        <v>0</v>
      </c>
      <c r="FU27" s="23">
        <f t="shared" si="207"/>
        <v>0</v>
      </c>
      <c r="FV27" s="23">
        <f t="shared" si="207"/>
        <v>0</v>
      </c>
      <c r="FW27" s="23">
        <f t="shared" si="207"/>
        <v>0</v>
      </c>
      <c r="FX27" s="23">
        <f t="shared" si="207"/>
        <v>0</v>
      </c>
      <c r="FY27" s="23">
        <f t="shared" si="207"/>
        <v>0</v>
      </c>
      <c r="FZ27" s="23">
        <f t="shared" ref="FZ27:GJ27" si="208">SUM(FZ19,FZ26)</f>
        <v>0</v>
      </c>
      <c r="GA27" s="23">
        <f t="shared" si="208"/>
        <v>0</v>
      </c>
      <c r="GB27" s="23">
        <f t="shared" si="208"/>
        <v>0</v>
      </c>
      <c r="GC27" s="23">
        <f t="shared" si="208"/>
        <v>0</v>
      </c>
      <c r="GD27" s="23">
        <f t="shared" si="208"/>
        <v>0</v>
      </c>
      <c r="GE27" s="23">
        <f t="shared" si="208"/>
        <v>0</v>
      </c>
      <c r="GF27" s="23">
        <f t="shared" si="208"/>
        <v>0</v>
      </c>
      <c r="GG27" s="23">
        <f t="shared" si="208"/>
        <v>0</v>
      </c>
      <c r="GH27" s="23">
        <f t="shared" si="208"/>
        <v>0</v>
      </c>
      <c r="GI27" s="23">
        <f t="shared" si="208"/>
        <v>0</v>
      </c>
      <c r="GJ27" s="23">
        <f t="shared" si="208"/>
        <v>0</v>
      </c>
      <c r="GK27" s="23">
        <f t="shared" ref="GK27:GT27" si="209">SUM(GK19,GK26)</f>
        <v>0</v>
      </c>
      <c r="GL27" s="23">
        <f t="shared" si="209"/>
        <v>0</v>
      </c>
      <c r="GM27" s="23">
        <f t="shared" si="209"/>
        <v>0</v>
      </c>
      <c r="GN27" s="23">
        <f t="shared" si="209"/>
        <v>0</v>
      </c>
      <c r="GO27" s="23">
        <f t="shared" si="209"/>
        <v>0</v>
      </c>
      <c r="GP27" s="23">
        <f t="shared" si="209"/>
        <v>0</v>
      </c>
      <c r="GQ27" s="23">
        <f t="shared" si="209"/>
        <v>0</v>
      </c>
      <c r="GR27" s="23">
        <f t="shared" si="209"/>
        <v>0</v>
      </c>
      <c r="GS27" s="23">
        <f t="shared" si="209"/>
        <v>0</v>
      </c>
      <c r="GT27" s="23">
        <f t="shared" si="209"/>
        <v>0</v>
      </c>
      <c r="GU27" s="23">
        <f t="shared" ref="GU27:GY27" si="210">SUM(GU19,GU26)</f>
        <v>0</v>
      </c>
      <c r="GV27" s="23">
        <f t="shared" si="210"/>
        <v>0</v>
      </c>
      <c r="GW27" s="23">
        <f t="shared" si="210"/>
        <v>0</v>
      </c>
      <c r="GX27" s="23">
        <f t="shared" si="210"/>
        <v>0</v>
      </c>
      <c r="GY27" s="23">
        <f t="shared" si="210"/>
        <v>0</v>
      </c>
      <c r="GZ27" s="23">
        <f t="shared" ref="GZ27:HG27" si="211">SUM(GZ19,GZ26)</f>
        <v>0</v>
      </c>
      <c r="HA27" s="23">
        <f t="shared" si="211"/>
        <v>0</v>
      </c>
      <c r="HB27" s="23">
        <f t="shared" si="211"/>
        <v>0</v>
      </c>
      <c r="HC27" s="23">
        <f t="shared" si="211"/>
        <v>0</v>
      </c>
      <c r="HD27" s="23">
        <f t="shared" si="211"/>
        <v>0</v>
      </c>
      <c r="HE27" s="23">
        <f t="shared" si="211"/>
        <v>0</v>
      </c>
      <c r="HF27" s="23">
        <f t="shared" si="211"/>
        <v>0</v>
      </c>
      <c r="HG27" s="23">
        <f t="shared" si="211"/>
        <v>0</v>
      </c>
      <c r="HH27" s="23">
        <f t="shared" ref="HH27:HQ27" si="212">SUM(HH19,HH26)</f>
        <v>0</v>
      </c>
      <c r="HI27" s="23">
        <f t="shared" si="212"/>
        <v>0</v>
      </c>
      <c r="HJ27" s="23">
        <f t="shared" si="212"/>
        <v>0</v>
      </c>
      <c r="HK27" s="23">
        <f t="shared" si="212"/>
        <v>0</v>
      </c>
      <c r="HL27" s="23">
        <f t="shared" si="212"/>
        <v>0</v>
      </c>
      <c r="HM27" s="23">
        <f t="shared" si="212"/>
        <v>0</v>
      </c>
      <c r="HN27" s="23">
        <f t="shared" si="212"/>
        <v>0</v>
      </c>
      <c r="HO27" s="23">
        <f t="shared" si="212"/>
        <v>0</v>
      </c>
      <c r="HP27" s="23">
        <f t="shared" si="212"/>
        <v>0</v>
      </c>
      <c r="HQ27" s="23">
        <f t="shared" si="212"/>
        <v>0</v>
      </c>
      <c r="HR27" s="23">
        <f t="shared" ref="HR27:ID27" si="213">SUM(HR19,HR26)</f>
        <v>0</v>
      </c>
      <c r="HS27" s="23">
        <f t="shared" si="213"/>
        <v>0</v>
      </c>
      <c r="HT27" s="23">
        <f t="shared" si="213"/>
        <v>0</v>
      </c>
      <c r="HU27" s="23">
        <f t="shared" si="213"/>
        <v>0</v>
      </c>
      <c r="HV27" s="23">
        <f t="shared" si="213"/>
        <v>0</v>
      </c>
      <c r="HW27" s="23">
        <f t="shared" si="213"/>
        <v>0</v>
      </c>
      <c r="HX27" s="23">
        <f t="shared" si="213"/>
        <v>0</v>
      </c>
      <c r="HY27" s="23">
        <f t="shared" si="213"/>
        <v>0</v>
      </c>
      <c r="HZ27" s="23">
        <f t="shared" si="213"/>
        <v>0</v>
      </c>
      <c r="IA27" s="23">
        <f t="shared" si="213"/>
        <v>0</v>
      </c>
      <c r="IB27" s="23">
        <f t="shared" si="213"/>
        <v>0</v>
      </c>
      <c r="IC27" s="23">
        <f t="shared" si="213"/>
        <v>0</v>
      </c>
      <c r="ID27" s="23">
        <f t="shared" si="213"/>
        <v>0</v>
      </c>
    </row>
    <row r="29" spans="1:238" x14ac:dyDescent="0.35">
      <c r="AZ29">
        <f t="shared" ref="AZ29:BR29" si="214">AZ13*42</f>
        <v>84</v>
      </c>
      <c r="BA29">
        <f t="shared" si="214"/>
        <v>84</v>
      </c>
      <c r="BB29">
        <f t="shared" si="214"/>
        <v>168</v>
      </c>
      <c r="BC29">
        <f t="shared" si="214"/>
        <v>168</v>
      </c>
      <c r="BD29">
        <f t="shared" si="214"/>
        <v>168</v>
      </c>
      <c r="BE29">
        <f t="shared" si="214"/>
        <v>168</v>
      </c>
      <c r="BF29">
        <f t="shared" si="214"/>
        <v>126</v>
      </c>
      <c r="BG29">
        <f t="shared" si="214"/>
        <v>84</v>
      </c>
      <c r="BH29">
        <f t="shared" si="214"/>
        <v>84</v>
      </c>
      <c r="BI29">
        <f t="shared" si="214"/>
        <v>84</v>
      </c>
      <c r="BJ29">
        <f t="shared" si="214"/>
        <v>84</v>
      </c>
      <c r="BK29">
        <f t="shared" si="214"/>
        <v>84</v>
      </c>
      <c r="BL29">
        <f t="shared" si="214"/>
        <v>84</v>
      </c>
      <c r="BM29">
        <f t="shared" si="214"/>
        <v>84</v>
      </c>
      <c r="BN29">
        <f t="shared" si="214"/>
        <v>0</v>
      </c>
      <c r="BO29">
        <f t="shared" si="214"/>
        <v>84</v>
      </c>
      <c r="BP29">
        <f t="shared" si="214"/>
        <v>84</v>
      </c>
      <c r="BQ29">
        <f t="shared" si="214"/>
        <v>84</v>
      </c>
      <c r="BR29">
        <f t="shared" si="214"/>
        <v>84</v>
      </c>
    </row>
    <row r="30" spans="1:238" x14ac:dyDescent="0.35">
      <c r="AZ30">
        <f t="shared" ref="AZ30:BR30" si="215">AZ15*42</f>
        <v>84</v>
      </c>
      <c r="BA30">
        <f t="shared" si="215"/>
        <v>84</v>
      </c>
      <c r="BB30">
        <f t="shared" si="215"/>
        <v>84</v>
      </c>
      <c r="BC30">
        <f t="shared" si="215"/>
        <v>84</v>
      </c>
      <c r="BD30">
        <f t="shared" si="215"/>
        <v>84</v>
      </c>
      <c r="BE30">
        <f t="shared" si="215"/>
        <v>84</v>
      </c>
      <c r="BF30">
        <f t="shared" si="215"/>
        <v>126</v>
      </c>
      <c r="BG30">
        <f t="shared" si="215"/>
        <v>84</v>
      </c>
      <c r="BH30">
        <f t="shared" si="215"/>
        <v>84</v>
      </c>
      <c r="BI30">
        <f t="shared" si="215"/>
        <v>0</v>
      </c>
      <c r="BJ30">
        <f t="shared" si="215"/>
        <v>0</v>
      </c>
      <c r="BK30">
        <f t="shared" si="215"/>
        <v>0</v>
      </c>
      <c r="BL30">
        <f t="shared" si="215"/>
        <v>0</v>
      </c>
      <c r="BM30">
        <f t="shared" si="215"/>
        <v>0</v>
      </c>
      <c r="BN30">
        <f t="shared" si="215"/>
        <v>84</v>
      </c>
      <c r="BO30">
        <f t="shared" si="215"/>
        <v>84</v>
      </c>
      <c r="BP30">
        <f t="shared" si="215"/>
        <v>0</v>
      </c>
      <c r="BQ30">
        <f t="shared" si="215"/>
        <v>0</v>
      </c>
      <c r="BR30">
        <f t="shared" si="215"/>
        <v>0</v>
      </c>
    </row>
    <row r="31" spans="1:238" x14ac:dyDescent="0.35">
      <c r="AZ31">
        <f t="shared" ref="AZ31:BR31" si="216">AZ20*42</f>
        <v>0</v>
      </c>
      <c r="BA31">
        <f t="shared" si="216"/>
        <v>0</v>
      </c>
      <c r="BB31">
        <f t="shared" si="216"/>
        <v>0</v>
      </c>
      <c r="BC31">
        <f t="shared" si="216"/>
        <v>0</v>
      </c>
      <c r="BD31">
        <f t="shared" si="216"/>
        <v>0</v>
      </c>
      <c r="BE31">
        <f t="shared" si="216"/>
        <v>0</v>
      </c>
      <c r="BF31">
        <f t="shared" si="216"/>
        <v>0</v>
      </c>
      <c r="BG31">
        <f t="shared" si="216"/>
        <v>0</v>
      </c>
      <c r="BH31">
        <f t="shared" si="216"/>
        <v>0</v>
      </c>
      <c r="BI31">
        <f t="shared" si="216"/>
        <v>84</v>
      </c>
      <c r="BJ31">
        <f t="shared" si="216"/>
        <v>84</v>
      </c>
      <c r="BK31">
        <f t="shared" si="216"/>
        <v>84</v>
      </c>
      <c r="BL31">
        <f t="shared" si="216"/>
        <v>84</v>
      </c>
      <c r="BM31">
        <f t="shared" si="216"/>
        <v>84</v>
      </c>
      <c r="BN31">
        <f t="shared" si="216"/>
        <v>84</v>
      </c>
      <c r="BO31">
        <f t="shared" si="216"/>
        <v>0</v>
      </c>
      <c r="BP31">
        <f t="shared" si="216"/>
        <v>0</v>
      </c>
      <c r="BQ31">
        <f t="shared" si="216"/>
        <v>0</v>
      </c>
      <c r="BR31">
        <f t="shared" si="21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1710-54FE-4512-9239-8127E891A868}">
  <dimension ref="A1:JT83"/>
  <sheetViews>
    <sheetView tabSelected="1" workbookViewId="0">
      <pane ySplit="3" topLeftCell="A6" activePane="bottomLeft" state="frozen"/>
      <selection pane="bottomLeft" activeCell="AF18" sqref="AF18"/>
    </sheetView>
  </sheetViews>
  <sheetFormatPr defaultRowHeight="15.5" x14ac:dyDescent="0.35"/>
  <cols>
    <col min="1" max="1" width="24.25" bestFit="1" customWidth="1"/>
    <col min="2" max="19" width="0" hidden="1" customWidth="1"/>
    <col min="20" max="20" width="8.1640625" hidden="1" customWidth="1"/>
    <col min="21" max="31" width="0" hidden="1" customWidth="1"/>
    <col min="32" max="32" width="11.5" customWidth="1"/>
    <col min="33" max="37" width="13.83203125" hidden="1" customWidth="1"/>
    <col min="38" max="39" width="10.4140625" hidden="1" customWidth="1"/>
    <col min="40" max="46" width="0" hidden="1" customWidth="1"/>
    <col min="47" max="57" width="9.25" hidden="1" customWidth="1"/>
    <col min="58" max="58" width="9.33203125" hidden="1" customWidth="1"/>
    <col min="59" max="68" width="9.25" hidden="1" customWidth="1"/>
    <col min="69" max="69" width="0" hidden="1" customWidth="1"/>
    <col min="70" max="70" width="10.08203125" hidden="1" customWidth="1"/>
    <col min="71" max="74" width="9.9140625" style="18" hidden="1" customWidth="1"/>
    <col min="75" max="75" width="10.6640625" hidden="1" customWidth="1"/>
    <col min="76" max="76" width="10.5" hidden="1" customWidth="1"/>
    <col min="77" max="77" width="10.25" hidden="1" customWidth="1"/>
    <col min="78" max="81" width="9.83203125" hidden="1" customWidth="1"/>
    <col min="82" max="95" width="10.4140625" hidden="1" customWidth="1"/>
    <col min="96" max="96" width="9.33203125" hidden="1" customWidth="1"/>
    <col min="97" max="100" width="8.33203125" hidden="1" customWidth="1"/>
    <col min="101" max="109" width="11.08203125" hidden="1" customWidth="1"/>
    <col min="110" max="110" width="9.6640625" hidden="1" customWidth="1"/>
    <col min="111" max="125" width="9.25" hidden="1" customWidth="1"/>
    <col min="126" max="127" width="10" hidden="1" customWidth="1"/>
    <col min="128" max="136" width="0" hidden="1" customWidth="1"/>
    <col min="137" max="137" width="12.5" hidden="1" customWidth="1"/>
    <col min="138" max="144" width="11.75" style="8" hidden="1" customWidth="1"/>
    <col min="145" max="150" width="9.33203125" style="8" hidden="1" customWidth="1"/>
    <col min="151" max="151" width="10.1640625" style="8" hidden="1" customWidth="1"/>
    <col min="152" max="153" width="9.33203125" style="8" hidden="1" customWidth="1"/>
    <col min="154" max="154" width="9.25" style="8" hidden="1" customWidth="1"/>
    <col min="155" max="157" width="9.25" hidden="1" customWidth="1"/>
    <col min="158" max="158" width="8.25" hidden="1" customWidth="1"/>
    <col min="159" max="165" width="0" hidden="1" customWidth="1"/>
    <col min="166" max="166" width="12.08203125" hidden="1" customWidth="1"/>
    <col min="167" max="167" width="13.75" hidden="1" customWidth="1"/>
    <col min="168" max="168" width="14" hidden="1" customWidth="1"/>
    <col min="169" max="170" width="13.75" hidden="1" customWidth="1"/>
    <col min="171" max="171" width="14.75" hidden="1" customWidth="1"/>
    <col min="172" max="172" width="13" hidden="1" customWidth="1"/>
    <col min="173" max="180" width="13.75" hidden="1" customWidth="1"/>
    <col min="181" max="181" width="11.25" hidden="1" customWidth="1"/>
    <col min="182" max="188" width="9.33203125" hidden="1" customWidth="1"/>
    <col min="189" max="195" width="0" hidden="1" customWidth="1"/>
    <col min="196" max="196" width="11.4140625" hidden="1" customWidth="1"/>
    <col min="197" max="197" width="10.08203125" hidden="1" customWidth="1"/>
    <col min="198" max="200" width="12.08203125" hidden="1" customWidth="1"/>
    <col min="201" max="214" width="10.9140625" hidden="1" customWidth="1"/>
    <col min="215" max="218" width="9.33203125" hidden="1" customWidth="1"/>
    <col min="219" max="227" width="0" hidden="1" customWidth="1"/>
    <col min="228" max="228" width="9.6640625" hidden="1" customWidth="1"/>
    <col min="229" max="247" width="9.33203125" hidden="1" customWidth="1"/>
    <col min="248" max="249" width="10.33203125" hidden="1" customWidth="1"/>
    <col min="250" max="270" width="10.33203125" customWidth="1"/>
    <col min="271" max="277" width="9.33203125" bestFit="1" customWidth="1"/>
  </cols>
  <sheetData>
    <row r="1" spans="1:280" x14ac:dyDescent="0.35">
      <c r="A1" t="s">
        <v>13</v>
      </c>
      <c r="B1" s="4">
        <v>45983</v>
      </c>
      <c r="C1" s="4">
        <v>45984</v>
      </c>
      <c r="D1" s="4">
        <v>45985</v>
      </c>
      <c r="E1" s="4">
        <v>45986</v>
      </c>
      <c r="F1" s="4">
        <v>45987</v>
      </c>
      <c r="G1" s="4">
        <v>45988</v>
      </c>
      <c r="H1" s="4">
        <v>45989</v>
      </c>
      <c r="I1" s="5">
        <v>45990</v>
      </c>
      <c r="J1" s="5">
        <v>45991</v>
      </c>
      <c r="K1" s="4">
        <v>45992</v>
      </c>
      <c r="L1" s="4">
        <v>45993</v>
      </c>
      <c r="M1" s="4">
        <v>45994</v>
      </c>
      <c r="N1" s="4">
        <v>45995</v>
      </c>
      <c r="O1" s="4">
        <v>45996</v>
      </c>
      <c r="P1" s="5">
        <v>45997</v>
      </c>
      <c r="Q1" s="5">
        <v>45998</v>
      </c>
      <c r="R1" s="4">
        <v>45999</v>
      </c>
      <c r="S1" s="4">
        <v>46000</v>
      </c>
      <c r="T1" s="4">
        <v>46001</v>
      </c>
      <c r="U1" s="4">
        <v>46002</v>
      </c>
      <c r="V1" s="4">
        <v>46003</v>
      </c>
      <c r="W1" s="5">
        <v>46004</v>
      </c>
      <c r="X1" s="5">
        <v>46005</v>
      </c>
      <c r="Y1" s="4">
        <v>46006</v>
      </c>
      <c r="Z1" s="4">
        <v>46007</v>
      </c>
      <c r="AA1" s="4">
        <v>46008</v>
      </c>
      <c r="AB1" s="4">
        <v>46009</v>
      </c>
      <c r="AC1" s="4">
        <v>46010</v>
      </c>
      <c r="AD1" s="5">
        <v>46011</v>
      </c>
      <c r="AE1" s="5">
        <v>46012</v>
      </c>
      <c r="AF1" s="5"/>
      <c r="AG1" s="9">
        <v>46018</v>
      </c>
      <c r="AH1" s="9">
        <v>46019</v>
      </c>
      <c r="AI1" s="8">
        <v>46020</v>
      </c>
      <c r="AJ1" s="8">
        <v>46021</v>
      </c>
      <c r="AK1" s="8">
        <v>46022</v>
      </c>
      <c r="AL1" s="8">
        <v>46023</v>
      </c>
      <c r="AM1" s="8">
        <v>46024</v>
      </c>
      <c r="AN1" s="9">
        <v>46025</v>
      </c>
      <c r="AO1" s="9">
        <v>46026</v>
      </c>
      <c r="AP1" s="8">
        <v>46027</v>
      </c>
      <c r="AQ1" s="8">
        <v>46028</v>
      </c>
      <c r="AR1" s="8">
        <v>46029</v>
      </c>
      <c r="AS1" s="8">
        <v>46030</v>
      </c>
      <c r="AT1" s="8">
        <v>46031</v>
      </c>
      <c r="AU1" s="9">
        <v>46032</v>
      </c>
      <c r="AV1" s="9">
        <v>46033</v>
      </c>
      <c r="AW1" s="8">
        <v>46034</v>
      </c>
      <c r="AX1" s="8">
        <v>46035</v>
      </c>
      <c r="AY1" s="8">
        <v>46036</v>
      </c>
      <c r="AZ1" s="8">
        <v>46037</v>
      </c>
      <c r="BA1" s="8">
        <v>46038</v>
      </c>
      <c r="BB1" s="9">
        <v>46039</v>
      </c>
      <c r="BC1" s="9">
        <v>46040</v>
      </c>
      <c r="BD1" s="8">
        <v>46041</v>
      </c>
      <c r="BE1" s="8">
        <v>46042</v>
      </c>
      <c r="BF1" s="8">
        <v>46043</v>
      </c>
      <c r="BG1" s="8">
        <v>46044</v>
      </c>
      <c r="BH1" s="8">
        <v>46045</v>
      </c>
      <c r="BI1" s="9">
        <v>46046</v>
      </c>
      <c r="BJ1" s="9">
        <v>46047</v>
      </c>
      <c r="BK1" s="8">
        <v>46048</v>
      </c>
      <c r="BL1" s="8">
        <v>46049</v>
      </c>
      <c r="BM1" s="8">
        <v>46050</v>
      </c>
      <c r="BN1" s="8">
        <v>46051</v>
      </c>
      <c r="BO1" s="8">
        <v>46052</v>
      </c>
      <c r="BP1" s="9">
        <v>46053</v>
      </c>
      <c r="BQ1" s="9">
        <v>46054</v>
      </c>
      <c r="BR1" s="8">
        <v>46055</v>
      </c>
      <c r="BS1" s="19">
        <v>46056</v>
      </c>
      <c r="BT1" s="19">
        <v>46057</v>
      </c>
      <c r="BU1" s="19">
        <v>46058</v>
      </c>
      <c r="BV1" s="19">
        <v>46059</v>
      </c>
      <c r="BW1" s="9">
        <v>46060</v>
      </c>
      <c r="BX1" s="9">
        <v>46061</v>
      </c>
      <c r="BY1" s="8">
        <v>46062</v>
      </c>
      <c r="BZ1" s="8">
        <v>46063</v>
      </c>
      <c r="CA1" s="8">
        <v>46064</v>
      </c>
      <c r="CB1" s="8">
        <v>46065</v>
      </c>
      <c r="CC1" s="8">
        <v>46066</v>
      </c>
      <c r="CD1" s="9">
        <v>46067</v>
      </c>
      <c r="CE1" s="9">
        <v>46068</v>
      </c>
      <c r="CF1" s="8">
        <v>46069</v>
      </c>
      <c r="CG1" s="8">
        <v>46070</v>
      </c>
      <c r="CH1" s="8">
        <v>46071</v>
      </c>
      <c r="CI1" s="8">
        <v>46072</v>
      </c>
      <c r="CJ1" s="8">
        <v>46073</v>
      </c>
      <c r="CK1" s="9">
        <v>46074</v>
      </c>
      <c r="CL1" s="9">
        <v>46075</v>
      </c>
      <c r="CM1" s="8">
        <v>46076</v>
      </c>
      <c r="CN1" s="8">
        <v>46077</v>
      </c>
      <c r="CO1" s="8">
        <v>46078</v>
      </c>
      <c r="CP1" s="8">
        <v>46079</v>
      </c>
      <c r="CQ1" s="8">
        <v>46080</v>
      </c>
      <c r="CR1" s="9">
        <v>46081</v>
      </c>
      <c r="CS1" s="9">
        <v>46082</v>
      </c>
      <c r="CT1" s="8">
        <v>46083</v>
      </c>
      <c r="CU1" s="8">
        <v>46084</v>
      </c>
      <c r="CV1" s="8">
        <v>46085</v>
      </c>
      <c r="CW1" s="8">
        <v>46086</v>
      </c>
      <c r="CX1" s="8">
        <v>46087</v>
      </c>
      <c r="CY1" s="9">
        <v>46088</v>
      </c>
      <c r="CZ1" s="9">
        <v>46089</v>
      </c>
      <c r="DA1" s="8">
        <v>46090</v>
      </c>
      <c r="DB1" s="8">
        <v>46091</v>
      </c>
      <c r="DC1" s="8">
        <v>46092</v>
      </c>
      <c r="DD1" s="8">
        <v>46093</v>
      </c>
      <c r="DE1" s="8">
        <v>46094</v>
      </c>
      <c r="DF1" s="9">
        <v>46095</v>
      </c>
      <c r="DG1" s="9">
        <v>46096</v>
      </c>
      <c r="DH1" s="8">
        <v>46097</v>
      </c>
      <c r="DI1" s="8">
        <v>46098</v>
      </c>
      <c r="DJ1" s="8">
        <v>46099</v>
      </c>
      <c r="DK1" s="8">
        <v>46100</v>
      </c>
      <c r="DL1" s="8">
        <v>46101</v>
      </c>
      <c r="DM1" s="9">
        <v>46102</v>
      </c>
      <c r="DN1" s="9">
        <v>46103</v>
      </c>
      <c r="DO1" s="8">
        <v>46104</v>
      </c>
      <c r="DP1" s="8">
        <v>46105</v>
      </c>
      <c r="DQ1" s="8">
        <v>46106</v>
      </c>
      <c r="DR1" s="8">
        <v>46107</v>
      </c>
      <c r="DS1" s="8">
        <v>46108</v>
      </c>
      <c r="DT1" s="9">
        <v>46109</v>
      </c>
      <c r="DU1" s="9">
        <v>46110</v>
      </c>
      <c r="DV1" s="8">
        <v>46111</v>
      </c>
      <c r="DW1" s="8">
        <v>46112</v>
      </c>
      <c r="DX1" s="8">
        <v>46113</v>
      </c>
      <c r="DY1" s="8">
        <v>46114</v>
      </c>
      <c r="DZ1" s="8">
        <v>46115</v>
      </c>
      <c r="EA1" s="9">
        <v>46116</v>
      </c>
      <c r="EB1" s="9">
        <v>46117</v>
      </c>
      <c r="EC1" s="8">
        <v>46118</v>
      </c>
      <c r="ED1" s="8">
        <v>46119</v>
      </c>
      <c r="EE1" s="8">
        <v>46120</v>
      </c>
      <c r="EF1" s="8">
        <v>46121</v>
      </c>
      <c r="EG1" s="8">
        <v>46122</v>
      </c>
      <c r="EH1" s="9">
        <v>46123</v>
      </c>
      <c r="EI1" s="9">
        <v>46124</v>
      </c>
      <c r="EJ1" s="8">
        <v>46125</v>
      </c>
      <c r="EK1" s="8">
        <v>46126</v>
      </c>
      <c r="EL1" s="8">
        <v>46127</v>
      </c>
      <c r="EM1" s="8">
        <v>46128</v>
      </c>
      <c r="EN1" s="8">
        <v>46129</v>
      </c>
      <c r="EO1" s="9">
        <v>46130</v>
      </c>
      <c r="EP1" s="9">
        <v>46131</v>
      </c>
      <c r="EQ1" s="8">
        <v>46132</v>
      </c>
      <c r="ER1" s="8">
        <v>46133</v>
      </c>
      <c r="ES1" s="8">
        <v>46134</v>
      </c>
      <c r="ET1" s="8">
        <v>46135</v>
      </c>
      <c r="EU1" s="8">
        <v>46136</v>
      </c>
      <c r="EV1" s="9">
        <v>46137</v>
      </c>
      <c r="EW1" s="9">
        <v>46138</v>
      </c>
      <c r="EX1" s="8">
        <v>46139</v>
      </c>
      <c r="EY1" s="8">
        <v>46140</v>
      </c>
      <c r="EZ1" s="8">
        <v>46141</v>
      </c>
      <c r="FA1" s="8">
        <v>46142</v>
      </c>
      <c r="FB1" s="8">
        <v>46143</v>
      </c>
      <c r="FC1" s="9">
        <v>46144</v>
      </c>
      <c r="FD1" s="9">
        <v>46145</v>
      </c>
      <c r="FE1" s="8">
        <v>46146</v>
      </c>
      <c r="FF1" s="8">
        <v>46147</v>
      </c>
      <c r="FG1" s="8">
        <v>46148</v>
      </c>
      <c r="FH1" s="8">
        <v>46149</v>
      </c>
      <c r="FI1" s="8">
        <v>46150</v>
      </c>
      <c r="FJ1" s="9">
        <v>46151</v>
      </c>
      <c r="FK1" s="9">
        <v>46152</v>
      </c>
      <c r="FL1" s="8">
        <v>46153</v>
      </c>
      <c r="FM1" s="8">
        <v>46154</v>
      </c>
      <c r="FN1" s="8">
        <v>46155</v>
      </c>
      <c r="FO1" s="8">
        <v>46156</v>
      </c>
      <c r="FP1" s="8">
        <v>46157</v>
      </c>
      <c r="FQ1" s="9">
        <v>46158</v>
      </c>
      <c r="FR1" s="9">
        <v>46159</v>
      </c>
      <c r="FS1" s="8">
        <v>46160</v>
      </c>
      <c r="FT1" s="8">
        <v>46161</v>
      </c>
      <c r="FU1" s="8">
        <v>46162</v>
      </c>
      <c r="FV1" s="8">
        <v>46163</v>
      </c>
      <c r="FW1" s="8">
        <v>46164</v>
      </c>
      <c r="FX1" s="9">
        <v>46165</v>
      </c>
      <c r="FY1" s="9">
        <v>46166</v>
      </c>
      <c r="FZ1" s="8">
        <v>46167</v>
      </c>
      <c r="GA1" s="8">
        <v>46168</v>
      </c>
      <c r="GB1" s="8">
        <v>46169</v>
      </c>
      <c r="GC1" s="8">
        <v>46170</v>
      </c>
      <c r="GD1" s="8">
        <v>46171</v>
      </c>
      <c r="GE1" s="9">
        <v>46172</v>
      </c>
      <c r="GF1" s="9">
        <v>46173</v>
      </c>
      <c r="GG1" s="8">
        <v>46174</v>
      </c>
      <c r="GH1" s="8">
        <v>46175</v>
      </c>
      <c r="GI1" s="8">
        <v>46176</v>
      </c>
      <c r="GJ1" s="8">
        <v>46177</v>
      </c>
      <c r="GK1" s="8">
        <v>46178</v>
      </c>
      <c r="GL1" s="9">
        <v>46179</v>
      </c>
      <c r="GM1" s="9">
        <v>46180</v>
      </c>
      <c r="GN1" s="8">
        <v>46181</v>
      </c>
      <c r="GO1" s="8">
        <v>46182</v>
      </c>
      <c r="GP1" s="8">
        <v>46183</v>
      </c>
      <c r="GQ1" s="8">
        <v>46184</v>
      </c>
      <c r="GR1" s="8">
        <v>46185</v>
      </c>
      <c r="GS1" s="9">
        <v>46186</v>
      </c>
      <c r="GT1" s="9">
        <v>46187</v>
      </c>
      <c r="GU1" s="8">
        <v>46188</v>
      </c>
      <c r="GV1" s="8">
        <v>46189</v>
      </c>
      <c r="GW1" s="8">
        <v>46190</v>
      </c>
      <c r="GX1" s="8">
        <v>46191</v>
      </c>
      <c r="GY1" s="8">
        <v>46192</v>
      </c>
      <c r="GZ1" s="9">
        <v>46193</v>
      </c>
      <c r="HA1" s="9">
        <v>46194</v>
      </c>
      <c r="HB1" s="8">
        <v>46195</v>
      </c>
      <c r="HC1" s="8">
        <v>46196</v>
      </c>
      <c r="HD1" s="8">
        <v>46197</v>
      </c>
      <c r="HE1" s="8">
        <v>46198</v>
      </c>
      <c r="HF1" s="8">
        <v>46199</v>
      </c>
      <c r="HG1" s="9">
        <v>46200</v>
      </c>
      <c r="HH1" s="9">
        <v>46201</v>
      </c>
      <c r="HI1" s="8">
        <v>46202</v>
      </c>
      <c r="HJ1" s="8">
        <v>46203</v>
      </c>
      <c r="HK1" s="8">
        <v>46204</v>
      </c>
      <c r="HL1" s="8">
        <v>46205</v>
      </c>
      <c r="HM1" s="8">
        <v>46206</v>
      </c>
      <c r="HN1" s="9">
        <v>46207</v>
      </c>
      <c r="HO1" s="9">
        <v>46208</v>
      </c>
      <c r="HP1" s="8">
        <v>46209</v>
      </c>
      <c r="HQ1" s="8">
        <v>46210</v>
      </c>
      <c r="HR1" s="8">
        <v>46211</v>
      </c>
      <c r="HS1" s="8">
        <v>46212</v>
      </c>
      <c r="HT1" s="8">
        <v>46213</v>
      </c>
      <c r="HU1" s="9">
        <v>46214</v>
      </c>
      <c r="HV1" s="9">
        <v>46215</v>
      </c>
      <c r="HW1" s="8">
        <v>46216</v>
      </c>
      <c r="HX1" s="8">
        <v>46217</v>
      </c>
      <c r="HY1" s="8">
        <v>46218</v>
      </c>
      <c r="HZ1" s="8">
        <v>46219</v>
      </c>
      <c r="IA1" s="8">
        <v>46220</v>
      </c>
      <c r="IB1" s="9">
        <v>46221</v>
      </c>
      <c r="IC1" s="9">
        <v>46222</v>
      </c>
      <c r="ID1" s="8">
        <v>46223</v>
      </c>
      <c r="IE1" s="8">
        <v>46224</v>
      </c>
      <c r="IF1" s="8">
        <v>46225</v>
      </c>
      <c r="IG1" s="8">
        <v>46226</v>
      </c>
      <c r="IH1" s="8">
        <v>46227</v>
      </c>
      <c r="II1" s="9">
        <v>46228</v>
      </c>
      <c r="IJ1" s="9">
        <v>46229</v>
      </c>
      <c r="IK1" s="8">
        <v>46230</v>
      </c>
      <c r="IL1" s="8">
        <v>46231</v>
      </c>
      <c r="IM1" s="8">
        <v>46232</v>
      </c>
      <c r="IN1" s="8">
        <v>46233</v>
      </c>
      <c r="IO1" s="8">
        <v>46234</v>
      </c>
      <c r="IP1" s="9">
        <v>46235</v>
      </c>
      <c r="IQ1" s="9">
        <v>46236</v>
      </c>
      <c r="IR1" s="8">
        <v>46237</v>
      </c>
      <c r="IS1" s="8">
        <v>46238</v>
      </c>
      <c r="IT1" s="8">
        <v>46239</v>
      </c>
      <c r="IU1" s="8">
        <v>46240</v>
      </c>
      <c r="IV1" s="8">
        <v>46241</v>
      </c>
      <c r="IW1" s="9">
        <v>46242</v>
      </c>
      <c r="IX1" s="9">
        <v>46243</v>
      </c>
      <c r="IY1" s="8">
        <v>46244</v>
      </c>
      <c r="IZ1" s="8">
        <v>46245</v>
      </c>
      <c r="JA1" s="8">
        <v>46246</v>
      </c>
      <c r="JB1" s="8">
        <v>46247</v>
      </c>
      <c r="JC1" s="8">
        <v>46248</v>
      </c>
      <c r="JD1" s="9">
        <v>46249</v>
      </c>
      <c r="JE1" s="9">
        <v>46250</v>
      </c>
      <c r="JF1" s="8">
        <v>46251</v>
      </c>
      <c r="JG1" s="8">
        <v>46252</v>
      </c>
      <c r="JH1" s="8">
        <v>46253</v>
      </c>
      <c r="JI1" s="8">
        <v>46254</v>
      </c>
      <c r="JJ1" s="8">
        <v>46255</v>
      </c>
      <c r="JK1" s="9">
        <v>46256</v>
      </c>
      <c r="JL1" s="9">
        <v>46257</v>
      </c>
      <c r="JM1" s="8">
        <v>46258</v>
      </c>
      <c r="JN1" s="8">
        <v>46259</v>
      </c>
      <c r="JO1" s="8">
        <v>46260</v>
      </c>
      <c r="JP1" s="8">
        <v>46261</v>
      </c>
      <c r="JQ1" s="8">
        <v>46262</v>
      </c>
      <c r="JR1" s="9">
        <v>46263</v>
      </c>
      <c r="JS1" s="9">
        <v>46264</v>
      </c>
    </row>
    <row r="2" spans="1:280" hidden="1" x14ac:dyDescent="0.35">
      <c r="A2" t="s">
        <v>11</v>
      </c>
      <c r="C2">
        <f>4*45</f>
        <v>180</v>
      </c>
      <c r="D2">
        <f>45*3</f>
        <v>135</v>
      </c>
    </row>
    <row r="3" spans="1:280" hidden="1" x14ac:dyDescent="0.35"/>
    <row r="4" spans="1:280" s="1" customFormat="1" x14ac:dyDescent="0.35">
      <c r="A4" s="1" t="s">
        <v>40</v>
      </c>
      <c r="B4" s="1">
        <v>5</v>
      </c>
      <c r="C4" s="1">
        <v>5</v>
      </c>
      <c r="D4" s="1">
        <v>5</v>
      </c>
      <c r="E4" s="1">
        <v>6</v>
      </c>
      <c r="F4" s="1">
        <v>6</v>
      </c>
      <c r="G4" s="1">
        <v>6</v>
      </c>
      <c r="H4" s="1">
        <v>6</v>
      </c>
      <c r="I4" s="1">
        <v>7</v>
      </c>
      <c r="J4" s="1">
        <v>7</v>
      </c>
      <c r="K4" s="1">
        <v>7</v>
      </c>
      <c r="L4" s="1">
        <v>7</v>
      </c>
      <c r="M4" s="1">
        <v>7</v>
      </c>
      <c r="N4" s="1">
        <v>7</v>
      </c>
      <c r="O4" s="1">
        <v>7</v>
      </c>
      <c r="P4" s="1">
        <v>9</v>
      </c>
      <c r="Q4" s="1">
        <v>9</v>
      </c>
      <c r="R4" s="1">
        <v>8</v>
      </c>
      <c r="S4" s="1">
        <v>8</v>
      </c>
      <c r="T4" s="1">
        <v>8</v>
      </c>
      <c r="U4" s="1">
        <v>5</v>
      </c>
      <c r="V4" s="1">
        <v>3</v>
      </c>
      <c r="W4" s="1">
        <v>15</v>
      </c>
      <c r="X4" s="1">
        <v>15</v>
      </c>
      <c r="Y4" s="1">
        <v>15</v>
      </c>
      <c r="Z4" s="1">
        <v>9</v>
      </c>
      <c r="AA4" s="1">
        <v>9</v>
      </c>
      <c r="AB4" s="1">
        <v>9</v>
      </c>
      <c r="AC4" s="1">
        <v>9</v>
      </c>
      <c r="AD4" s="1">
        <v>3</v>
      </c>
      <c r="AE4" s="1">
        <v>3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2</v>
      </c>
      <c r="AM4" s="1">
        <v>2</v>
      </c>
      <c r="AN4" s="1">
        <v>2</v>
      </c>
      <c r="AO4" s="1">
        <v>2</v>
      </c>
      <c r="AP4" s="1">
        <v>2</v>
      </c>
      <c r="AQ4" s="1">
        <v>7</v>
      </c>
      <c r="AR4" s="1">
        <v>7</v>
      </c>
      <c r="AS4" s="1">
        <v>8</v>
      </c>
      <c r="AT4" s="1">
        <v>8</v>
      </c>
      <c r="AU4" s="1">
        <v>5</v>
      </c>
      <c r="AV4" s="1">
        <v>5</v>
      </c>
      <c r="AW4" s="1">
        <v>5</v>
      </c>
      <c r="AX4" s="1">
        <v>7</v>
      </c>
      <c r="AY4" s="1">
        <v>6</v>
      </c>
      <c r="AZ4" s="1">
        <v>6</v>
      </c>
      <c r="BA4" s="1">
        <v>6</v>
      </c>
      <c r="BB4" s="1">
        <v>7</v>
      </c>
      <c r="BC4" s="1">
        <v>7</v>
      </c>
      <c r="BD4" s="1">
        <v>7</v>
      </c>
      <c r="BE4" s="1">
        <v>7</v>
      </c>
      <c r="BF4" s="1">
        <v>7</v>
      </c>
      <c r="BG4" s="1">
        <v>7</v>
      </c>
      <c r="BH4" s="1">
        <v>7</v>
      </c>
      <c r="BI4" s="1">
        <v>5</v>
      </c>
      <c r="BJ4" s="1">
        <v>5</v>
      </c>
      <c r="BK4" s="1">
        <v>5</v>
      </c>
      <c r="BL4" s="1">
        <v>6</v>
      </c>
      <c r="BM4" s="1">
        <v>6</v>
      </c>
      <c r="BN4" s="1">
        <v>11</v>
      </c>
      <c r="BO4" s="1">
        <v>13</v>
      </c>
      <c r="BP4" s="1">
        <v>19</v>
      </c>
      <c r="BQ4" s="1">
        <v>19</v>
      </c>
      <c r="BR4" s="1">
        <v>19</v>
      </c>
      <c r="BS4" s="14">
        <v>10</v>
      </c>
      <c r="BT4" s="14">
        <v>8</v>
      </c>
      <c r="BU4" s="14">
        <v>7</v>
      </c>
      <c r="BV4" s="14">
        <v>7</v>
      </c>
      <c r="BW4" s="14">
        <v>4</v>
      </c>
      <c r="BX4" s="14">
        <v>4</v>
      </c>
      <c r="BY4" s="14"/>
      <c r="BZ4" s="14"/>
      <c r="CA4" s="14"/>
      <c r="CB4" s="14">
        <v>3</v>
      </c>
      <c r="CC4" s="14">
        <v>3</v>
      </c>
      <c r="CD4" s="14">
        <v>4</v>
      </c>
      <c r="CE4" s="14">
        <v>4</v>
      </c>
      <c r="CF4" s="14">
        <v>4</v>
      </c>
      <c r="CG4" s="14">
        <v>4</v>
      </c>
      <c r="CH4" s="14">
        <v>4</v>
      </c>
      <c r="CI4" s="14">
        <v>4</v>
      </c>
      <c r="CJ4" s="14">
        <v>4</v>
      </c>
      <c r="CK4" s="14">
        <v>4</v>
      </c>
      <c r="CL4" s="14">
        <v>4</v>
      </c>
      <c r="CM4" s="14">
        <v>4</v>
      </c>
      <c r="CN4" s="14">
        <v>4</v>
      </c>
      <c r="CO4" s="14">
        <v>4</v>
      </c>
      <c r="CP4" s="14">
        <v>4</v>
      </c>
      <c r="CQ4" s="14">
        <v>4</v>
      </c>
      <c r="CR4" s="14">
        <v>4</v>
      </c>
      <c r="CS4" s="14">
        <v>4</v>
      </c>
      <c r="CT4" s="14">
        <v>4</v>
      </c>
      <c r="CU4" s="14">
        <v>4</v>
      </c>
      <c r="CV4" s="14">
        <v>4</v>
      </c>
      <c r="CW4" s="14">
        <v>4</v>
      </c>
      <c r="CX4" s="14">
        <v>4</v>
      </c>
      <c r="CY4" s="14">
        <v>4</v>
      </c>
      <c r="CZ4" s="14">
        <v>4</v>
      </c>
      <c r="DA4" s="14">
        <v>4</v>
      </c>
      <c r="DB4" s="14">
        <v>4</v>
      </c>
      <c r="DC4" s="14">
        <v>4</v>
      </c>
      <c r="DD4" s="14">
        <v>4</v>
      </c>
      <c r="DE4" s="14">
        <v>4</v>
      </c>
      <c r="DF4" s="14">
        <v>3</v>
      </c>
      <c r="DG4" s="14">
        <v>3</v>
      </c>
      <c r="DH4" s="14">
        <v>3</v>
      </c>
      <c r="DI4" s="14">
        <v>3</v>
      </c>
      <c r="DJ4" s="14">
        <v>3</v>
      </c>
      <c r="DK4" s="14">
        <v>3</v>
      </c>
      <c r="DL4" s="14">
        <v>3</v>
      </c>
      <c r="DM4" s="14"/>
      <c r="DN4" s="14"/>
      <c r="DO4" s="14"/>
      <c r="DP4" s="14"/>
      <c r="DQ4" s="14"/>
      <c r="DR4" s="14"/>
      <c r="DS4" s="14"/>
      <c r="DT4" s="14">
        <v>2</v>
      </c>
      <c r="DU4" s="14">
        <v>2</v>
      </c>
      <c r="DV4" s="14">
        <v>2</v>
      </c>
      <c r="DW4" s="14">
        <v>2</v>
      </c>
      <c r="DX4" s="14">
        <v>2</v>
      </c>
      <c r="DY4" s="14">
        <v>4</v>
      </c>
      <c r="DZ4" s="14">
        <v>4</v>
      </c>
      <c r="EA4" s="14"/>
      <c r="EB4" s="14"/>
      <c r="EC4" s="14"/>
      <c r="ED4" s="14">
        <v>2</v>
      </c>
      <c r="EE4" s="14">
        <v>2</v>
      </c>
      <c r="EF4" s="14">
        <v>2</v>
      </c>
      <c r="EG4" s="14">
        <v>2</v>
      </c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>
        <v>2</v>
      </c>
      <c r="EW4" s="14">
        <v>2</v>
      </c>
      <c r="EX4" s="14">
        <v>2</v>
      </c>
      <c r="EY4" s="14">
        <v>2</v>
      </c>
      <c r="EZ4" s="14">
        <v>2</v>
      </c>
      <c r="FA4" s="14">
        <v>2</v>
      </c>
      <c r="FB4" s="14">
        <v>2</v>
      </c>
      <c r="FC4" s="14">
        <v>2</v>
      </c>
      <c r="FD4" s="14">
        <v>2</v>
      </c>
      <c r="FE4" s="14">
        <v>2</v>
      </c>
      <c r="FF4" s="14">
        <v>2</v>
      </c>
      <c r="FG4" s="14">
        <v>2</v>
      </c>
      <c r="FH4" s="14">
        <v>2</v>
      </c>
      <c r="FI4" s="14">
        <v>2</v>
      </c>
      <c r="FJ4" s="14">
        <v>4</v>
      </c>
      <c r="FK4" s="14">
        <v>4</v>
      </c>
      <c r="FL4" s="14">
        <v>4</v>
      </c>
      <c r="FM4" s="14">
        <v>4</v>
      </c>
      <c r="FN4" s="14">
        <v>4</v>
      </c>
      <c r="FO4" s="14">
        <v>4</v>
      </c>
      <c r="FP4" s="14">
        <v>4</v>
      </c>
      <c r="FQ4" s="14">
        <v>3</v>
      </c>
      <c r="FR4" s="14">
        <v>3</v>
      </c>
      <c r="FS4" s="14">
        <v>3</v>
      </c>
      <c r="FT4" s="14">
        <v>3</v>
      </c>
      <c r="FU4" s="14">
        <v>3</v>
      </c>
      <c r="FV4" s="14">
        <v>3</v>
      </c>
      <c r="FW4" s="14">
        <v>3</v>
      </c>
      <c r="FX4" s="14">
        <v>3</v>
      </c>
      <c r="FY4" s="14">
        <v>3</v>
      </c>
      <c r="FZ4" s="14">
        <v>3</v>
      </c>
      <c r="GA4" s="14">
        <v>3</v>
      </c>
      <c r="GB4" s="14">
        <v>3</v>
      </c>
      <c r="GC4" s="14">
        <v>3</v>
      </c>
      <c r="GD4" s="14">
        <v>3</v>
      </c>
      <c r="GE4" s="14">
        <v>2</v>
      </c>
      <c r="GF4" s="14">
        <v>2</v>
      </c>
      <c r="GG4" s="14">
        <v>2</v>
      </c>
      <c r="GH4" s="14">
        <v>2</v>
      </c>
      <c r="GI4" s="14">
        <v>2</v>
      </c>
      <c r="GJ4" s="14">
        <v>2</v>
      </c>
      <c r="GK4" s="14">
        <v>2</v>
      </c>
      <c r="GL4" s="14"/>
      <c r="GM4" s="14"/>
      <c r="GN4" s="14">
        <v>3</v>
      </c>
      <c r="GO4" s="14">
        <v>3</v>
      </c>
      <c r="GP4" s="14">
        <v>3</v>
      </c>
      <c r="GQ4" s="14">
        <v>3</v>
      </c>
      <c r="GR4" s="14">
        <v>3</v>
      </c>
      <c r="GS4" s="14">
        <v>2</v>
      </c>
      <c r="GT4" s="14">
        <v>2</v>
      </c>
      <c r="GU4" s="14">
        <v>2</v>
      </c>
      <c r="GV4" s="14">
        <v>2</v>
      </c>
      <c r="GW4" s="14">
        <v>2</v>
      </c>
      <c r="GX4" s="14">
        <v>3</v>
      </c>
      <c r="GY4" s="14">
        <v>3</v>
      </c>
      <c r="GZ4" s="14">
        <v>4</v>
      </c>
      <c r="HA4" s="14">
        <v>4</v>
      </c>
      <c r="HB4" s="14">
        <v>4</v>
      </c>
      <c r="HC4" s="14">
        <v>4</v>
      </c>
      <c r="HD4" s="14">
        <v>4</v>
      </c>
      <c r="HE4" s="14">
        <v>3</v>
      </c>
      <c r="HF4" s="14">
        <v>3</v>
      </c>
      <c r="HG4" s="14">
        <v>4</v>
      </c>
      <c r="HH4" s="14">
        <v>4</v>
      </c>
      <c r="HI4" s="14">
        <v>4</v>
      </c>
      <c r="HJ4" s="14">
        <v>4</v>
      </c>
      <c r="HK4" s="14">
        <v>4</v>
      </c>
      <c r="HL4" s="14">
        <v>4</v>
      </c>
      <c r="HM4" s="14">
        <v>4</v>
      </c>
      <c r="HN4" s="14">
        <v>4</v>
      </c>
      <c r="HO4" s="14">
        <v>4</v>
      </c>
      <c r="HP4" s="14">
        <v>4</v>
      </c>
      <c r="HQ4" s="14">
        <v>4</v>
      </c>
      <c r="HR4" s="14">
        <v>4</v>
      </c>
      <c r="HS4" s="14">
        <v>3</v>
      </c>
      <c r="HT4" s="14">
        <v>3</v>
      </c>
      <c r="HU4" s="14">
        <v>4</v>
      </c>
      <c r="HV4" s="14">
        <v>4</v>
      </c>
      <c r="HW4" s="14">
        <v>4</v>
      </c>
      <c r="HX4" s="14">
        <v>4</v>
      </c>
      <c r="HY4" s="14">
        <v>4</v>
      </c>
      <c r="HZ4" s="14">
        <v>4</v>
      </c>
      <c r="IA4" s="14">
        <v>4</v>
      </c>
      <c r="IB4" s="14">
        <v>4</v>
      </c>
      <c r="IC4" s="14">
        <v>4</v>
      </c>
      <c r="ID4" s="14">
        <v>4</v>
      </c>
      <c r="IE4" s="14">
        <v>4</v>
      </c>
      <c r="IF4" s="14">
        <v>4</v>
      </c>
      <c r="IG4" s="14">
        <v>4</v>
      </c>
      <c r="IH4" s="14">
        <v>4</v>
      </c>
      <c r="II4" s="14">
        <v>5</v>
      </c>
      <c r="IJ4" s="14">
        <v>5</v>
      </c>
      <c r="IK4" s="14">
        <v>5</v>
      </c>
      <c r="IL4" s="14">
        <v>5</v>
      </c>
      <c r="IM4" s="14">
        <v>5</v>
      </c>
      <c r="IN4" s="14">
        <v>5</v>
      </c>
      <c r="IO4" s="14">
        <v>5</v>
      </c>
      <c r="IP4" s="14">
        <v>5</v>
      </c>
      <c r="IQ4" s="14">
        <v>5</v>
      </c>
      <c r="IR4" s="14">
        <v>5</v>
      </c>
      <c r="IS4" s="14">
        <v>5</v>
      </c>
      <c r="IT4" s="14">
        <v>5</v>
      </c>
      <c r="IU4" s="14">
        <v>5</v>
      </c>
      <c r="IV4" s="14">
        <v>5</v>
      </c>
      <c r="IW4" s="14">
        <v>5</v>
      </c>
      <c r="IX4" s="14">
        <v>5</v>
      </c>
      <c r="IY4" s="14">
        <v>5</v>
      </c>
      <c r="IZ4" s="14">
        <v>5</v>
      </c>
      <c r="JA4" s="14">
        <v>5</v>
      </c>
      <c r="JB4" s="14">
        <v>5</v>
      </c>
      <c r="JC4" s="14">
        <v>5</v>
      </c>
      <c r="JD4" s="14">
        <v>5</v>
      </c>
      <c r="JE4" s="14">
        <v>5</v>
      </c>
      <c r="JF4" s="14">
        <v>5</v>
      </c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</row>
    <row r="5" spans="1:280" s="2" customFormat="1" x14ac:dyDescent="0.35">
      <c r="A5" s="2" t="s">
        <v>41</v>
      </c>
      <c r="B5" s="2">
        <f t="shared" ref="B5:H5" si="0">16380*B4/1000</f>
        <v>81.900000000000006</v>
      </c>
      <c r="C5" s="2">
        <f t="shared" si="0"/>
        <v>81.900000000000006</v>
      </c>
      <c r="D5" s="2">
        <f t="shared" si="0"/>
        <v>81.900000000000006</v>
      </c>
      <c r="E5" s="2">
        <f t="shared" si="0"/>
        <v>98.28</v>
      </c>
      <c r="F5" s="2">
        <f t="shared" si="0"/>
        <v>98.28</v>
      </c>
      <c r="G5" s="2">
        <f t="shared" si="0"/>
        <v>98.28</v>
      </c>
      <c r="H5" s="2">
        <f t="shared" si="0"/>
        <v>98.28</v>
      </c>
      <c r="I5" s="2">
        <v>114.66</v>
      </c>
      <c r="J5" s="2">
        <v>114.66</v>
      </c>
      <c r="K5" s="2">
        <v>114.66</v>
      </c>
      <c r="L5" s="2">
        <v>114.66</v>
      </c>
      <c r="M5" s="2">
        <v>114.66</v>
      </c>
      <c r="N5" s="2">
        <v>114.66</v>
      </c>
      <c r="O5" s="2">
        <v>114.66</v>
      </c>
      <c r="P5" s="2">
        <f t="shared" ref="P5:AE5" si="1">16380*P4/1000</f>
        <v>147.41999999999999</v>
      </c>
      <c r="Q5" s="2">
        <f t="shared" si="1"/>
        <v>147.41999999999999</v>
      </c>
      <c r="R5" s="2">
        <f t="shared" si="1"/>
        <v>131.04</v>
      </c>
      <c r="S5" s="2">
        <f t="shared" si="1"/>
        <v>131.04</v>
      </c>
      <c r="T5" s="2">
        <f t="shared" si="1"/>
        <v>131.04</v>
      </c>
      <c r="U5" s="2">
        <f t="shared" si="1"/>
        <v>81.900000000000006</v>
      </c>
      <c r="V5" s="2">
        <f t="shared" si="1"/>
        <v>49.14</v>
      </c>
      <c r="W5" s="2">
        <f t="shared" si="1"/>
        <v>245.7</v>
      </c>
      <c r="X5" s="2">
        <f t="shared" si="1"/>
        <v>245.7</v>
      </c>
      <c r="Y5" s="2">
        <f t="shared" si="1"/>
        <v>245.7</v>
      </c>
      <c r="Z5" s="2">
        <f t="shared" si="1"/>
        <v>147.41999999999999</v>
      </c>
      <c r="AA5" s="2">
        <f t="shared" si="1"/>
        <v>147.41999999999999</v>
      </c>
      <c r="AB5" s="2">
        <f t="shared" si="1"/>
        <v>147.41999999999999</v>
      </c>
      <c r="AC5" s="2">
        <f t="shared" si="1"/>
        <v>147.41999999999999</v>
      </c>
      <c r="AD5" s="2">
        <f t="shared" si="1"/>
        <v>49.14</v>
      </c>
      <c r="AE5" s="2">
        <f t="shared" si="1"/>
        <v>49.14</v>
      </c>
      <c r="AG5" s="2">
        <f t="shared" ref="AG5:BA5" si="2">16380*AG4/1000</f>
        <v>65.52</v>
      </c>
      <c r="AH5" s="2">
        <f t="shared" si="2"/>
        <v>65.52</v>
      </c>
      <c r="AI5" s="2">
        <f t="shared" si="2"/>
        <v>65.52</v>
      </c>
      <c r="AJ5" s="2">
        <f t="shared" si="2"/>
        <v>65.52</v>
      </c>
      <c r="AK5" s="2">
        <f t="shared" si="2"/>
        <v>65.52</v>
      </c>
      <c r="AL5" s="2">
        <f t="shared" si="2"/>
        <v>32.76</v>
      </c>
      <c r="AM5" s="2">
        <f t="shared" si="2"/>
        <v>32.76</v>
      </c>
      <c r="AN5" s="2">
        <f t="shared" si="2"/>
        <v>32.76</v>
      </c>
      <c r="AO5" s="2">
        <f t="shared" si="2"/>
        <v>32.76</v>
      </c>
      <c r="AP5" s="2">
        <f t="shared" si="2"/>
        <v>32.76</v>
      </c>
      <c r="AQ5" s="2">
        <f t="shared" si="2"/>
        <v>114.66</v>
      </c>
      <c r="AR5" s="2">
        <f t="shared" si="2"/>
        <v>114.66</v>
      </c>
      <c r="AS5" s="2">
        <f t="shared" si="2"/>
        <v>131.04</v>
      </c>
      <c r="AT5" s="2">
        <f t="shared" si="2"/>
        <v>131.04</v>
      </c>
      <c r="AU5" s="2">
        <f t="shared" si="2"/>
        <v>81.900000000000006</v>
      </c>
      <c r="AV5" s="2">
        <f t="shared" si="2"/>
        <v>81.900000000000006</v>
      </c>
      <c r="AW5" s="2">
        <f t="shared" si="2"/>
        <v>81.900000000000006</v>
      </c>
      <c r="AX5" s="2">
        <f t="shared" si="2"/>
        <v>114.66</v>
      </c>
      <c r="AY5" s="2">
        <f t="shared" si="2"/>
        <v>98.28</v>
      </c>
      <c r="AZ5" s="2">
        <f t="shared" si="2"/>
        <v>98.28</v>
      </c>
      <c r="BA5" s="2">
        <f t="shared" si="2"/>
        <v>98.28</v>
      </c>
      <c r="BB5" s="2">
        <f t="shared" ref="BB5:BH5" si="3">16380*BB4/1000</f>
        <v>114.66</v>
      </c>
      <c r="BC5" s="2">
        <f t="shared" si="3"/>
        <v>114.66</v>
      </c>
      <c r="BD5" s="2">
        <f t="shared" si="3"/>
        <v>114.66</v>
      </c>
      <c r="BE5" s="2">
        <f t="shared" si="3"/>
        <v>114.66</v>
      </c>
      <c r="BF5" s="2">
        <f t="shared" si="3"/>
        <v>114.66</v>
      </c>
      <c r="BG5" s="2">
        <f t="shared" si="3"/>
        <v>114.66</v>
      </c>
      <c r="BH5" s="2">
        <f t="shared" si="3"/>
        <v>114.66</v>
      </c>
      <c r="BI5" s="2">
        <f t="shared" ref="BI5:BV5" si="4">16380*BI4/1000</f>
        <v>81.900000000000006</v>
      </c>
      <c r="BJ5" s="2">
        <f t="shared" si="4"/>
        <v>81.900000000000006</v>
      </c>
      <c r="BK5" s="2">
        <f t="shared" si="4"/>
        <v>81.900000000000006</v>
      </c>
      <c r="BL5" s="2">
        <f t="shared" si="4"/>
        <v>98.28</v>
      </c>
      <c r="BM5" s="2">
        <f t="shared" si="4"/>
        <v>98.28</v>
      </c>
      <c r="BN5" s="2">
        <f t="shared" si="4"/>
        <v>180.18</v>
      </c>
      <c r="BO5" s="2">
        <f t="shared" si="4"/>
        <v>212.94</v>
      </c>
      <c r="BP5" s="2">
        <f t="shared" si="4"/>
        <v>311.22000000000003</v>
      </c>
      <c r="BQ5" s="2">
        <f t="shared" si="4"/>
        <v>311.22000000000003</v>
      </c>
      <c r="BR5" s="2">
        <f t="shared" si="4"/>
        <v>311.22000000000003</v>
      </c>
      <c r="BS5" s="17">
        <f t="shared" si="4"/>
        <v>163.80000000000001</v>
      </c>
      <c r="BT5" s="17">
        <f t="shared" si="4"/>
        <v>131.04</v>
      </c>
      <c r="BU5" s="17">
        <f t="shared" si="4"/>
        <v>114.66</v>
      </c>
      <c r="BV5" s="17">
        <f t="shared" si="4"/>
        <v>114.66</v>
      </c>
      <c r="BW5" s="17">
        <f t="shared" ref="BW5:CC5" si="5">16380*BW4/1000</f>
        <v>65.52</v>
      </c>
      <c r="BX5" s="17">
        <f t="shared" si="5"/>
        <v>65.52</v>
      </c>
      <c r="BY5" s="17">
        <f t="shared" si="5"/>
        <v>0</v>
      </c>
      <c r="BZ5" s="17">
        <f t="shared" si="5"/>
        <v>0</v>
      </c>
      <c r="CA5" s="17">
        <f t="shared" si="5"/>
        <v>0</v>
      </c>
      <c r="CB5" s="17">
        <f t="shared" si="5"/>
        <v>49.14</v>
      </c>
      <c r="CC5" s="17">
        <f t="shared" si="5"/>
        <v>49.14</v>
      </c>
      <c r="CD5" s="17">
        <f t="shared" ref="CD5:CJ5" si="6">16380*CD4/1000</f>
        <v>65.52</v>
      </c>
      <c r="CE5" s="17">
        <f t="shared" si="6"/>
        <v>65.52</v>
      </c>
      <c r="CF5" s="17">
        <f t="shared" si="6"/>
        <v>65.52</v>
      </c>
      <c r="CG5" s="17">
        <f t="shared" si="6"/>
        <v>65.52</v>
      </c>
      <c r="CH5" s="17">
        <f t="shared" si="6"/>
        <v>65.52</v>
      </c>
      <c r="CI5" s="17">
        <f t="shared" si="6"/>
        <v>65.52</v>
      </c>
      <c r="CJ5" s="17">
        <f t="shared" si="6"/>
        <v>65.52</v>
      </c>
      <c r="CK5" s="17">
        <f t="shared" ref="CK5:CQ5" si="7">16380*CK4/1000</f>
        <v>65.52</v>
      </c>
      <c r="CL5" s="17">
        <f t="shared" si="7"/>
        <v>65.52</v>
      </c>
      <c r="CM5" s="17">
        <f t="shared" si="7"/>
        <v>65.52</v>
      </c>
      <c r="CN5" s="17">
        <f t="shared" si="7"/>
        <v>65.52</v>
      </c>
      <c r="CO5" s="17">
        <f t="shared" si="7"/>
        <v>65.52</v>
      </c>
      <c r="CP5" s="17">
        <f t="shared" si="7"/>
        <v>65.52</v>
      </c>
      <c r="CQ5" s="17">
        <f t="shared" si="7"/>
        <v>65.52</v>
      </c>
      <c r="CR5" s="17">
        <f t="shared" ref="CR5:CX5" si="8">16380*CR4/1000</f>
        <v>65.52</v>
      </c>
      <c r="CS5" s="17">
        <f t="shared" si="8"/>
        <v>65.52</v>
      </c>
      <c r="CT5" s="17">
        <f t="shared" si="8"/>
        <v>65.52</v>
      </c>
      <c r="CU5" s="17">
        <f t="shared" si="8"/>
        <v>65.52</v>
      </c>
      <c r="CV5" s="17">
        <f t="shared" si="8"/>
        <v>65.52</v>
      </c>
      <c r="CW5" s="17">
        <f t="shared" si="8"/>
        <v>65.52</v>
      </c>
      <c r="CX5" s="17">
        <f t="shared" si="8"/>
        <v>65.52</v>
      </c>
      <c r="CY5" s="17">
        <f t="shared" ref="CY5:DE5" si="9">16380*CY4/1000</f>
        <v>65.52</v>
      </c>
      <c r="CZ5" s="17">
        <f t="shared" si="9"/>
        <v>65.52</v>
      </c>
      <c r="DA5" s="17">
        <f t="shared" si="9"/>
        <v>65.52</v>
      </c>
      <c r="DB5" s="17">
        <f t="shared" si="9"/>
        <v>65.52</v>
      </c>
      <c r="DC5" s="17">
        <f t="shared" si="9"/>
        <v>65.52</v>
      </c>
      <c r="DD5" s="17">
        <f t="shared" si="9"/>
        <v>65.52</v>
      </c>
      <c r="DE5" s="17">
        <f t="shared" si="9"/>
        <v>65.52</v>
      </c>
      <c r="DF5" s="17">
        <f t="shared" ref="DF5:DM5" si="10">16380*DF4/1000</f>
        <v>49.14</v>
      </c>
      <c r="DG5" s="17">
        <f t="shared" si="10"/>
        <v>49.14</v>
      </c>
      <c r="DH5" s="17">
        <f t="shared" si="10"/>
        <v>49.14</v>
      </c>
      <c r="DI5" s="17">
        <f t="shared" si="10"/>
        <v>49.14</v>
      </c>
      <c r="DJ5" s="17">
        <f t="shared" si="10"/>
        <v>49.14</v>
      </c>
      <c r="DK5" s="17">
        <f t="shared" si="10"/>
        <v>49.14</v>
      </c>
      <c r="DL5" s="17">
        <f t="shared" si="10"/>
        <v>49.14</v>
      </c>
      <c r="DM5" s="17">
        <f t="shared" si="10"/>
        <v>0</v>
      </c>
      <c r="DN5" s="17">
        <f t="shared" ref="DN5:DS5" si="11">16380*DN4/1000</f>
        <v>0</v>
      </c>
      <c r="DO5" s="17">
        <f t="shared" si="11"/>
        <v>0</v>
      </c>
      <c r="DP5" s="17">
        <f t="shared" si="11"/>
        <v>0</v>
      </c>
      <c r="DQ5" s="17">
        <f t="shared" si="11"/>
        <v>0</v>
      </c>
      <c r="DR5" s="17">
        <f t="shared" si="11"/>
        <v>0</v>
      </c>
      <c r="DS5" s="17">
        <f t="shared" si="11"/>
        <v>0</v>
      </c>
      <c r="DT5" s="17">
        <f t="shared" ref="DT5:DZ5" si="12">16380*DT4/1000</f>
        <v>32.76</v>
      </c>
      <c r="DU5" s="17">
        <f t="shared" si="12"/>
        <v>32.76</v>
      </c>
      <c r="DV5" s="17">
        <f t="shared" si="12"/>
        <v>32.76</v>
      </c>
      <c r="DW5" s="17">
        <f t="shared" si="12"/>
        <v>32.76</v>
      </c>
      <c r="DX5" s="17">
        <f t="shared" si="12"/>
        <v>32.76</v>
      </c>
      <c r="DY5" s="17">
        <f t="shared" si="12"/>
        <v>65.52</v>
      </c>
      <c r="DZ5" s="17">
        <f t="shared" si="12"/>
        <v>65.52</v>
      </c>
      <c r="EA5" s="17">
        <f t="shared" ref="EA5:EG5" si="13">16380*EA4/1000</f>
        <v>0</v>
      </c>
      <c r="EB5" s="17">
        <f t="shared" si="13"/>
        <v>0</v>
      </c>
      <c r="EC5" s="17">
        <f t="shared" si="13"/>
        <v>0</v>
      </c>
      <c r="ED5" s="17">
        <f t="shared" si="13"/>
        <v>32.76</v>
      </c>
      <c r="EE5" s="17">
        <f t="shared" si="13"/>
        <v>32.76</v>
      </c>
      <c r="EF5" s="17">
        <f t="shared" si="13"/>
        <v>32.76</v>
      </c>
      <c r="EG5" s="17">
        <f t="shared" si="13"/>
        <v>32.76</v>
      </c>
      <c r="EH5" s="17">
        <f t="shared" ref="EH5:EN5" si="14">16380*EH4/1000</f>
        <v>0</v>
      </c>
      <c r="EI5" s="17">
        <f t="shared" si="14"/>
        <v>0</v>
      </c>
      <c r="EJ5" s="17">
        <f t="shared" si="14"/>
        <v>0</v>
      </c>
      <c r="EK5" s="17">
        <f t="shared" si="14"/>
        <v>0</v>
      </c>
      <c r="EL5" s="17">
        <f t="shared" si="14"/>
        <v>0</v>
      </c>
      <c r="EM5" s="17">
        <f t="shared" si="14"/>
        <v>0</v>
      </c>
      <c r="EN5" s="17">
        <f t="shared" si="14"/>
        <v>0</v>
      </c>
      <c r="EO5" s="17">
        <f t="shared" ref="EO5:EU5" si="15">16380*EO4/1000</f>
        <v>0</v>
      </c>
      <c r="EP5" s="17">
        <f t="shared" si="15"/>
        <v>0</v>
      </c>
      <c r="EQ5" s="17">
        <f t="shared" si="15"/>
        <v>0</v>
      </c>
      <c r="ER5" s="17">
        <f t="shared" si="15"/>
        <v>0</v>
      </c>
      <c r="ES5" s="17">
        <f t="shared" si="15"/>
        <v>0</v>
      </c>
      <c r="ET5" s="17">
        <f t="shared" si="15"/>
        <v>0</v>
      </c>
      <c r="EU5" s="17">
        <f t="shared" si="15"/>
        <v>0</v>
      </c>
      <c r="EV5" s="17">
        <f t="shared" ref="EV5:FD5" si="16">16380*EV4/1000</f>
        <v>32.76</v>
      </c>
      <c r="EW5" s="17">
        <f t="shared" si="16"/>
        <v>32.76</v>
      </c>
      <c r="EX5" s="17">
        <f t="shared" si="16"/>
        <v>32.76</v>
      </c>
      <c r="EY5" s="17">
        <f t="shared" si="16"/>
        <v>32.76</v>
      </c>
      <c r="EZ5" s="17">
        <f t="shared" si="16"/>
        <v>32.76</v>
      </c>
      <c r="FA5" s="17">
        <f t="shared" si="16"/>
        <v>32.76</v>
      </c>
      <c r="FB5" s="17">
        <f t="shared" si="16"/>
        <v>32.76</v>
      </c>
      <c r="FC5" s="17">
        <f t="shared" si="16"/>
        <v>32.76</v>
      </c>
      <c r="FD5" s="17">
        <f t="shared" si="16"/>
        <v>32.76</v>
      </c>
      <c r="FE5" s="17">
        <f t="shared" ref="FE5:FR5" si="17">16380*FE4/1000</f>
        <v>32.76</v>
      </c>
      <c r="FF5" s="17">
        <f t="shared" si="17"/>
        <v>32.76</v>
      </c>
      <c r="FG5" s="17">
        <f t="shared" si="17"/>
        <v>32.76</v>
      </c>
      <c r="FH5" s="17">
        <f t="shared" si="17"/>
        <v>32.76</v>
      </c>
      <c r="FI5" s="17">
        <f t="shared" si="17"/>
        <v>32.76</v>
      </c>
      <c r="FJ5" s="17">
        <f t="shared" si="17"/>
        <v>65.52</v>
      </c>
      <c r="FK5" s="17">
        <f t="shared" si="17"/>
        <v>65.52</v>
      </c>
      <c r="FL5" s="17">
        <f t="shared" si="17"/>
        <v>65.52</v>
      </c>
      <c r="FM5" s="17">
        <f t="shared" si="17"/>
        <v>65.52</v>
      </c>
      <c r="FN5" s="17">
        <f t="shared" si="17"/>
        <v>65.52</v>
      </c>
      <c r="FO5" s="17">
        <f t="shared" si="17"/>
        <v>65.52</v>
      </c>
      <c r="FP5" s="17">
        <f t="shared" si="17"/>
        <v>65.52</v>
      </c>
      <c r="FQ5" s="17">
        <f t="shared" si="17"/>
        <v>49.14</v>
      </c>
      <c r="FR5" s="17">
        <f t="shared" si="17"/>
        <v>49.14</v>
      </c>
      <c r="FS5" s="17">
        <f t="shared" ref="FS5:FY5" si="18">16380*FS4/1000</f>
        <v>49.14</v>
      </c>
      <c r="FT5" s="17">
        <f t="shared" si="18"/>
        <v>49.14</v>
      </c>
      <c r="FU5" s="17">
        <f t="shared" si="18"/>
        <v>49.14</v>
      </c>
      <c r="FV5" s="17">
        <f t="shared" si="18"/>
        <v>49.14</v>
      </c>
      <c r="FW5" s="17">
        <f t="shared" si="18"/>
        <v>49.14</v>
      </c>
      <c r="FX5" s="17">
        <f t="shared" si="18"/>
        <v>49.14</v>
      </c>
      <c r="FY5" s="17">
        <f t="shared" si="18"/>
        <v>49.14</v>
      </c>
      <c r="FZ5" s="17">
        <f t="shared" ref="FZ5:GF5" si="19">16380*FZ4/1000</f>
        <v>49.14</v>
      </c>
      <c r="GA5" s="17">
        <f t="shared" si="19"/>
        <v>49.14</v>
      </c>
      <c r="GB5" s="17">
        <f t="shared" si="19"/>
        <v>49.14</v>
      </c>
      <c r="GC5" s="17">
        <f t="shared" si="19"/>
        <v>49.14</v>
      </c>
      <c r="GD5" s="17">
        <f t="shared" si="19"/>
        <v>49.14</v>
      </c>
      <c r="GE5" s="17">
        <f t="shared" si="19"/>
        <v>32.76</v>
      </c>
      <c r="GF5" s="17">
        <f t="shared" si="19"/>
        <v>32.76</v>
      </c>
      <c r="GG5" s="17">
        <f t="shared" ref="GG5:GK5" si="20">16380*GG4/1000</f>
        <v>32.76</v>
      </c>
      <c r="GH5" s="17">
        <f t="shared" si="20"/>
        <v>32.76</v>
      </c>
      <c r="GI5" s="17">
        <f t="shared" si="20"/>
        <v>32.76</v>
      </c>
      <c r="GJ5" s="17">
        <f t="shared" si="20"/>
        <v>32.76</v>
      </c>
      <c r="GK5" s="17">
        <f t="shared" si="20"/>
        <v>32.76</v>
      </c>
      <c r="GL5" s="17">
        <f t="shared" ref="GL5:GR5" si="21">16380*GL4/1000</f>
        <v>0</v>
      </c>
      <c r="GM5" s="17">
        <f t="shared" si="21"/>
        <v>0</v>
      </c>
      <c r="GN5" s="17">
        <f t="shared" si="21"/>
        <v>49.14</v>
      </c>
      <c r="GO5" s="17">
        <f t="shared" si="21"/>
        <v>49.14</v>
      </c>
      <c r="GP5" s="17">
        <f t="shared" si="21"/>
        <v>49.14</v>
      </c>
      <c r="GQ5" s="17">
        <f t="shared" si="21"/>
        <v>49.14</v>
      </c>
      <c r="GR5" s="17">
        <f t="shared" si="21"/>
        <v>49.14</v>
      </c>
      <c r="GS5" s="17">
        <f t="shared" ref="GS5:GT5" si="22">16380*GS4/1000</f>
        <v>32.76</v>
      </c>
      <c r="GT5" s="17">
        <f t="shared" si="22"/>
        <v>32.76</v>
      </c>
      <c r="GU5" s="17">
        <f t="shared" ref="GU5:GY5" si="23">16380*GU4/1000</f>
        <v>32.76</v>
      </c>
      <c r="GV5" s="17">
        <f t="shared" si="23"/>
        <v>32.76</v>
      </c>
      <c r="GW5" s="17">
        <f t="shared" si="23"/>
        <v>32.76</v>
      </c>
      <c r="GX5" s="17">
        <f t="shared" si="23"/>
        <v>49.14</v>
      </c>
      <c r="GY5" s="17">
        <f t="shared" si="23"/>
        <v>49.14</v>
      </c>
      <c r="GZ5" s="17">
        <f t="shared" ref="GZ5:HF5" si="24">16380*GZ4/1000</f>
        <v>65.52</v>
      </c>
      <c r="HA5" s="17">
        <f t="shared" si="24"/>
        <v>65.52</v>
      </c>
      <c r="HB5" s="17">
        <f t="shared" si="24"/>
        <v>65.52</v>
      </c>
      <c r="HC5" s="17">
        <f t="shared" si="24"/>
        <v>65.52</v>
      </c>
      <c r="HD5" s="17">
        <f t="shared" si="24"/>
        <v>65.52</v>
      </c>
      <c r="HE5" s="17">
        <f t="shared" si="24"/>
        <v>49.14</v>
      </c>
      <c r="HF5" s="17">
        <f t="shared" si="24"/>
        <v>49.14</v>
      </c>
      <c r="HG5" s="17">
        <f t="shared" ref="HG5:HM5" si="25">16380*HG4/1000</f>
        <v>65.52</v>
      </c>
      <c r="HH5" s="17">
        <f t="shared" si="25"/>
        <v>65.52</v>
      </c>
      <c r="HI5" s="17">
        <f t="shared" si="25"/>
        <v>65.52</v>
      </c>
      <c r="HJ5" s="17">
        <f t="shared" si="25"/>
        <v>65.52</v>
      </c>
      <c r="HK5" s="17">
        <f t="shared" si="25"/>
        <v>65.52</v>
      </c>
      <c r="HL5" s="17">
        <f t="shared" si="25"/>
        <v>65.52</v>
      </c>
      <c r="HM5" s="17">
        <f t="shared" si="25"/>
        <v>65.52</v>
      </c>
      <c r="HN5" s="17">
        <f t="shared" ref="HN5:HT5" si="26">16380*HN4/1000</f>
        <v>65.52</v>
      </c>
      <c r="HO5" s="17">
        <f t="shared" si="26"/>
        <v>65.52</v>
      </c>
      <c r="HP5" s="17">
        <f t="shared" si="26"/>
        <v>65.52</v>
      </c>
      <c r="HQ5" s="17">
        <f t="shared" si="26"/>
        <v>65.52</v>
      </c>
      <c r="HR5" s="17">
        <f t="shared" si="26"/>
        <v>65.52</v>
      </c>
      <c r="HS5" s="17">
        <f t="shared" si="26"/>
        <v>49.14</v>
      </c>
      <c r="HT5" s="17">
        <f t="shared" si="26"/>
        <v>49.14</v>
      </c>
      <c r="HU5" s="17">
        <f t="shared" ref="HU5:IC5" si="27">16380*HU4/1000</f>
        <v>65.52</v>
      </c>
      <c r="HV5" s="17">
        <f t="shared" si="27"/>
        <v>65.52</v>
      </c>
      <c r="HW5" s="17">
        <f t="shared" si="27"/>
        <v>65.52</v>
      </c>
      <c r="HX5" s="17">
        <f t="shared" si="27"/>
        <v>65.52</v>
      </c>
      <c r="HY5" s="17">
        <f t="shared" si="27"/>
        <v>65.52</v>
      </c>
      <c r="HZ5" s="17">
        <f t="shared" si="27"/>
        <v>65.52</v>
      </c>
      <c r="IA5" s="17">
        <f t="shared" si="27"/>
        <v>65.52</v>
      </c>
      <c r="IB5" s="17">
        <f t="shared" si="27"/>
        <v>65.52</v>
      </c>
      <c r="IC5" s="17">
        <f t="shared" si="27"/>
        <v>65.52</v>
      </c>
      <c r="ID5" s="17">
        <f t="shared" ref="ID5:IO5" si="28">16380*ID4/1000</f>
        <v>65.52</v>
      </c>
      <c r="IE5" s="17">
        <f t="shared" si="28"/>
        <v>65.52</v>
      </c>
      <c r="IF5" s="17">
        <f t="shared" si="28"/>
        <v>65.52</v>
      </c>
      <c r="IG5" s="17">
        <f t="shared" si="28"/>
        <v>65.52</v>
      </c>
      <c r="IH5" s="17">
        <f t="shared" si="28"/>
        <v>65.52</v>
      </c>
      <c r="II5" s="17">
        <f t="shared" si="28"/>
        <v>81.900000000000006</v>
      </c>
      <c r="IJ5" s="17">
        <f t="shared" si="28"/>
        <v>81.900000000000006</v>
      </c>
      <c r="IK5" s="17">
        <f t="shared" si="28"/>
        <v>81.900000000000006</v>
      </c>
      <c r="IL5" s="17">
        <f t="shared" si="28"/>
        <v>81.900000000000006</v>
      </c>
      <c r="IM5" s="17">
        <f t="shared" si="28"/>
        <v>81.900000000000006</v>
      </c>
      <c r="IN5" s="17">
        <f t="shared" si="28"/>
        <v>81.900000000000006</v>
      </c>
      <c r="IO5" s="17">
        <f t="shared" si="28"/>
        <v>81.900000000000006</v>
      </c>
      <c r="IP5" s="17">
        <f t="shared" ref="IP5:IV5" si="29">16380*IP4/1000</f>
        <v>81.900000000000006</v>
      </c>
      <c r="IQ5" s="17">
        <f t="shared" si="29"/>
        <v>81.900000000000006</v>
      </c>
      <c r="IR5" s="17">
        <f t="shared" si="29"/>
        <v>81.900000000000006</v>
      </c>
      <c r="IS5" s="17">
        <f t="shared" si="29"/>
        <v>81.900000000000006</v>
      </c>
      <c r="IT5" s="17">
        <f t="shared" si="29"/>
        <v>81.900000000000006</v>
      </c>
      <c r="IU5" s="17">
        <f t="shared" si="29"/>
        <v>81.900000000000006</v>
      </c>
      <c r="IV5" s="17">
        <f t="shared" si="29"/>
        <v>81.900000000000006</v>
      </c>
      <c r="IW5" s="17">
        <f t="shared" ref="IW5:JC5" si="30">16380*IW4/1000</f>
        <v>81.900000000000006</v>
      </c>
      <c r="IX5" s="17">
        <f t="shared" si="30"/>
        <v>81.900000000000006</v>
      </c>
      <c r="IY5" s="17">
        <f t="shared" si="30"/>
        <v>81.900000000000006</v>
      </c>
      <c r="IZ5" s="17">
        <f t="shared" si="30"/>
        <v>81.900000000000006</v>
      </c>
      <c r="JA5" s="17">
        <f t="shared" si="30"/>
        <v>81.900000000000006</v>
      </c>
      <c r="JB5" s="17">
        <f t="shared" si="30"/>
        <v>81.900000000000006</v>
      </c>
      <c r="JC5" s="17">
        <f t="shared" si="30"/>
        <v>81.900000000000006</v>
      </c>
      <c r="JD5" s="17">
        <f t="shared" ref="JD5:JJ5" si="31">16380*JD4/1000</f>
        <v>81.900000000000006</v>
      </c>
      <c r="JE5" s="17">
        <f t="shared" si="31"/>
        <v>81.900000000000006</v>
      </c>
      <c r="JF5" s="17">
        <f t="shared" si="31"/>
        <v>81.900000000000006</v>
      </c>
      <c r="JG5" s="17">
        <f t="shared" si="31"/>
        <v>0</v>
      </c>
      <c r="JH5" s="17">
        <f t="shared" si="31"/>
        <v>0</v>
      </c>
      <c r="JI5" s="17">
        <f t="shared" si="31"/>
        <v>0</v>
      </c>
      <c r="JJ5" s="17">
        <f t="shared" si="31"/>
        <v>0</v>
      </c>
      <c r="JK5" s="17">
        <f t="shared" ref="JK5:JT5" si="32">16380*JK4/1000</f>
        <v>0</v>
      </c>
      <c r="JL5" s="17">
        <f t="shared" si="32"/>
        <v>0</v>
      </c>
      <c r="JM5" s="17">
        <f t="shared" si="32"/>
        <v>0</v>
      </c>
      <c r="JN5" s="17">
        <f t="shared" si="32"/>
        <v>0</v>
      </c>
      <c r="JO5" s="17">
        <f t="shared" si="32"/>
        <v>0</v>
      </c>
      <c r="JP5" s="17">
        <f t="shared" si="32"/>
        <v>0</v>
      </c>
      <c r="JQ5" s="17">
        <f t="shared" si="32"/>
        <v>0</v>
      </c>
      <c r="JR5" s="17">
        <f t="shared" si="32"/>
        <v>0</v>
      </c>
      <c r="JS5" s="17">
        <f t="shared" si="32"/>
        <v>0</v>
      </c>
      <c r="JT5" s="17">
        <f t="shared" si="32"/>
        <v>0</v>
      </c>
    </row>
    <row r="6" spans="1:280" s="1" customFormat="1" x14ac:dyDescent="0.35">
      <c r="A6" s="1" t="s">
        <v>42</v>
      </c>
      <c r="S6" s="1">
        <v>4</v>
      </c>
      <c r="U6" s="1">
        <v>1</v>
      </c>
      <c r="V6" s="1">
        <v>1</v>
      </c>
      <c r="W6" s="1">
        <v>2</v>
      </c>
      <c r="X6" s="1">
        <v>2</v>
      </c>
      <c r="Y6" s="1">
        <v>2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4</v>
      </c>
      <c r="AM6" s="1">
        <v>3</v>
      </c>
      <c r="AN6" s="1">
        <v>3</v>
      </c>
      <c r="AO6" s="1">
        <v>3</v>
      </c>
      <c r="AP6" s="1">
        <v>3</v>
      </c>
      <c r="BP6" s="1">
        <v>2</v>
      </c>
      <c r="BQ6" s="1">
        <v>2</v>
      </c>
      <c r="BR6" s="1">
        <v>2</v>
      </c>
      <c r="BS6" s="14">
        <v>2</v>
      </c>
      <c r="BT6" s="14">
        <v>2</v>
      </c>
      <c r="BU6" s="14">
        <v>2</v>
      </c>
      <c r="BV6" s="14">
        <v>2</v>
      </c>
      <c r="BW6" s="14">
        <v>10</v>
      </c>
      <c r="BX6" s="14">
        <v>10</v>
      </c>
      <c r="BY6" s="14">
        <v>10</v>
      </c>
      <c r="BZ6" s="14">
        <v>10</v>
      </c>
      <c r="CA6" s="14">
        <v>10</v>
      </c>
      <c r="CB6" s="14">
        <v>7</v>
      </c>
      <c r="CC6" s="14">
        <v>7</v>
      </c>
      <c r="CD6" s="14">
        <v>7</v>
      </c>
      <c r="CE6" s="14">
        <v>7</v>
      </c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>
        <v>3</v>
      </c>
      <c r="CZ6" s="14">
        <v>3</v>
      </c>
      <c r="DA6" s="14">
        <v>3</v>
      </c>
      <c r="DB6" s="14">
        <v>5</v>
      </c>
      <c r="DC6" s="14">
        <v>4</v>
      </c>
      <c r="DD6" s="14">
        <v>4</v>
      </c>
      <c r="DE6" s="14">
        <v>4</v>
      </c>
      <c r="DF6" s="14">
        <v>8</v>
      </c>
      <c r="DG6" s="14">
        <v>8</v>
      </c>
      <c r="DH6" s="14">
        <v>8</v>
      </c>
      <c r="DI6" s="14">
        <v>8</v>
      </c>
      <c r="DJ6" s="14">
        <v>8</v>
      </c>
      <c r="DK6" s="14">
        <v>8</v>
      </c>
      <c r="DL6" s="14">
        <v>8</v>
      </c>
      <c r="DM6" s="14">
        <v>6</v>
      </c>
      <c r="DN6" s="14">
        <v>6</v>
      </c>
      <c r="DO6" s="14">
        <v>6</v>
      </c>
      <c r="DP6" s="14">
        <v>6</v>
      </c>
      <c r="DQ6" s="14">
        <v>6</v>
      </c>
      <c r="DR6" s="14">
        <v>6</v>
      </c>
      <c r="DS6" s="14">
        <v>6</v>
      </c>
      <c r="DT6" s="14">
        <v>8</v>
      </c>
      <c r="DU6" s="14">
        <v>8</v>
      </c>
      <c r="DV6" s="14">
        <v>8</v>
      </c>
      <c r="DW6" s="14">
        <v>8</v>
      </c>
      <c r="DX6" s="14">
        <v>8</v>
      </c>
      <c r="DY6" s="14">
        <v>8</v>
      </c>
      <c r="DZ6" s="14">
        <v>8</v>
      </c>
      <c r="EA6" s="14"/>
      <c r="EB6" s="14"/>
      <c r="EC6" s="14"/>
      <c r="ED6" s="14">
        <v>8</v>
      </c>
      <c r="EE6" s="14">
        <v>8</v>
      </c>
      <c r="EF6" s="14">
        <v>8</v>
      </c>
      <c r="EG6" s="14">
        <v>8</v>
      </c>
      <c r="EH6" s="14"/>
      <c r="EI6" s="14"/>
      <c r="EJ6" s="14"/>
      <c r="EK6" s="14"/>
      <c r="EL6" s="14"/>
      <c r="EM6" s="14"/>
      <c r="EN6" s="14"/>
      <c r="EO6" s="14">
        <v>9</v>
      </c>
      <c r="EP6" s="14">
        <v>9</v>
      </c>
      <c r="EQ6" s="14">
        <v>9</v>
      </c>
      <c r="ER6" s="14">
        <v>9</v>
      </c>
      <c r="ES6" s="14">
        <v>9</v>
      </c>
      <c r="ET6" s="14">
        <v>9</v>
      </c>
      <c r="EU6" s="14">
        <v>9</v>
      </c>
      <c r="EV6" s="14">
        <v>14</v>
      </c>
      <c r="EW6" s="14">
        <v>14</v>
      </c>
      <c r="EX6" s="14">
        <v>14</v>
      </c>
      <c r="EY6" s="14">
        <v>14</v>
      </c>
      <c r="EZ6" s="14">
        <v>14</v>
      </c>
      <c r="FA6" s="14">
        <v>14</v>
      </c>
      <c r="FB6" s="14">
        <v>14</v>
      </c>
      <c r="FC6" s="14">
        <v>14</v>
      </c>
      <c r="FD6" s="14">
        <v>14</v>
      </c>
      <c r="FE6" s="14">
        <v>15</v>
      </c>
      <c r="FF6" s="14">
        <v>16</v>
      </c>
      <c r="FG6" s="14">
        <v>17</v>
      </c>
      <c r="FH6" s="14">
        <v>18</v>
      </c>
      <c r="FI6" s="14">
        <v>19</v>
      </c>
      <c r="FJ6" s="14">
        <v>5</v>
      </c>
      <c r="FK6" s="14">
        <v>5</v>
      </c>
      <c r="FL6" s="14">
        <v>5</v>
      </c>
      <c r="FM6" s="14">
        <v>5</v>
      </c>
      <c r="FN6" s="14">
        <v>5</v>
      </c>
      <c r="FO6" s="14">
        <v>5</v>
      </c>
      <c r="FP6" s="14">
        <v>5</v>
      </c>
      <c r="FQ6" s="14">
        <v>5</v>
      </c>
      <c r="FR6" s="14">
        <v>5</v>
      </c>
      <c r="FS6" s="14">
        <v>5</v>
      </c>
      <c r="FT6" s="14">
        <v>5</v>
      </c>
      <c r="FU6" s="14">
        <v>5</v>
      </c>
      <c r="FV6" s="14">
        <v>5</v>
      </c>
      <c r="FW6" s="14">
        <v>5</v>
      </c>
      <c r="FX6" s="14">
        <v>3</v>
      </c>
      <c r="FY6" s="14">
        <v>3</v>
      </c>
      <c r="FZ6" s="14">
        <v>3</v>
      </c>
      <c r="GA6" s="14">
        <v>3</v>
      </c>
      <c r="GB6" s="14">
        <v>3</v>
      </c>
      <c r="GC6" s="14">
        <v>3</v>
      </c>
      <c r="GD6" s="14">
        <v>3</v>
      </c>
      <c r="GE6" s="14">
        <v>3</v>
      </c>
      <c r="GF6" s="14">
        <v>3</v>
      </c>
      <c r="GG6" s="14">
        <v>3</v>
      </c>
      <c r="GH6" s="14">
        <v>3</v>
      </c>
      <c r="GI6" s="14">
        <v>3</v>
      </c>
      <c r="GJ6" s="14">
        <v>3</v>
      </c>
      <c r="GK6" s="14">
        <v>3</v>
      </c>
      <c r="GL6" s="14">
        <v>4</v>
      </c>
      <c r="GM6" s="14">
        <v>4</v>
      </c>
      <c r="GN6" s="14">
        <v>4</v>
      </c>
      <c r="GO6" s="14">
        <v>3</v>
      </c>
      <c r="GP6" s="14">
        <v>1</v>
      </c>
      <c r="GQ6" s="14"/>
      <c r="GR6" s="14"/>
      <c r="GS6" s="14">
        <v>2</v>
      </c>
      <c r="GT6" s="14">
        <v>2</v>
      </c>
      <c r="GU6" s="14">
        <v>2</v>
      </c>
      <c r="GV6" s="14">
        <v>2</v>
      </c>
      <c r="GW6" s="14">
        <v>2</v>
      </c>
      <c r="GX6" s="14">
        <v>2</v>
      </c>
      <c r="GY6" s="14">
        <v>2</v>
      </c>
      <c r="GZ6" s="14">
        <v>2</v>
      </c>
      <c r="HA6" s="14">
        <v>2</v>
      </c>
      <c r="HB6" s="14">
        <v>2</v>
      </c>
      <c r="HC6" s="14">
        <v>2</v>
      </c>
      <c r="HD6" s="14">
        <v>2</v>
      </c>
      <c r="HE6" s="14">
        <v>2</v>
      </c>
      <c r="HF6" s="14">
        <v>1</v>
      </c>
      <c r="HG6" s="14">
        <v>1</v>
      </c>
      <c r="HH6" s="14"/>
      <c r="HI6" s="14"/>
      <c r="HJ6" s="14"/>
      <c r="HK6" s="14"/>
      <c r="HL6" s="14"/>
      <c r="HM6" s="14"/>
      <c r="HN6" s="14"/>
      <c r="HO6" s="14"/>
      <c r="HP6" s="14"/>
      <c r="HQ6" s="14">
        <v>8</v>
      </c>
      <c r="HR6" s="14">
        <v>8</v>
      </c>
      <c r="HS6" s="14"/>
      <c r="HT6" s="14"/>
      <c r="HU6" s="14">
        <v>5</v>
      </c>
      <c r="HV6" s="14">
        <v>5</v>
      </c>
      <c r="HW6" s="14">
        <v>5</v>
      </c>
      <c r="HX6" s="14">
        <v>5</v>
      </c>
      <c r="HY6" s="14">
        <v>5</v>
      </c>
      <c r="HZ6" s="14">
        <v>5</v>
      </c>
      <c r="IA6" s="14">
        <v>5</v>
      </c>
      <c r="IB6" s="14">
        <v>1</v>
      </c>
      <c r="IC6" s="14">
        <v>1</v>
      </c>
      <c r="ID6" s="14">
        <v>1</v>
      </c>
      <c r="IE6" s="14">
        <v>1</v>
      </c>
      <c r="IF6" s="14">
        <v>1</v>
      </c>
      <c r="IG6" s="14">
        <v>1</v>
      </c>
      <c r="IH6" s="14">
        <v>1</v>
      </c>
      <c r="II6" s="14">
        <v>1</v>
      </c>
      <c r="IJ6" s="14">
        <v>1</v>
      </c>
      <c r="IK6" s="14">
        <v>9</v>
      </c>
      <c r="IL6" s="14">
        <v>9</v>
      </c>
      <c r="IM6" s="14">
        <v>9</v>
      </c>
      <c r="IN6" s="14">
        <v>9</v>
      </c>
      <c r="IO6" s="14">
        <v>9</v>
      </c>
      <c r="IP6" s="14">
        <v>9</v>
      </c>
      <c r="IQ6" s="14">
        <v>9</v>
      </c>
      <c r="IR6" s="14">
        <v>9</v>
      </c>
      <c r="IS6" s="14">
        <v>12</v>
      </c>
      <c r="IT6" s="14">
        <v>12</v>
      </c>
      <c r="IU6" s="14">
        <v>9</v>
      </c>
      <c r="IV6" s="14">
        <v>9</v>
      </c>
      <c r="IW6" s="14">
        <v>9</v>
      </c>
      <c r="IX6" s="14">
        <v>9</v>
      </c>
      <c r="IY6" s="14">
        <v>9</v>
      </c>
      <c r="IZ6" s="14">
        <v>9</v>
      </c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</row>
    <row r="7" spans="1:280" s="2" customFormat="1" x14ac:dyDescent="0.35">
      <c r="A7" s="2" t="s">
        <v>41</v>
      </c>
      <c r="BP7" s="2">
        <f>BP6*28.8</f>
        <v>57.6</v>
      </c>
      <c r="BQ7" s="2">
        <f t="shared" ref="BQ7:BV7" si="33">BQ6*28.8</f>
        <v>57.6</v>
      </c>
      <c r="BR7" s="2">
        <f t="shared" si="33"/>
        <v>57.6</v>
      </c>
      <c r="BS7" s="17">
        <f t="shared" si="33"/>
        <v>57.6</v>
      </c>
      <c r="BT7" s="17">
        <f t="shared" si="33"/>
        <v>57.6</v>
      </c>
      <c r="BU7" s="17">
        <f t="shared" si="33"/>
        <v>57.6</v>
      </c>
      <c r="BV7" s="17">
        <f t="shared" si="33"/>
        <v>57.6</v>
      </c>
      <c r="BW7" s="17">
        <f t="shared" ref="BW7:CC7" si="34">BW6*28.8</f>
        <v>288</v>
      </c>
      <c r="BX7" s="17">
        <f t="shared" si="34"/>
        <v>288</v>
      </c>
      <c r="BY7" s="17">
        <f t="shared" si="34"/>
        <v>288</v>
      </c>
      <c r="BZ7" s="17">
        <f t="shared" si="34"/>
        <v>288</v>
      </c>
      <c r="CA7" s="17">
        <f t="shared" si="34"/>
        <v>288</v>
      </c>
      <c r="CB7" s="17">
        <f t="shared" si="34"/>
        <v>201.6</v>
      </c>
      <c r="CC7" s="17">
        <f t="shared" si="34"/>
        <v>201.6</v>
      </c>
      <c r="CD7" s="17">
        <f t="shared" ref="CD7:CJ7" si="35">CD6*28.8</f>
        <v>201.6</v>
      </c>
      <c r="CE7" s="17">
        <f t="shared" si="35"/>
        <v>201.6</v>
      </c>
      <c r="CF7" s="17">
        <f t="shared" si="35"/>
        <v>0</v>
      </c>
      <c r="CG7" s="17">
        <f t="shared" si="35"/>
        <v>0</v>
      </c>
      <c r="CH7" s="17">
        <f t="shared" si="35"/>
        <v>0</v>
      </c>
      <c r="CI7" s="17">
        <f t="shared" si="35"/>
        <v>0</v>
      </c>
      <c r="CJ7" s="17">
        <f t="shared" si="35"/>
        <v>0</v>
      </c>
      <c r="CK7" s="17">
        <f t="shared" ref="CK7:CQ7" si="36">CK6*28.8</f>
        <v>0</v>
      </c>
      <c r="CL7" s="17">
        <f t="shared" si="36"/>
        <v>0</v>
      </c>
      <c r="CM7" s="17">
        <f t="shared" si="36"/>
        <v>0</v>
      </c>
      <c r="CN7" s="17">
        <f t="shared" si="36"/>
        <v>0</v>
      </c>
      <c r="CO7" s="17">
        <f t="shared" si="36"/>
        <v>0</v>
      </c>
      <c r="CP7" s="17">
        <f t="shared" si="36"/>
        <v>0</v>
      </c>
      <c r="CQ7" s="17">
        <f t="shared" si="36"/>
        <v>0</v>
      </c>
      <c r="CR7" s="17">
        <f t="shared" ref="CR7:CX7" si="37">CR6*28.8</f>
        <v>0</v>
      </c>
      <c r="CS7" s="17">
        <f t="shared" si="37"/>
        <v>0</v>
      </c>
      <c r="CT7" s="17">
        <f t="shared" si="37"/>
        <v>0</v>
      </c>
      <c r="CU7" s="17">
        <f t="shared" si="37"/>
        <v>0</v>
      </c>
      <c r="CV7" s="17">
        <f t="shared" si="37"/>
        <v>0</v>
      </c>
      <c r="CW7" s="17">
        <f t="shared" si="37"/>
        <v>0</v>
      </c>
      <c r="CX7" s="17">
        <f t="shared" si="37"/>
        <v>0</v>
      </c>
      <c r="CY7" s="17">
        <f t="shared" ref="CY7:DE7" si="38">CY6*28.8</f>
        <v>86.4</v>
      </c>
      <c r="CZ7" s="17">
        <f t="shared" si="38"/>
        <v>86.4</v>
      </c>
      <c r="DA7" s="17">
        <f t="shared" si="38"/>
        <v>86.4</v>
      </c>
      <c r="DB7" s="17">
        <f t="shared" si="38"/>
        <v>144</v>
      </c>
      <c r="DC7" s="17">
        <f t="shared" si="38"/>
        <v>115.2</v>
      </c>
      <c r="DD7" s="17">
        <f t="shared" si="38"/>
        <v>115.2</v>
      </c>
      <c r="DE7" s="17">
        <f t="shared" si="38"/>
        <v>115.2</v>
      </c>
      <c r="DF7" s="17">
        <f t="shared" ref="DF7:DM7" si="39">DF6*28.8</f>
        <v>230.4</v>
      </c>
      <c r="DG7" s="17">
        <f t="shared" si="39"/>
        <v>230.4</v>
      </c>
      <c r="DH7" s="17">
        <f t="shared" si="39"/>
        <v>230.4</v>
      </c>
      <c r="DI7" s="17">
        <f t="shared" si="39"/>
        <v>230.4</v>
      </c>
      <c r="DJ7" s="17">
        <f t="shared" si="39"/>
        <v>230.4</v>
      </c>
      <c r="DK7" s="17">
        <f t="shared" si="39"/>
        <v>230.4</v>
      </c>
      <c r="DL7" s="17">
        <f t="shared" si="39"/>
        <v>230.4</v>
      </c>
      <c r="DM7" s="17">
        <f t="shared" si="39"/>
        <v>172.8</v>
      </c>
      <c r="DN7" s="17">
        <f t="shared" ref="DN7:DS7" si="40">DN6*28.8</f>
        <v>172.8</v>
      </c>
      <c r="DO7" s="17">
        <f t="shared" si="40"/>
        <v>172.8</v>
      </c>
      <c r="DP7" s="17">
        <f t="shared" si="40"/>
        <v>172.8</v>
      </c>
      <c r="DQ7" s="17">
        <f t="shared" si="40"/>
        <v>172.8</v>
      </c>
      <c r="DR7" s="17">
        <f t="shared" si="40"/>
        <v>172.8</v>
      </c>
      <c r="DS7" s="17">
        <f t="shared" si="40"/>
        <v>172.8</v>
      </c>
      <c r="DT7" s="17">
        <f t="shared" ref="DT7:DZ7" si="41">DT6*28.8</f>
        <v>230.4</v>
      </c>
      <c r="DU7" s="17">
        <f t="shared" si="41"/>
        <v>230.4</v>
      </c>
      <c r="DV7" s="17">
        <f t="shared" si="41"/>
        <v>230.4</v>
      </c>
      <c r="DW7" s="17">
        <f t="shared" si="41"/>
        <v>230.4</v>
      </c>
      <c r="DX7" s="17">
        <f t="shared" si="41"/>
        <v>230.4</v>
      </c>
      <c r="DY7" s="17">
        <f t="shared" si="41"/>
        <v>230.4</v>
      </c>
      <c r="DZ7" s="17">
        <f t="shared" si="41"/>
        <v>230.4</v>
      </c>
      <c r="EA7" s="17">
        <f t="shared" ref="EA7:EG7" si="42">EA6*28.8</f>
        <v>0</v>
      </c>
      <c r="EB7" s="17">
        <f t="shared" si="42"/>
        <v>0</v>
      </c>
      <c r="EC7" s="17">
        <f t="shared" si="42"/>
        <v>0</v>
      </c>
      <c r="ED7" s="17">
        <f t="shared" si="42"/>
        <v>230.4</v>
      </c>
      <c r="EE7" s="17">
        <f t="shared" si="42"/>
        <v>230.4</v>
      </c>
      <c r="EF7" s="17">
        <f t="shared" si="42"/>
        <v>230.4</v>
      </c>
      <c r="EG7" s="17">
        <f t="shared" si="42"/>
        <v>230.4</v>
      </c>
      <c r="EH7" s="17">
        <f t="shared" ref="EH7:EN7" si="43">EH6*28.8</f>
        <v>0</v>
      </c>
      <c r="EI7" s="17">
        <f t="shared" si="43"/>
        <v>0</v>
      </c>
      <c r="EJ7" s="17">
        <f t="shared" si="43"/>
        <v>0</v>
      </c>
      <c r="EK7" s="17">
        <f t="shared" si="43"/>
        <v>0</v>
      </c>
      <c r="EL7" s="17">
        <f t="shared" si="43"/>
        <v>0</v>
      </c>
      <c r="EM7" s="17">
        <f t="shared" si="43"/>
        <v>0</v>
      </c>
      <c r="EN7" s="17">
        <f t="shared" si="43"/>
        <v>0</v>
      </c>
      <c r="EO7" s="17">
        <f t="shared" ref="EO7:EU7" si="44">EO6*28.8</f>
        <v>259.2</v>
      </c>
      <c r="EP7" s="17">
        <f t="shared" si="44"/>
        <v>259.2</v>
      </c>
      <c r="EQ7" s="17">
        <f t="shared" si="44"/>
        <v>259.2</v>
      </c>
      <c r="ER7" s="17">
        <f t="shared" si="44"/>
        <v>259.2</v>
      </c>
      <c r="ES7" s="17">
        <f t="shared" si="44"/>
        <v>259.2</v>
      </c>
      <c r="ET7" s="17">
        <f t="shared" si="44"/>
        <v>259.2</v>
      </c>
      <c r="EU7" s="17">
        <f t="shared" si="44"/>
        <v>259.2</v>
      </c>
      <c r="EV7" s="17">
        <f t="shared" ref="EV7:FD7" si="45">EV6*28.8</f>
        <v>403.2</v>
      </c>
      <c r="EW7" s="17">
        <f t="shared" si="45"/>
        <v>403.2</v>
      </c>
      <c r="EX7" s="17">
        <f t="shared" si="45"/>
        <v>403.2</v>
      </c>
      <c r="EY7" s="17">
        <f t="shared" si="45"/>
        <v>403.2</v>
      </c>
      <c r="EZ7" s="17">
        <f t="shared" si="45"/>
        <v>403.2</v>
      </c>
      <c r="FA7" s="17">
        <f t="shared" si="45"/>
        <v>403.2</v>
      </c>
      <c r="FB7" s="17">
        <f t="shared" si="45"/>
        <v>403.2</v>
      </c>
      <c r="FC7" s="17">
        <f t="shared" si="45"/>
        <v>403.2</v>
      </c>
      <c r="FD7" s="17">
        <f t="shared" si="45"/>
        <v>403.2</v>
      </c>
      <c r="FE7" s="17">
        <f t="shared" ref="FE7:FP7" si="46">FE6*28.8</f>
        <v>432</v>
      </c>
      <c r="FF7" s="17">
        <f t="shared" si="46"/>
        <v>460.8</v>
      </c>
      <c r="FG7" s="17">
        <f t="shared" si="46"/>
        <v>489.6</v>
      </c>
      <c r="FH7" s="17">
        <f t="shared" si="46"/>
        <v>518.4</v>
      </c>
      <c r="FI7" s="17">
        <f t="shared" si="46"/>
        <v>547.20000000000005</v>
      </c>
      <c r="FJ7" s="17">
        <f t="shared" si="46"/>
        <v>144</v>
      </c>
      <c r="FK7" s="17">
        <f t="shared" si="46"/>
        <v>144</v>
      </c>
      <c r="FL7" s="17">
        <f t="shared" si="46"/>
        <v>144</v>
      </c>
      <c r="FM7" s="17">
        <f t="shared" si="46"/>
        <v>144</v>
      </c>
      <c r="FN7" s="17">
        <f t="shared" si="46"/>
        <v>144</v>
      </c>
      <c r="FO7" s="17">
        <f t="shared" si="46"/>
        <v>144</v>
      </c>
      <c r="FP7" s="17">
        <f t="shared" si="46"/>
        <v>144</v>
      </c>
      <c r="FQ7" s="17">
        <f>FQ6*28.8</f>
        <v>144</v>
      </c>
      <c r="FR7" s="17">
        <f>FR6*28.8</f>
        <v>144</v>
      </c>
      <c r="FS7" s="17">
        <f t="shared" ref="FS7:FY7" si="47">FS6*28.8</f>
        <v>144</v>
      </c>
      <c r="FT7" s="17">
        <f t="shared" si="47"/>
        <v>144</v>
      </c>
      <c r="FU7" s="17">
        <f t="shared" si="47"/>
        <v>144</v>
      </c>
      <c r="FV7" s="17">
        <f t="shared" si="47"/>
        <v>144</v>
      </c>
      <c r="FW7" s="17">
        <f t="shared" si="47"/>
        <v>144</v>
      </c>
      <c r="FX7" s="17">
        <f t="shared" si="47"/>
        <v>86.4</v>
      </c>
      <c r="FY7" s="17">
        <f t="shared" si="47"/>
        <v>86.4</v>
      </c>
      <c r="FZ7" s="17">
        <f t="shared" ref="FZ7:GF7" si="48">FZ6*28.8</f>
        <v>86.4</v>
      </c>
      <c r="GA7" s="17">
        <f t="shared" si="48"/>
        <v>86.4</v>
      </c>
      <c r="GB7" s="17">
        <f t="shared" si="48"/>
        <v>86.4</v>
      </c>
      <c r="GC7" s="17">
        <f t="shared" si="48"/>
        <v>86.4</v>
      </c>
      <c r="GD7" s="17">
        <f t="shared" si="48"/>
        <v>86.4</v>
      </c>
      <c r="GE7" s="17">
        <f t="shared" si="48"/>
        <v>86.4</v>
      </c>
      <c r="GF7" s="17">
        <f t="shared" si="48"/>
        <v>86.4</v>
      </c>
      <c r="GG7" s="17">
        <f t="shared" ref="GG7:GK7" si="49">GG6*28.8</f>
        <v>86.4</v>
      </c>
      <c r="GH7" s="17">
        <f t="shared" si="49"/>
        <v>86.4</v>
      </c>
      <c r="GI7" s="17">
        <f t="shared" si="49"/>
        <v>86.4</v>
      </c>
      <c r="GJ7" s="17">
        <f t="shared" si="49"/>
        <v>86.4</v>
      </c>
      <c r="GK7" s="17">
        <f t="shared" si="49"/>
        <v>86.4</v>
      </c>
      <c r="GL7" s="17">
        <f t="shared" ref="GL7:GR7" si="50">GL6*28.8</f>
        <v>115.2</v>
      </c>
      <c r="GM7" s="17">
        <f t="shared" si="50"/>
        <v>115.2</v>
      </c>
      <c r="GN7" s="17">
        <f t="shared" si="50"/>
        <v>115.2</v>
      </c>
      <c r="GO7" s="17">
        <f t="shared" si="50"/>
        <v>86.4</v>
      </c>
      <c r="GP7" s="17">
        <f t="shared" si="50"/>
        <v>28.8</v>
      </c>
      <c r="GQ7" s="17">
        <f t="shared" si="50"/>
        <v>0</v>
      </c>
      <c r="GR7" s="17">
        <f t="shared" si="50"/>
        <v>0</v>
      </c>
      <c r="GS7" s="17">
        <f t="shared" ref="GS7:GT7" si="51">GS6*28.8</f>
        <v>57.6</v>
      </c>
      <c r="GT7" s="17">
        <f t="shared" si="51"/>
        <v>57.6</v>
      </c>
      <c r="GU7" s="17">
        <f t="shared" ref="GU7:GY7" si="52">GU6*28.8</f>
        <v>57.6</v>
      </c>
      <c r="GV7" s="17">
        <f t="shared" si="52"/>
        <v>57.6</v>
      </c>
      <c r="GW7" s="17">
        <f t="shared" si="52"/>
        <v>57.6</v>
      </c>
      <c r="GX7" s="17">
        <f t="shared" si="52"/>
        <v>57.6</v>
      </c>
      <c r="GY7" s="17">
        <f t="shared" si="52"/>
        <v>57.6</v>
      </c>
      <c r="GZ7" s="17">
        <f t="shared" ref="GZ7:HF7" si="53">GZ6*28.8</f>
        <v>57.6</v>
      </c>
      <c r="HA7" s="17">
        <f t="shared" si="53"/>
        <v>57.6</v>
      </c>
      <c r="HB7" s="17">
        <f t="shared" si="53"/>
        <v>57.6</v>
      </c>
      <c r="HC7" s="17">
        <f t="shared" si="53"/>
        <v>57.6</v>
      </c>
      <c r="HD7" s="17">
        <f t="shared" si="53"/>
        <v>57.6</v>
      </c>
      <c r="HE7" s="17">
        <f t="shared" si="53"/>
        <v>57.6</v>
      </c>
      <c r="HF7" s="17">
        <f t="shared" si="53"/>
        <v>28.8</v>
      </c>
      <c r="HG7" s="17">
        <f t="shared" ref="HG7:HM7" si="54">HG6*28.8</f>
        <v>28.8</v>
      </c>
      <c r="HH7" s="17">
        <f t="shared" si="54"/>
        <v>0</v>
      </c>
      <c r="HI7" s="17">
        <f t="shared" si="54"/>
        <v>0</v>
      </c>
      <c r="HJ7" s="17">
        <f t="shared" si="54"/>
        <v>0</v>
      </c>
      <c r="HK7" s="17">
        <f t="shared" si="54"/>
        <v>0</v>
      </c>
      <c r="HL7" s="17">
        <f t="shared" si="54"/>
        <v>0</v>
      </c>
      <c r="HM7" s="17">
        <f t="shared" si="54"/>
        <v>0</v>
      </c>
      <c r="HN7" s="17">
        <f t="shared" ref="HN7:HT7" si="55">HN6*28.8</f>
        <v>0</v>
      </c>
      <c r="HO7" s="17">
        <f t="shared" si="55"/>
        <v>0</v>
      </c>
      <c r="HP7" s="17">
        <f t="shared" si="55"/>
        <v>0</v>
      </c>
      <c r="HQ7" s="17">
        <f t="shared" si="55"/>
        <v>230.4</v>
      </c>
      <c r="HR7" s="17">
        <f t="shared" si="55"/>
        <v>230.4</v>
      </c>
      <c r="HS7" s="17">
        <f t="shared" si="55"/>
        <v>0</v>
      </c>
      <c r="HT7" s="17">
        <f t="shared" si="55"/>
        <v>0</v>
      </c>
      <c r="HU7" s="17">
        <f t="shared" ref="HU7:IC7" si="56">HU6*28.8</f>
        <v>144</v>
      </c>
      <c r="HV7" s="17">
        <f t="shared" si="56"/>
        <v>144</v>
      </c>
      <c r="HW7" s="17">
        <f t="shared" si="56"/>
        <v>144</v>
      </c>
      <c r="HX7" s="17">
        <f t="shared" si="56"/>
        <v>144</v>
      </c>
      <c r="HY7" s="17">
        <f t="shared" si="56"/>
        <v>144</v>
      </c>
      <c r="HZ7" s="17">
        <f t="shared" si="56"/>
        <v>144</v>
      </c>
      <c r="IA7" s="17">
        <f t="shared" si="56"/>
        <v>144</v>
      </c>
      <c r="IB7" s="17">
        <f t="shared" si="56"/>
        <v>28.8</v>
      </c>
      <c r="IC7" s="17">
        <f t="shared" si="56"/>
        <v>28.8</v>
      </c>
      <c r="ID7" s="17">
        <f t="shared" ref="ID7:IO7" si="57">ID6*28.8</f>
        <v>28.8</v>
      </c>
      <c r="IE7" s="17">
        <f t="shared" si="57"/>
        <v>28.8</v>
      </c>
      <c r="IF7" s="17">
        <f t="shared" si="57"/>
        <v>28.8</v>
      </c>
      <c r="IG7" s="17">
        <f t="shared" si="57"/>
        <v>28.8</v>
      </c>
      <c r="IH7" s="17">
        <f t="shared" si="57"/>
        <v>28.8</v>
      </c>
      <c r="II7" s="17">
        <f t="shared" si="57"/>
        <v>28.8</v>
      </c>
      <c r="IJ7" s="17">
        <f t="shared" si="57"/>
        <v>28.8</v>
      </c>
      <c r="IK7" s="17">
        <f t="shared" si="57"/>
        <v>259.2</v>
      </c>
      <c r="IL7" s="17">
        <f t="shared" si="57"/>
        <v>259.2</v>
      </c>
      <c r="IM7" s="17">
        <f t="shared" si="57"/>
        <v>259.2</v>
      </c>
      <c r="IN7" s="17">
        <f t="shared" si="57"/>
        <v>259.2</v>
      </c>
      <c r="IO7" s="17">
        <f t="shared" si="57"/>
        <v>259.2</v>
      </c>
      <c r="IP7" s="17">
        <f t="shared" ref="IP7:IV7" si="58">IP6*28.8</f>
        <v>259.2</v>
      </c>
      <c r="IQ7" s="17">
        <f t="shared" si="58"/>
        <v>259.2</v>
      </c>
      <c r="IR7" s="17">
        <f t="shared" si="58"/>
        <v>259.2</v>
      </c>
      <c r="IS7" s="17">
        <f t="shared" si="58"/>
        <v>345.6</v>
      </c>
      <c r="IT7" s="17">
        <f t="shared" si="58"/>
        <v>345.6</v>
      </c>
      <c r="IU7" s="17">
        <f t="shared" si="58"/>
        <v>259.2</v>
      </c>
      <c r="IV7" s="17">
        <f t="shared" si="58"/>
        <v>259.2</v>
      </c>
      <c r="IW7" s="17">
        <f t="shared" ref="IW7:JC7" si="59">IW6*28.8</f>
        <v>259.2</v>
      </c>
      <c r="IX7" s="17">
        <f t="shared" si="59"/>
        <v>259.2</v>
      </c>
      <c r="IY7" s="17">
        <f t="shared" si="59"/>
        <v>259.2</v>
      </c>
      <c r="IZ7" s="17">
        <f t="shared" si="59"/>
        <v>259.2</v>
      </c>
      <c r="JA7" s="17">
        <f t="shared" si="59"/>
        <v>0</v>
      </c>
      <c r="JB7" s="17">
        <f t="shared" si="59"/>
        <v>0</v>
      </c>
      <c r="JC7" s="17">
        <f t="shared" si="59"/>
        <v>0</v>
      </c>
      <c r="JD7" s="17">
        <f t="shared" ref="JD7:JJ7" si="60">JD6*28.8</f>
        <v>0</v>
      </c>
      <c r="JE7" s="17">
        <f t="shared" si="60"/>
        <v>0</v>
      </c>
      <c r="JF7" s="17">
        <f t="shared" si="60"/>
        <v>0</v>
      </c>
      <c r="JG7" s="17">
        <f t="shared" si="60"/>
        <v>0</v>
      </c>
      <c r="JH7" s="17">
        <f t="shared" si="60"/>
        <v>0</v>
      </c>
      <c r="JI7" s="17">
        <f t="shared" si="60"/>
        <v>0</v>
      </c>
      <c r="JJ7" s="17">
        <f t="shared" si="60"/>
        <v>0</v>
      </c>
      <c r="JK7" s="17">
        <f t="shared" ref="JK7:JT7" si="61">JK6*28.8</f>
        <v>0</v>
      </c>
      <c r="JL7" s="17">
        <f t="shared" si="61"/>
        <v>0</v>
      </c>
      <c r="JM7" s="17">
        <f t="shared" si="61"/>
        <v>0</v>
      </c>
      <c r="JN7" s="17">
        <f t="shared" si="61"/>
        <v>0</v>
      </c>
      <c r="JO7" s="17">
        <f t="shared" si="61"/>
        <v>0</v>
      </c>
      <c r="JP7" s="17">
        <f t="shared" si="61"/>
        <v>0</v>
      </c>
      <c r="JQ7" s="17">
        <f t="shared" si="61"/>
        <v>0</v>
      </c>
      <c r="JR7" s="17">
        <f t="shared" si="61"/>
        <v>0</v>
      </c>
      <c r="JS7" s="17">
        <f t="shared" si="61"/>
        <v>0</v>
      </c>
      <c r="JT7" s="17">
        <f t="shared" si="61"/>
        <v>0</v>
      </c>
    </row>
    <row r="8" spans="1:280" s="1" customFormat="1" x14ac:dyDescent="0.35">
      <c r="A8" s="1" t="s">
        <v>44</v>
      </c>
      <c r="U8" s="1">
        <v>2</v>
      </c>
      <c r="V8" s="1">
        <v>2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>
        <v>1</v>
      </c>
      <c r="CZ8" s="14">
        <v>1</v>
      </c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>
        <v>1</v>
      </c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>
        <v>1</v>
      </c>
      <c r="ER8" s="14">
        <v>1</v>
      </c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>
        <v>1</v>
      </c>
      <c r="FL8" s="14">
        <v>1</v>
      </c>
      <c r="FM8" s="14">
        <v>2</v>
      </c>
      <c r="FN8" s="14">
        <v>2</v>
      </c>
      <c r="FO8" s="14">
        <v>2</v>
      </c>
      <c r="FP8" s="14">
        <v>1</v>
      </c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>
        <v>2</v>
      </c>
      <c r="HI8" s="14">
        <v>2</v>
      </c>
      <c r="HJ8" s="14">
        <v>2</v>
      </c>
      <c r="HK8" s="14">
        <v>2</v>
      </c>
      <c r="HL8" s="14">
        <v>2</v>
      </c>
      <c r="HM8" s="14">
        <v>2</v>
      </c>
      <c r="HN8" s="14"/>
      <c r="HO8" s="14"/>
      <c r="HP8" s="14"/>
      <c r="HQ8" s="14"/>
      <c r="HR8" s="14"/>
      <c r="HS8" s="14">
        <v>2</v>
      </c>
      <c r="HT8" s="14">
        <v>2</v>
      </c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>
        <v>4</v>
      </c>
      <c r="IQ8" s="14">
        <v>4</v>
      </c>
      <c r="IR8" s="14">
        <v>4</v>
      </c>
      <c r="IS8" s="14">
        <v>3</v>
      </c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</row>
    <row r="9" spans="1:280" s="2" customFormat="1" x14ac:dyDescent="0.35">
      <c r="A9" s="2" t="s">
        <v>41</v>
      </c>
      <c r="BN9" s="2">
        <f t="shared" ref="BN9:BO9" si="62">BN8*28.8</f>
        <v>0</v>
      </c>
      <c r="BO9" s="2">
        <f t="shared" si="62"/>
        <v>0</v>
      </c>
      <c r="BP9" s="2">
        <f>BP8*28.8</f>
        <v>0</v>
      </c>
      <c r="BQ9" s="2">
        <f t="shared" ref="BQ9:BV9" si="63">BQ8*28.8</f>
        <v>0</v>
      </c>
      <c r="BR9" s="2">
        <f t="shared" si="63"/>
        <v>0</v>
      </c>
      <c r="BS9" s="17">
        <f t="shared" si="63"/>
        <v>0</v>
      </c>
      <c r="BT9" s="17">
        <f t="shared" si="63"/>
        <v>0</v>
      </c>
      <c r="BU9" s="17">
        <f t="shared" si="63"/>
        <v>0</v>
      </c>
      <c r="BV9" s="17">
        <f t="shared" si="63"/>
        <v>0</v>
      </c>
      <c r="BW9" s="17">
        <f t="shared" ref="BW9:CC9" si="64">BW8*28.8</f>
        <v>0</v>
      </c>
      <c r="BX9" s="17">
        <f t="shared" si="64"/>
        <v>0</v>
      </c>
      <c r="BY9" s="17">
        <f t="shared" si="64"/>
        <v>0</v>
      </c>
      <c r="BZ9" s="17">
        <f t="shared" si="64"/>
        <v>0</v>
      </c>
      <c r="CA9" s="17">
        <f t="shared" si="64"/>
        <v>0</v>
      </c>
      <c r="CB9" s="17">
        <f t="shared" si="64"/>
        <v>0</v>
      </c>
      <c r="CC9" s="17">
        <f t="shared" si="64"/>
        <v>0</v>
      </c>
      <c r="CD9" s="17">
        <f t="shared" ref="CD9:CJ9" si="65">CD8*28.8</f>
        <v>0</v>
      </c>
      <c r="CE9" s="17">
        <f t="shared" si="65"/>
        <v>0</v>
      </c>
      <c r="CF9" s="17">
        <f t="shared" si="65"/>
        <v>0</v>
      </c>
      <c r="CG9" s="17">
        <f t="shared" si="65"/>
        <v>0</v>
      </c>
      <c r="CH9" s="17">
        <f t="shared" si="65"/>
        <v>0</v>
      </c>
      <c r="CI9" s="17">
        <f t="shared" si="65"/>
        <v>0</v>
      </c>
      <c r="CJ9" s="17">
        <f t="shared" si="65"/>
        <v>0</v>
      </c>
      <c r="CK9" s="17">
        <f t="shared" ref="CK9:CQ9" si="66">CK8*28.8</f>
        <v>0</v>
      </c>
      <c r="CL9" s="17">
        <f t="shared" si="66"/>
        <v>0</v>
      </c>
      <c r="CM9" s="17">
        <f t="shared" si="66"/>
        <v>0</v>
      </c>
      <c r="CN9" s="17">
        <f t="shared" si="66"/>
        <v>0</v>
      </c>
      <c r="CO9" s="17">
        <f t="shared" si="66"/>
        <v>0</v>
      </c>
      <c r="CP9" s="17">
        <f t="shared" si="66"/>
        <v>0</v>
      </c>
      <c r="CQ9" s="17">
        <f t="shared" si="66"/>
        <v>0</v>
      </c>
      <c r="CR9" s="17">
        <f t="shared" ref="CR9:CX9" si="67">CR8*28.8</f>
        <v>0</v>
      </c>
      <c r="CS9" s="17">
        <f t="shared" si="67"/>
        <v>0</v>
      </c>
      <c r="CT9" s="17">
        <f t="shared" si="67"/>
        <v>0</v>
      </c>
      <c r="CU9" s="17">
        <f t="shared" si="67"/>
        <v>0</v>
      </c>
      <c r="CV9" s="17">
        <f t="shared" si="67"/>
        <v>0</v>
      </c>
      <c r="CW9" s="17">
        <f t="shared" si="67"/>
        <v>0</v>
      </c>
      <c r="CX9" s="17">
        <f t="shared" si="67"/>
        <v>0</v>
      </c>
      <c r="CY9" s="17">
        <f t="shared" ref="CY9:DE9" si="68">CY8*28.8</f>
        <v>28.8</v>
      </c>
      <c r="CZ9" s="17">
        <f t="shared" si="68"/>
        <v>28.8</v>
      </c>
      <c r="DA9" s="17">
        <f t="shared" si="68"/>
        <v>0</v>
      </c>
      <c r="DB9" s="17">
        <f t="shared" si="68"/>
        <v>0</v>
      </c>
      <c r="DC9" s="17">
        <f t="shared" si="68"/>
        <v>0</v>
      </c>
      <c r="DD9" s="17">
        <f t="shared" si="68"/>
        <v>0</v>
      </c>
      <c r="DE9" s="17">
        <f t="shared" si="68"/>
        <v>0</v>
      </c>
      <c r="DF9" s="17">
        <f t="shared" ref="DF9:DM9" si="69">DF8*28.8</f>
        <v>0</v>
      </c>
      <c r="DG9" s="17">
        <f t="shared" si="69"/>
        <v>0</v>
      </c>
      <c r="DH9" s="17">
        <f t="shared" si="69"/>
        <v>0</v>
      </c>
      <c r="DI9" s="17">
        <f t="shared" si="69"/>
        <v>0</v>
      </c>
      <c r="DJ9" s="17">
        <f t="shared" si="69"/>
        <v>0</v>
      </c>
      <c r="DK9" s="17">
        <f t="shared" si="69"/>
        <v>0</v>
      </c>
      <c r="DL9" s="17">
        <f t="shared" si="69"/>
        <v>0</v>
      </c>
      <c r="DM9" s="17">
        <f t="shared" si="69"/>
        <v>28.8</v>
      </c>
      <c r="DN9" s="17">
        <f t="shared" ref="DN9:DS9" si="70">DN8*28.8</f>
        <v>0</v>
      </c>
      <c r="DO9" s="17">
        <f t="shared" si="70"/>
        <v>0</v>
      </c>
      <c r="DP9" s="17">
        <f t="shared" si="70"/>
        <v>0</v>
      </c>
      <c r="DQ9" s="17">
        <f t="shared" si="70"/>
        <v>0</v>
      </c>
      <c r="DR9" s="17">
        <f t="shared" si="70"/>
        <v>0</v>
      </c>
      <c r="DS9" s="17">
        <f t="shared" si="70"/>
        <v>0</v>
      </c>
      <c r="DT9" s="17">
        <f t="shared" ref="DT9:DZ9" si="71">DT8*28.8</f>
        <v>0</v>
      </c>
      <c r="DU9" s="17">
        <f t="shared" si="71"/>
        <v>0</v>
      </c>
      <c r="DV9" s="17">
        <f t="shared" si="71"/>
        <v>0</v>
      </c>
      <c r="DW9" s="17">
        <f t="shared" si="71"/>
        <v>0</v>
      </c>
      <c r="DX9" s="17">
        <f t="shared" si="71"/>
        <v>0</v>
      </c>
      <c r="DY9" s="17">
        <f t="shared" si="71"/>
        <v>0</v>
      </c>
      <c r="DZ9" s="17">
        <f t="shared" si="71"/>
        <v>0</v>
      </c>
      <c r="EA9" s="17">
        <f t="shared" ref="EA9:EG9" si="72">EA8*28.8</f>
        <v>0</v>
      </c>
      <c r="EB9" s="17">
        <f t="shared" si="72"/>
        <v>0</v>
      </c>
      <c r="EC9" s="17">
        <f t="shared" si="72"/>
        <v>0</v>
      </c>
      <c r="ED9" s="17">
        <f t="shared" si="72"/>
        <v>0</v>
      </c>
      <c r="EE9" s="17">
        <f t="shared" si="72"/>
        <v>0</v>
      </c>
      <c r="EF9" s="17">
        <f t="shared" si="72"/>
        <v>0</v>
      </c>
      <c r="EG9" s="17">
        <f t="shared" si="72"/>
        <v>0</v>
      </c>
      <c r="EH9" s="17">
        <f t="shared" ref="EH9:EN9" si="73">EH8*28.8</f>
        <v>0</v>
      </c>
      <c r="EI9" s="17">
        <f t="shared" si="73"/>
        <v>0</v>
      </c>
      <c r="EJ9" s="17">
        <f t="shared" si="73"/>
        <v>0</v>
      </c>
      <c r="EK9" s="17">
        <f t="shared" si="73"/>
        <v>0</v>
      </c>
      <c r="EL9" s="17">
        <f t="shared" si="73"/>
        <v>0</v>
      </c>
      <c r="EM9" s="17">
        <f t="shared" si="73"/>
        <v>0</v>
      </c>
      <c r="EN9" s="17">
        <f t="shared" si="73"/>
        <v>0</v>
      </c>
      <c r="EO9" s="17">
        <f t="shared" ref="EO9:EU9" si="74">EO8*28.8</f>
        <v>0</v>
      </c>
      <c r="EP9" s="17">
        <f t="shared" si="74"/>
        <v>0</v>
      </c>
      <c r="EQ9" s="17">
        <f t="shared" si="74"/>
        <v>28.8</v>
      </c>
      <c r="ER9" s="17">
        <f t="shared" si="74"/>
        <v>28.8</v>
      </c>
      <c r="ES9" s="17">
        <f t="shared" si="74"/>
        <v>0</v>
      </c>
      <c r="ET9" s="17">
        <f t="shared" si="74"/>
        <v>0</v>
      </c>
      <c r="EU9" s="17">
        <f t="shared" si="74"/>
        <v>0</v>
      </c>
      <c r="EV9" s="17">
        <f t="shared" ref="EV9:FD9" si="75">EV8*28.8</f>
        <v>0</v>
      </c>
      <c r="EW9" s="17">
        <f t="shared" si="75"/>
        <v>0</v>
      </c>
      <c r="EX9" s="17">
        <f t="shared" si="75"/>
        <v>0</v>
      </c>
      <c r="EY9" s="17">
        <f t="shared" si="75"/>
        <v>0</v>
      </c>
      <c r="EZ9" s="17">
        <f t="shared" si="75"/>
        <v>0</v>
      </c>
      <c r="FA9" s="17">
        <f t="shared" si="75"/>
        <v>0</v>
      </c>
      <c r="FB9" s="17">
        <f t="shared" si="75"/>
        <v>0</v>
      </c>
      <c r="FC9" s="17">
        <f t="shared" si="75"/>
        <v>0</v>
      </c>
      <c r="FD9" s="17">
        <f t="shared" si="75"/>
        <v>0</v>
      </c>
      <c r="FE9" s="17">
        <f t="shared" ref="FE9:FR9" si="76">FE8*28.8</f>
        <v>0</v>
      </c>
      <c r="FF9" s="17">
        <f t="shared" si="76"/>
        <v>0</v>
      </c>
      <c r="FG9" s="17">
        <f t="shared" si="76"/>
        <v>0</v>
      </c>
      <c r="FH9" s="17">
        <f t="shared" si="76"/>
        <v>0</v>
      </c>
      <c r="FI9" s="17">
        <f t="shared" si="76"/>
        <v>0</v>
      </c>
      <c r="FJ9" s="17">
        <f t="shared" si="76"/>
        <v>0</v>
      </c>
      <c r="FK9" s="17">
        <f t="shared" si="76"/>
        <v>28.8</v>
      </c>
      <c r="FL9" s="17">
        <f t="shared" si="76"/>
        <v>28.8</v>
      </c>
      <c r="FM9" s="17">
        <f t="shared" si="76"/>
        <v>57.6</v>
      </c>
      <c r="FN9" s="17">
        <f t="shared" si="76"/>
        <v>57.6</v>
      </c>
      <c r="FO9" s="17">
        <f t="shared" si="76"/>
        <v>57.6</v>
      </c>
      <c r="FP9" s="17">
        <f t="shared" si="76"/>
        <v>28.8</v>
      </c>
      <c r="FQ9" s="17">
        <f t="shared" si="76"/>
        <v>0</v>
      </c>
      <c r="FR9" s="17">
        <f t="shared" si="76"/>
        <v>0</v>
      </c>
      <c r="FS9" s="17">
        <f t="shared" ref="FS9:FY9" si="77">FS8*28.8</f>
        <v>0</v>
      </c>
      <c r="FT9" s="17">
        <f t="shared" si="77"/>
        <v>0</v>
      </c>
      <c r="FU9" s="17">
        <f t="shared" si="77"/>
        <v>0</v>
      </c>
      <c r="FV9" s="17">
        <f t="shared" si="77"/>
        <v>0</v>
      </c>
      <c r="FW9" s="17">
        <f t="shared" si="77"/>
        <v>0</v>
      </c>
      <c r="FX9" s="17">
        <f t="shared" si="77"/>
        <v>0</v>
      </c>
      <c r="FY9" s="17">
        <f t="shared" si="77"/>
        <v>0</v>
      </c>
      <c r="FZ9" s="17">
        <f t="shared" ref="FZ9:GF9" si="78">FZ8*28.8</f>
        <v>0</v>
      </c>
      <c r="GA9" s="17">
        <f t="shared" si="78"/>
        <v>0</v>
      </c>
      <c r="GB9" s="17">
        <f t="shared" si="78"/>
        <v>0</v>
      </c>
      <c r="GC9" s="17">
        <f t="shared" si="78"/>
        <v>0</v>
      </c>
      <c r="GD9" s="17">
        <f t="shared" si="78"/>
        <v>0</v>
      </c>
      <c r="GE9" s="17">
        <f t="shared" si="78"/>
        <v>0</v>
      </c>
      <c r="GF9" s="17">
        <f t="shared" si="78"/>
        <v>0</v>
      </c>
      <c r="GG9" s="17">
        <f t="shared" ref="GG9:GK9" si="79">GG8*28.8</f>
        <v>0</v>
      </c>
      <c r="GH9" s="17">
        <f t="shared" si="79"/>
        <v>0</v>
      </c>
      <c r="GI9" s="17">
        <f t="shared" si="79"/>
        <v>0</v>
      </c>
      <c r="GJ9" s="17">
        <f t="shared" si="79"/>
        <v>0</v>
      </c>
      <c r="GK9" s="17">
        <f t="shared" si="79"/>
        <v>0</v>
      </c>
      <c r="GL9" s="17">
        <f t="shared" ref="GL9:GR9" si="80">GL8*28.8</f>
        <v>0</v>
      </c>
      <c r="GM9" s="17">
        <f t="shared" si="80"/>
        <v>0</v>
      </c>
      <c r="GN9" s="17">
        <f t="shared" si="80"/>
        <v>0</v>
      </c>
      <c r="GO9" s="17">
        <f t="shared" si="80"/>
        <v>0</v>
      </c>
      <c r="GP9" s="17">
        <f t="shared" si="80"/>
        <v>0</v>
      </c>
      <c r="GQ9" s="17">
        <f t="shared" si="80"/>
        <v>0</v>
      </c>
      <c r="GR9" s="17">
        <f t="shared" si="80"/>
        <v>0</v>
      </c>
      <c r="GS9" s="17">
        <f t="shared" ref="GS9:GT9" si="81">GS8*28.8</f>
        <v>0</v>
      </c>
      <c r="GT9" s="17">
        <f t="shared" si="81"/>
        <v>0</v>
      </c>
      <c r="GU9" s="17">
        <f t="shared" ref="GU9:GY9" si="82">GU8*28.8</f>
        <v>0</v>
      </c>
      <c r="GV9" s="17">
        <f t="shared" si="82"/>
        <v>0</v>
      </c>
      <c r="GW9" s="17">
        <f t="shared" si="82"/>
        <v>0</v>
      </c>
      <c r="GX9" s="17">
        <f t="shared" si="82"/>
        <v>0</v>
      </c>
      <c r="GY9" s="17">
        <f t="shared" si="82"/>
        <v>0</v>
      </c>
      <c r="GZ9" s="17">
        <f t="shared" ref="GZ9:HF9" si="83">GZ8*28.8</f>
        <v>0</v>
      </c>
      <c r="HA9" s="17">
        <f t="shared" si="83"/>
        <v>0</v>
      </c>
      <c r="HB9" s="17">
        <f t="shared" si="83"/>
        <v>0</v>
      </c>
      <c r="HC9" s="17">
        <f t="shared" si="83"/>
        <v>0</v>
      </c>
      <c r="HD9" s="17">
        <f t="shared" si="83"/>
        <v>0</v>
      </c>
      <c r="HE9" s="17">
        <f t="shared" si="83"/>
        <v>0</v>
      </c>
      <c r="HF9" s="17">
        <f t="shared" si="83"/>
        <v>0</v>
      </c>
      <c r="HG9" s="17">
        <f t="shared" ref="HG9:HM9" si="84">HG8*28.8</f>
        <v>0</v>
      </c>
      <c r="HH9" s="17">
        <f t="shared" si="84"/>
        <v>57.6</v>
      </c>
      <c r="HI9" s="17">
        <f t="shared" si="84"/>
        <v>57.6</v>
      </c>
      <c r="HJ9" s="17">
        <f t="shared" si="84"/>
        <v>57.6</v>
      </c>
      <c r="HK9" s="17">
        <f t="shared" si="84"/>
        <v>57.6</v>
      </c>
      <c r="HL9" s="17">
        <f t="shared" si="84"/>
        <v>57.6</v>
      </c>
      <c r="HM9" s="17">
        <f t="shared" si="84"/>
        <v>57.6</v>
      </c>
      <c r="HN9" s="17">
        <f t="shared" ref="HN9:HT9" si="85">HN8*28.8</f>
        <v>0</v>
      </c>
      <c r="HO9" s="17">
        <f t="shared" si="85"/>
        <v>0</v>
      </c>
      <c r="HP9" s="17">
        <f t="shared" si="85"/>
        <v>0</v>
      </c>
      <c r="HQ9" s="17">
        <f t="shared" si="85"/>
        <v>0</v>
      </c>
      <c r="HR9" s="17">
        <f t="shared" si="85"/>
        <v>0</v>
      </c>
      <c r="HS9" s="17">
        <f t="shared" si="85"/>
        <v>57.6</v>
      </c>
      <c r="HT9" s="17">
        <f t="shared" si="85"/>
        <v>57.6</v>
      </c>
      <c r="HU9" s="17">
        <f t="shared" ref="HU9:IC9" si="86">HU8*28.8</f>
        <v>0</v>
      </c>
      <c r="HV9" s="17">
        <f t="shared" si="86"/>
        <v>0</v>
      </c>
      <c r="HW9" s="17">
        <f t="shared" si="86"/>
        <v>0</v>
      </c>
      <c r="HX9" s="17">
        <f t="shared" si="86"/>
        <v>0</v>
      </c>
      <c r="HY9" s="17">
        <f t="shared" si="86"/>
        <v>0</v>
      </c>
      <c r="HZ9" s="17">
        <f t="shared" si="86"/>
        <v>0</v>
      </c>
      <c r="IA9" s="17">
        <f t="shared" si="86"/>
        <v>0</v>
      </c>
      <c r="IB9" s="17">
        <f t="shared" si="86"/>
        <v>0</v>
      </c>
      <c r="IC9" s="17">
        <f t="shared" si="86"/>
        <v>0</v>
      </c>
      <c r="ID9" s="17">
        <f t="shared" ref="ID9:IO9" si="87">ID8*28.8</f>
        <v>0</v>
      </c>
      <c r="IE9" s="17">
        <f t="shared" si="87"/>
        <v>0</v>
      </c>
      <c r="IF9" s="17">
        <f t="shared" si="87"/>
        <v>0</v>
      </c>
      <c r="IG9" s="17">
        <f t="shared" si="87"/>
        <v>0</v>
      </c>
      <c r="IH9" s="17">
        <f t="shared" si="87"/>
        <v>0</v>
      </c>
      <c r="II9" s="17">
        <f t="shared" si="87"/>
        <v>0</v>
      </c>
      <c r="IJ9" s="17">
        <f t="shared" si="87"/>
        <v>0</v>
      </c>
      <c r="IK9" s="17">
        <f t="shared" si="87"/>
        <v>0</v>
      </c>
      <c r="IL9" s="17">
        <f t="shared" si="87"/>
        <v>0</v>
      </c>
      <c r="IM9" s="17">
        <f t="shared" si="87"/>
        <v>0</v>
      </c>
      <c r="IN9" s="17">
        <f t="shared" si="87"/>
        <v>0</v>
      </c>
      <c r="IO9" s="17">
        <f t="shared" si="87"/>
        <v>0</v>
      </c>
      <c r="IP9" s="17">
        <f t="shared" ref="IP9:IV9" si="88">IP8*28.8</f>
        <v>115.2</v>
      </c>
      <c r="IQ9" s="17">
        <f t="shared" si="88"/>
        <v>115.2</v>
      </c>
      <c r="IR9" s="17">
        <f t="shared" si="88"/>
        <v>115.2</v>
      </c>
      <c r="IS9" s="17">
        <f t="shared" si="88"/>
        <v>86.4</v>
      </c>
      <c r="IT9" s="17">
        <f t="shared" si="88"/>
        <v>0</v>
      </c>
      <c r="IU9" s="17">
        <f t="shared" si="88"/>
        <v>0</v>
      </c>
      <c r="IV9" s="17">
        <f t="shared" si="88"/>
        <v>0</v>
      </c>
      <c r="IW9" s="17">
        <f t="shared" ref="IW9:JC9" si="89">IW8*28.8</f>
        <v>0</v>
      </c>
      <c r="IX9" s="17">
        <f t="shared" si="89"/>
        <v>0</v>
      </c>
      <c r="IY9" s="17">
        <f t="shared" si="89"/>
        <v>0</v>
      </c>
      <c r="IZ9" s="17">
        <f t="shared" si="89"/>
        <v>0</v>
      </c>
      <c r="JA9" s="17">
        <f t="shared" si="89"/>
        <v>0</v>
      </c>
      <c r="JB9" s="17">
        <f t="shared" si="89"/>
        <v>0</v>
      </c>
      <c r="JC9" s="17">
        <f t="shared" si="89"/>
        <v>0</v>
      </c>
      <c r="JD9" s="17">
        <f t="shared" ref="JD9:JJ9" si="90">JD8*28.8</f>
        <v>0</v>
      </c>
      <c r="JE9" s="17">
        <f t="shared" si="90"/>
        <v>0</v>
      </c>
      <c r="JF9" s="17">
        <f t="shared" si="90"/>
        <v>0</v>
      </c>
      <c r="JG9" s="17">
        <f t="shared" si="90"/>
        <v>0</v>
      </c>
      <c r="JH9" s="17">
        <f t="shared" si="90"/>
        <v>0</v>
      </c>
      <c r="JI9" s="17">
        <f t="shared" si="90"/>
        <v>0</v>
      </c>
      <c r="JJ9" s="17">
        <f t="shared" si="90"/>
        <v>0</v>
      </c>
      <c r="JK9" s="17">
        <f t="shared" ref="JK9:JT9" si="91">JK8*28.8</f>
        <v>0</v>
      </c>
      <c r="JL9" s="17">
        <f t="shared" si="91"/>
        <v>0</v>
      </c>
      <c r="JM9" s="17">
        <f t="shared" si="91"/>
        <v>0</v>
      </c>
      <c r="JN9" s="17">
        <f t="shared" si="91"/>
        <v>0</v>
      </c>
      <c r="JO9" s="17">
        <f t="shared" si="91"/>
        <v>0</v>
      </c>
      <c r="JP9" s="17">
        <f t="shared" si="91"/>
        <v>0</v>
      </c>
      <c r="JQ9" s="17">
        <f t="shared" si="91"/>
        <v>0</v>
      </c>
      <c r="JR9" s="17">
        <f t="shared" si="91"/>
        <v>0</v>
      </c>
      <c r="JS9" s="17">
        <f t="shared" si="91"/>
        <v>0</v>
      </c>
      <c r="JT9" s="17">
        <f t="shared" si="91"/>
        <v>0</v>
      </c>
    </row>
    <row r="10" spans="1:280" s="1" customFormat="1" x14ac:dyDescent="0.35">
      <c r="A10" s="1" t="s">
        <v>45</v>
      </c>
      <c r="P10" s="1">
        <v>2</v>
      </c>
      <c r="U10" s="1">
        <v>1</v>
      </c>
      <c r="V10" s="1">
        <v>1</v>
      </c>
      <c r="AL10" s="1">
        <v>2</v>
      </c>
      <c r="AU10" s="1">
        <v>3</v>
      </c>
      <c r="AV10" s="1">
        <v>3</v>
      </c>
      <c r="AW10" s="1">
        <v>3</v>
      </c>
      <c r="AX10" s="1">
        <v>3</v>
      </c>
      <c r="AY10" s="1">
        <v>4</v>
      </c>
      <c r="AZ10" s="1">
        <v>4</v>
      </c>
      <c r="BA10" s="1">
        <v>3</v>
      </c>
      <c r="BN10" s="1">
        <v>5</v>
      </c>
      <c r="BO10" s="1">
        <v>5</v>
      </c>
      <c r="BP10" s="1">
        <v>3</v>
      </c>
      <c r="BQ10" s="1">
        <v>3</v>
      </c>
      <c r="BR10" s="1">
        <v>3</v>
      </c>
      <c r="BS10" s="14">
        <v>4</v>
      </c>
      <c r="BT10" s="14">
        <v>4</v>
      </c>
      <c r="BU10" s="14">
        <v>3</v>
      </c>
      <c r="BV10" s="14">
        <v>3</v>
      </c>
      <c r="BW10" s="14">
        <v>3</v>
      </c>
      <c r="BX10" s="14">
        <v>2</v>
      </c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>
        <v>2</v>
      </c>
      <c r="CZ10" s="14">
        <v>2</v>
      </c>
      <c r="DA10" s="14">
        <v>2</v>
      </c>
      <c r="DB10" s="14">
        <v>7</v>
      </c>
      <c r="DC10" s="14">
        <v>7</v>
      </c>
      <c r="DD10" s="14">
        <v>7</v>
      </c>
      <c r="DE10" s="14">
        <v>7</v>
      </c>
      <c r="DF10" s="14">
        <v>2</v>
      </c>
      <c r="DG10" s="14">
        <v>2</v>
      </c>
      <c r="DH10" s="14">
        <v>2</v>
      </c>
      <c r="DI10" s="14">
        <v>2</v>
      </c>
      <c r="DJ10" s="14">
        <v>2</v>
      </c>
      <c r="DK10" s="14">
        <v>2</v>
      </c>
      <c r="DL10" s="14">
        <v>2</v>
      </c>
      <c r="DM10" s="14">
        <v>2</v>
      </c>
      <c r="DN10" s="14">
        <v>3</v>
      </c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>
        <v>1</v>
      </c>
      <c r="EI10" s="14">
        <v>1</v>
      </c>
      <c r="EJ10" s="14"/>
      <c r="EK10" s="14"/>
      <c r="EL10" s="14"/>
      <c r="EM10" s="14"/>
      <c r="EN10" s="14"/>
      <c r="EO10" s="14"/>
      <c r="EP10" s="14"/>
      <c r="EQ10" s="14"/>
      <c r="ER10" s="14"/>
      <c r="ES10" s="14">
        <v>1</v>
      </c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>
        <v>1</v>
      </c>
      <c r="HV10" s="14">
        <v>1</v>
      </c>
      <c r="HW10" s="14">
        <v>2</v>
      </c>
      <c r="HX10" s="14">
        <v>2</v>
      </c>
      <c r="HY10" s="14">
        <v>2</v>
      </c>
      <c r="HZ10" s="14">
        <v>2</v>
      </c>
      <c r="IA10" s="14">
        <v>2</v>
      </c>
      <c r="IB10" s="14">
        <v>2</v>
      </c>
      <c r="IC10" s="14">
        <v>2</v>
      </c>
      <c r="ID10" s="14">
        <v>2</v>
      </c>
      <c r="IE10" s="14">
        <v>2</v>
      </c>
      <c r="IF10" s="14">
        <v>2</v>
      </c>
      <c r="IG10" s="14">
        <v>2</v>
      </c>
      <c r="IH10" s="14">
        <v>2</v>
      </c>
      <c r="II10" s="14">
        <v>2</v>
      </c>
      <c r="IJ10" s="14">
        <v>2</v>
      </c>
      <c r="IK10" s="14">
        <v>3</v>
      </c>
      <c r="IL10" s="14">
        <v>3</v>
      </c>
      <c r="IM10" s="14">
        <v>2</v>
      </c>
      <c r="IN10" s="14">
        <v>2</v>
      </c>
      <c r="IO10" s="14">
        <v>2</v>
      </c>
      <c r="IP10" s="14"/>
      <c r="IQ10" s="14"/>
      <c r="IR10" s="14"/>
      <c r="IS10" s="14">
        <v>2</v>
      </c>
      <c r="IT10" s="14"/>
      <c r="IU10" s="14"/>
      <c r="IV10" s="14">
        <v>7</v>
      </c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</row>
    <row r="11" spans="1:280" s="2" customFormat="1" x14ac:dyDescent="0.35">
      <c r="A11" s="2" t="s">
        <v>41</v>
      </c>
      <c r="BN11" s="2">
        <f t="shared" ref="BN11" si="92">BN10*28.8</f>
        <v>144</v>
      </c>
      <c r="BO11" s="2">
        <f t="shared" ref="BO11" si="93">BO10*28.8</f>
        <v>144</v>
      </c>
      <c r="BP11" s="2">
        <f>BP10*28.8</f>
        <v>86.4</v>
      </c>
      <c r="BQ11" s="2">
        <f t="shared" ref="BQ11" si="94">BQ10*28.8</f>
        <v>86.4</v>
      </c>
      <c r="BR11" s="2">
        <f t="shared" ref="BR11" si="95">BR10*28.8</f>
        <v>86.4</v>
      </c>
      <c r="BS11" s="17">
        <f t="shared" ref="BS11" si="96">BS10*28.8</f>
        <v>115.2</v>
      </c>
      <c r="BT11" s="17">
        <f t="shared" ref="BT11" si="97">BT10*28.8</f>
        <v>115.2</v>
      </c>
      <c r="BU11" s="17">
        <f t="shared" ref="BU11" si="98">BU10*28.8</f>
        <v>86.4</v>
      </c>
      <c r="BV11" s="17">
        <f t="shared" ref="BV11:CC11" si="99">BV10*28.8</f>
        <v>86.4</v>
      </c>
      <c r="BW11" s="17">
        <f t="shared" si="99"/>
        <v>86.4</v>
      </c>
      <c r="BX11" s="17">
        <f t="shared" si="99"/>
        <v>57.6</v>
      </c>
      <c r="BY11" s="17">
        <f t="shared" si="99"/>
        <v>0</v>
      </c>
      <c r="BZ11" s="17">
        <f t="shared" si="99"/>
        <v>0</v>
      </c>
      <c r="CA11" s="17">
        <f t="shared" si="99"/>
        <v>0</v>
      </c>
      <c r="CB11" s="17">
        <f t="shared" si="99"/>
        <v>0</v>
      </c>
      <c r="CC11" s="17">
        <f t="shared" si="99"/>
        <v>0</v>
      </c>
      <c r="CD11" s="17">
        <f t="shared" ref="CD11:CJ11" si="100">CD10*28.8</f>
        <v>0</v>
      </c>
      <c r="CE11" s="17">
        <f t="shared" si="100"/>
        <v>0</v>
      </c>
      <c r="CF11" s="17">
        <f t="shared" si="100"/>
        <v>0</v>
      </c>
      <c r="CG11" s="17">
        <f t="shared" si="100"/>
        <v>0</v>
      </c>
      <c r="CH11" s="17">
        <f t="shared" si="100"/>
        <v>0</v>
      </c>
      <c r="CI11" s="17">
        <f t="shared" si="100"/>
        <v>0</v>
      </c>
      <c r="CJ11" s="17">
        <f t="shared" si="100"/>
        <v>0</v>
      </c>
      <c r="CK11" s="17">
        <f t="shared" ref="CK11:CQ11" si="101">CK10*28.8</f>
        <v>0</v>
      </c>
      <c r="CL11" s="17">
        <f t="shared" si="101"/>
        <v>0</v>
      </c>
      <c r="CM11" s="17">
        <f t="shared" si="101"/>
        <v>0</v>
      </c>
      <c r="CN11" s="17">
        <f t="shared" si="101"/>
        <v>0</v>
      </c>
      <c r="CO11" s="17">
        <f t="shared" si="101"/>
        <v>0</v>
      </c>
      <c r="CP11" s="17">
        <f t="shared" si="101"/>
        <v>0</v>
      </c>
      <c r="CQ11" s="17">
        <f t="shared" si="101"/>
        <v>0</v>
      </c>
      <c r="CR11" s="17">
        <f t="shared" ref="CR11:CX11" si="102">CR10*28.8</f>
        <v>0</v>
      </c>
      <c r="CS11" s="17">
        <f t="shared" si="102"/>
        <v>0</v>
      </c>
      <c r="CT11" s="17">
        <f t="shared" si="102"/>
        <v>0</v>
      </c>
      <c r="CU11" s="17">
        <f t="shared" si="102"/>
        <v>0</v>
      </c>
      <c r="CV11" s="17">
        <f t="shared" si="102"/>
        <v>0</v>
      </c>
      <c r="CW11" s="17">
        <f t="shared" si="102"/>
        <v>0</v>
      </c>
      <c r="CX11" s="17">
        <f t="shared" si="102"/>
        <v>0</v>
      </c>
      <c r="CY11" s="17">
        <f t="shared" ref="CY11:DE11" si="103">CY10*28.8</f>
        <v>57.6</v>
      </c>
      <c r="CZ11" s="17">
        <f t="shared" si="103"/>
        <v>57.6</v>
      </c>
      <c r="DA11" s="17">
        <f t="shared" si="103"/>
        <v>57.6</v>
      </c>
      <c r="DB11" s="17">
        <f t="shared" si="103"/>
        <v>201.6</v>
      </c>
      <c r="DC11" s="17">
        <f t="shared" si="103"/>
        <v>201.6</v>
      </c>
      <c r="DD11" s="17">
        <f t="shared" si="103"/>
        <v>201.6</v>
      </c>
      <c r="DE11" s="17">
        <f t="shared" si="103"/>
        <v>201.6</v>
      </c>
      <c r="DF11" s="17">
        <f t="shared" ref="DF11:DM11" si="104">DF10*28.8</f>
        <v>57.6</v>
      </c>
      <c r="DG11" s="17">
        <f t="shared" si="104"/>
        <v>57.6</v>
      </c>
      <c r="DH11" s="17">
        <f t="shared" si="104"/>
        <v>57.6</v>
      </c>
      <c r="DI11" s="17">
        <f t="shared" si="104"/>
        <v>57.6</v>
      </c>
      <c r="DJ11" s="17">
        <f t="shared" si="104"/>
        <v>57.6</v>
      </c>
      <c r="DK11" s="17">
        <f t="shared" si="104"/>
        <v>57.6</v>
      </c>
      <c r="DL11" s="17">
        <f t="shared" si="104"/>
        <v>57.6</v>
      </c>
      <c r="DM11" s="17">
        <f t="shared" si="104"/>
        <v>57.6</v>
      </c>
      <c r="DN11" s="17">
        <f t="shared" ref="DN11:DS11" si="105">DN10*28.8</f>
        <v>86.4</v>
      </c>
      <c r="DO11" s="17">
        <f t="shared" si="105"/>
        <v>0</v>
      </c>
      <c r="DP11" s="17">
        <f t="shared" si="105"/>
        <v>0</v>
      </c>
      <c r="DQ11" s="17">
        <f t="shared" si="105"/>
        <v>0</v>
      </c>
      <c r="DR11" s="17">
        <f t="shared" si="105"/>
        <v>0</v>
      </c>
      <c r="DS11" s="17">
        <f t="shared" si="105"/>
        <v>0</v>
      </c>
      <c r="DT11" s="17">
        <f t="shared" ref="DT11:DZ11" si="106">DT10*28.8</f>
        <v>0</v>
      </c>
      <c r="DU11" s="17">
        <f t="shared" si="106"/>
        <v>0</v>
      </c>
      <c r="DV11" s="17">
        <f t="shared" si="106"/>
        <v>0</v>
      </c>
      <c r="DW11" s="17">
        <f t="shared" si="106"/>
        <v>0</v>
      </c>
      <c r="DX11" s="17">
        <f t="shared" si="106"/>
        <v>0</v>
      </c>
      <c r="DY11" s="17">
        <f t="shared" si="106"/>
        <v>0</v>
      </c>
      <c r="DZ11" s="17">
        <f t="shared" si="106"/>
        <v>0</v>
      </c>
      <c r="EA11" s="17">
        <f t="shared" ref="EA11:EG11" si="107">EA10*28.8</f>
        <v>0</v>
      </c>
      <c r="EB11" s="17">
        <f t="shared" si="107"/>
        <v>0</v>
      </c>
      <c r="EC11" s="17">
        <f t="shared" si="107"/>
        <v>0</v>
      </c>
      <c r="ED11" s="17">
        <f t="shared" si="107"/>
        <v>0</v>
      </c>
      <c r="EE11" s="17">
        <f t="shared" si="107"/>
        <v>0</v>
      </c>
      <c r="EF11" s="17">
        <f t="shared" si="107"/>
        <v>0</v>
      </c>
      <c r="EG11" s="17">
        <f t="shared" si="107"/>
        <v>0</v>
      </c>
      <c r="EH11" s="17">
        <f t="shared" ref="EH11:EN11" si="108">EH10*28.8</f>
        <v>28.8</v>
      </c>
      <c r="EI11" s="17">
        <f t="shared" si="108"/>
        <v>28.8</v>
      </c>
      <c r="EJ11" s="17">
        <f t="shared" si="108"/>
        <v>0</v>
      </c>
      <c r="EK11" s="17">
        <f t="shared" si="108"/>
        <v>0</v>
      </c>
      <c r="EL11" s="17">
        <f t="shared" si="108"/>
        <v>0</v>
      </c>
      <c r="EM11" s="17">
        <f t="shared" si="108"/>
        <v>0</v>
      </c>
      <c r="EN11" s="17">
        <f t="shared" si="108"/>
        <v>0</v>
      </c>
      <c r="EO11" s="17">
        <f t="shared" ref="EO11:EU11" si="109">EO10*28.8</f>
        <v>0</v>
      </c>
      <c r="EP11" s="17">
        <f t="shared" si="109"/>
        <v>0</v>
      </c>
      <c r="EQ11" s="17">
        <f t="shared" si="109"/>
        <v>0</v>
      </c>
      <c r="ER11" s="17">
        <f t="shared" si="109"/>
        <v>0</v>
      </c>
      <c r="ES11" s="17">
        <f t="shared" si="109"/>
        <v>28.8</v>
      </c>
      <c r="ET11" s="17">
        <f t="shared" si="109"/>
        <v>0</v>
      </c>
      <c r="EU11" s="17">
        <f t="shared" si="109"/>
        <v>0</v>
      </c>
      <c r="EV11" s="17">
        <f t="shared" ref="EV11:FD11" si="110">EV10*28.8</f>
        <v>0</v>
      </c>
      <c r="EW11" s="17">
        <f t="shared" si="110"/>
        <v>0</v>
      </c>
      <c r="EX11" s="17">
        <f t="shared" si="110"/>
        <v>0</v>
      </c>
      <c r="EY11" s="17">
        <f t="shared" si="110"/>
        <v>0</v>
      </c>
      <c r="EZ11" s="17">
        <f t="shared" si="110"/>
        <v>0</v>
      </c>
      <c r="FA11" s="17">
        <f t="shared" si="110"/>
        <v>0</v>
      </c>
      <c r="FB11" s="17">
        <f t="shared" si="110"/>
        <v>0</v>
      </c>
      <c r="FC11" s="17">
        <f t="shared" si="110"/>
        <v>0</v>
      </c>
      <c r="FD11" s="17">
        <f t="shared" si="110"/>
        <v>0</v>
      </c>
      <c r="FE11" s="17">
        <f t="shared" ref="FE11:FR11" si="111">FE10*28.8</f>
        <v>0</v>
      </c>
      <c r="FF11" s="17">
        <f t="shared" si="111"/>
        <v>0</v>
      </c>
      <c r="FG11" s="17">
        <f t="shared" si="111"/>
        <v>0</v>
      </c>
      <c r="FH11" s="17">
        <f t="shared" si="111"/>
        <v>0</v>
      </c>
      <c r="FI11" s="17">
        <f t="shared" si="111"/>
        <v>0</v>
      </c>
      <c r="FJ11" s="17">
        <f t="shared" si="111"/>
        <v>0</v>
      </c>
      <c r="FK11" s="17">
        <f t="shared" si="111"/>
        <v>0</v>
      </c>
      <c r="FL11" s="17">
        <f t="shared" si="111"/>
        <v>0</v>
      </c>
      <c r="FM11" s="17">
        <f t="shared" si="111"/>
        <v>0</v>
      </c>
      <c r="FN11" s="17">
        <f t="shared" si="111"/>
        <v>0</v>
      </c>
      <c r="FO11" s="17">
        <f t="shared" si="111"/>
        <v>0</v>
      </c>
      <c r="FP11" s="17">
        <f t="shared" si="111"/>
        <v>0</v>
      </c>
      <c r="FQ11" s="17">
        <f t="shared" si="111"/>
        <v>0</v>
      </c>
      <c r="FR11" s="17">
        <f t="shared" si="111"/>
        <v>0</v>
      </c>
      <c r="FS11" s="17">
        <f t="shared" ref="FS11:FY11" si="112">FS10*28.8</f>
        <v>0</v>
      </c>
      <c r="FT11" s="17">
        <f t="shared" si="112"/>
        <v>0</v>
      </c>
      <c r="FU11" s="17">
        <f t="shared" si="112"/>
        <v>0</v>
      </c>
      <c r="FV11" s="17">
        <f t="shared" si="112"/>
        <v>0</v>
      </c>
      <c r="FW11" s="17">
        <f t="shared" si="112"/>
        <v>0</v>
      </c>
      <c r="FX11" s="17">
        <f t="shared" si="112"/>
        <v>0</v>
      </c>
      <c r="FY11" s="17">
        <f t="shared" si="112"/>
        <v>0</v>
      </c>
      <c r="FZ11" s="17">
        <f t="shared" ref="FZ11:GF11" si="113">FZ10*28.8</f>
        <v>0</v>
      </c>
      <c r="GA11" s="17">
        <f t="shared" si="113"/>
        <v>0</v>
      </c>
      <c r="GB11" s="17">
        <f t="shared" si="113"/>
        <v>0</v>
      </c>
      <c r="GC11" s="17">
        <f t="shared" si="113"/>
        <v>0</v>
      </c>
      <c r="GD11" s="17">
        <f t="shared" si="113"/>
        <v>0</v>
      </c>
      <c r="GE11" s="17">
        <f t="shared" si="113"/>
        <v>0</v>
      </c>
      <c r="GF11" s="17">
        <f t="shared" si="113"/>
        <v>0</v>
      </c>
      <c r="GG11" s="17">
        <f t="shared" ref="GG11:GK11" si="114">GG10*28.8</f>
        <v>0</v>
      </c>
      <c r="GH11" s="17">
        <f t="shared" si="114"/>
        <v>0</v>
      </c>
      <c r="GI11" s="17">
        <f t="shared" si="114"/>
        <v>0</v>
      </c>
      <c r="GJ11" s="17">
        <f t="shared" si="114"/>
        <v>0</v>
      </c>
      <c r="GK11" s="17">
        <f t="shared" si="114"/>
        <v>0</v>
      </c>
      <c r="GL11" s="17">
        <f t="shared" ref="GL11:GR11" si="115">GL10*28.8</f>
        <v>0</v>
      </c>
      <c r="GM11" s="17">
        <f t="shared" si="115"/>
        <v>0</v>
      </c>
      <c r="GN11" s="17">
        <f t="shared" si="115"/>
        <v>0</v>
      </c>
      <c r="GO11" s="17">
        <f t="shared" si="115"/>
        <v>0</v>
      </c>
      <c r="GP11" s="17">
        <f t="shared" si="115"/>
        <v>0</v>
      </c>
      <c r="GQ11" s="17">
        <f t="shared" si="115"/>
        <v>0</v>
      </c>
      <c r="GR11" s="17">
        <f t="shared" si="115"/>
        <v>0</v>
      </c>
      <c r="GS11" s="17">
        <f t="shared" ref="GS11:GT11" si="116">GS10*28.8</f>
        <v>0</v>
      </c>
      <c r="GT11" s="17">
        <f t="shared" si="116"/>
        <v>0</v>
      </c>
      <c r="GU11" s="17">
        <f t="shared" ref="GU11:GY11" si="117">GU10*28.8</f>
        <v>0</v>
      </c>
      <c r="GV11" s="17">
        <f t="shared" si="117"/>
        <v>0</v>
      </c>
      <c r="GW11" s="17">
        <f t="shared" si="117"/>
        <v>0</v>
      </c>
      <c r="GX11" s="17">
        <f t="shared" si="117"/>
        <v>0</v>
      </c>
      <c r="GY11" s="17">
        <f t="shared" si="117"/>
        <v>0</v>
      </c>
      <c r="GZ11" s="17">
        <f t="shared" ref="GZ11:HF11" si="118">GZ10*28.8</f>
        <v>0</v>
      </c>
      <c r="HA11" s="17">
        <f t="shared" si="118"/>
        <v>0</v>
      </c>
      <c r="HB11" s="17">
        <f t="shared" si="118"/>
        <v>0</v>
      </c>
      <c r="HC11" s="17">
        <f t="shared" si="118"/>
        <v>0</v>
      </c>
      <c r="HD11" s="17">
        <f t="shared" si="118"/>
        <v>0</v>
      </c>
      <c r="HE11" s="17">
        <f t="shared" si="118"/>
        <v>0</v>
      </c>
      <c r="HF11" s="17">
        <f t="shared" si="118"/>
        <v>0</v>
      </c>
      <c r="HG11" s="17">
        <f t="shared" ref="HG11:HM11" si="119">HG10*28.8</f>
        <v>0</v>
      </c>
      <c r="HH11" s="17">
        <f t="shared" si="119"/>
        <v>0</v>
      </c>
      <c r="HI11" s="17">
        <f t="shared" si="119"/>
        <v>0</v>
      </c>
      <c r="HJ11" s="17">
        <f t="shared" si="119"/>
        <v>0</v>
      </c>
      <c r="HK11" s="17">
        <f t="shared" si="119"/>
        <v>0</v>
      </c>
      <c r="HL11" s="17">
        <f t="shared" si="119"/>
        <v>0</v>
      </c>
      <c r="HM11" s="17">
        <f t="shared" si="119"/>
        <v>0</v>
      </c>
      <c r="HN11" s="17">
        <f t="shared" ref="HN11:HT11" si="120">HN10*28.8</f>
        <v>0</v>
      </c>
      <c r="HO11" s="17">
        <f t="shared" si="120"/>
        <v>0</v>
      </c>
      <c r="HP11" s="17">
        <f t="shared" si="120"/>
        <v>0</v>
      </c>
      <c r="HQ11" s="17">
        <f t="shared" si="120"/>
        <v>0</v>
      </c>
      <c r="HR11" s="17">
        <f t="shared" si="120"/>
        <v>0</v>
      </c>
      <c r="HS11" s="17">
        <f t="shared" si="120"/>
        <v>0</v>
      </c>
      <c r="HT11" s="17">
        <f t="shared" si="120"/>
        <v>0</v>
      </c>
      <c r="HU11" s="17">
        <f t="shared" ref="HU11:IC11" si="121">HU10*28.8</f>
        <v>28.8</v>
      </c>
      <c r="HV11" s="17">
        <f t="shared" si="121"/>
        <v>28.8</v>
      </c>
      <c r="HW11" s="17">
        <f t="shared" si="121"/>
        <v>57.6</v>
      </c>
      <c r="HX11" s="17">
        <f t="shared" si="121"/>
        <v>57.6</v>
      </c>
      <c r="HY11" s="17">
        <f t="shared" si="121"/>
        <v>57.6</v>
      </c>
      <c r="HZ11" s="17">
        <f t="shared" si="121"/>
        <v>57.6</v>
      </c>
      <c r="IA11" s="17">
        <f t="shared" si="121"/>
        <v>57.6</v>
      </c>
      <c r="IB11" s="17">
        <f t="shared" si="121"/>
        <v>57.6</v>
      </c>
      <c r="IC11" s="17">
        <f t="shared" si="121"/>
        <v>57.6</v>
      </c>
      <c r="ID11" s="17">
        <f t="shared" ref="ID11:IO11" si="122">ID10*28.8</f>
        <v>57.6</v>
      </c>
      <c r="IE11" s="17">
        <f t="shared" si="122"/>
        <v>57.6</v>
      </c>
      <c r="IF11" s="17">
        <f t="shared" si="122"/>
        <v>57.6</v>
      </c>
      <c r="IG11" s="17">
        <f t="shared" si="122"/>
        <v>57.6</v>
      </c>
      <c r="IH11" s="17">
        <f t="shared" si="122"/>
        <v>57.6</v>
      </c>
      <c r="II11" s="17">
        <f t="shared" si="122"/>
        <v>57.6</v>
      </c>
      <c r="IJ11" s="17">
        <f t="shared" si="122"/>
        <v>57.6</v>
      </c>
      <c r="IK11" s="17">
        <f t="shared" si="122"/>
        <v>86.4</v>
      </c>
      <c r="IL11" s="17">
        <f t="shared" si="122"/>
        <v>86.4</v>
      </c>
      <c r="IM11" s="17">
        <f t="shared" si="122"/>
        <v>57.6</v>
      </c>
      <c r="IN11" s="17">
        <f t="shared" si="122"/>
        <v>57.6</v>
      </c>
      <c r="IO11" s="17">
        <f t="shared" si="122"/>
        <v>57.6</v>
      </c>
      <c r="IP11" s="17">
        <f t="shared" ref="IP11:IV11" si="123">IP10*28.8</f>
        <v>0</v>
      </c>
      <c r="IQ11" s="17">
        <f t="shared" si="123"/>
        <v>0</v>
      </c>
      <c r="IR11" s="17">
        <f t="shared" si="123"/>
        <v>0</v>
      </c>
      <c r="IS11" s="17">
        <f t="shared" si="123"/>
        <v>57.6</v>
      </c>
      <c r="IT11" s="17">
        <f t="shared" si="123"/>
        <v>0</v>
      </c>
      <c r="IU11" s="17">
        <f t="shared" si="123"/>
        <v>0</v>
      </c>
      <c r="IV11" s="17">
        <f t="shared" si="123"/>
        <v>201.6</v>
      </c>
      <c r="IW11" s="17">
        <f t="shared" ref="IW11:JC11" si="124">IW10*28.8</f>
        <v>0</v>
      </c>
      <c r="IX11" s="17">
        <f t="shared" si="124"/>
        <v>0</v>
      </c>
      <c r="IY11" s="17">
        <f t="shared" si="124"/>
        <v>0</v>
      </c>
      <c r="IZ11" s="17">
        <f t="shared" si="124"/>
        <v>0</v>
      </c>
      <c r="JA11" s="17">
        <f t="shared" si="124"/>
        <v>0</v>
      </c>
      <c r="JB11" s="17">
        <f t="shared" si="124"/>
        <v>0</v>
      </c>
      <c r="JC11" s="17">
        <f t="shared" si="124"/>
        <v>0</v>
      </c>
      <c r="JD11" s="17">
        <f t="shared" ref="JD11:JJ11" si="125">JD10*28.8</f>
        <v>0</v>
      </c>
      <c r="JE11" s="17">
        <f t="shared" si="125"/>
        <v>0</v>
      </c>
      <c r="JF11" s="17">
        <f t="shared" si="125"/>
        <v>0</v>
      </c>
      <c r="JG11" s="17">
        <f t="shared" si="125"/>
        <v>0</v>
      </c>
      <c r="JH11" s="17">
        <f t="shared" si="125"/>
        <v>0</v>
      </c>
      <c r="JI11" s="17">
        <f t="shared" si="125"/>
        <v>0</v>
      </c>
      <c r="JJ11" s="17">
        <f t="shared" si="125"/>
        <v>0</v>
      </c>
      <c r="JK11" s="17">
        <f t="shared" ref="JK11:JT11" si="126">JK10*28.8</f>
        <v>0</v>
      </c>
      <c r="JL11" s="17">
        <f t="shared" si="126"/>
        <v>0</v>
      </c>
      <c r="JM11" s="17">
        <f t="shared" si="126"/>
        <v>0</v>
      </c>
      <c r="JN11" s="17">
        <f t="shared" si="126"/>
        <v>0</v>
      </c>
      <c r="JO11" s="17">
        <f t="shared" si="126"/>
        <v>0</v>
      </c>
      <c r="JP11" s="17">
        <f t="shared" si="126"/>
        <v>0</v>
      </c>
      <c r="JQ11" s="17">
        <f t="shared" si="126"/>
        <v>0</v>
      </c>
      <c r="JR11" s="17">
        <f t="shared" si="126"/>
        <v>0</v>
      </c>
      <c r="JS11" s="17">
        <f t="shared" si="126"/>
        <v>0</v>
      </c>
      <c r="JT11" s="17">
        <f t="shared" si="126"/>
        <v>0</v>
      </c>
    </row>
    <row r="12" spans="1:280" s="1" customFormat="1" x14ac:dyDescent="0.35">
      <c r="A12" s="1" t="s">
        <v>46</v>
      </c>
      <c r="B12" s="1">
        <v>25</v>
      </c>
      <c r="C12" s="1">
        <v>25</v>
      </c>
      <c r="D12" s="1">
        <v>25</v>
      </c>
      <c r="E12" s="1">
        <v>25</v>
      </c>
      <c r="F12" s="1">
        <v>25</v>
      </c>
      <c r="G12" s="1">
        <v>25</v>
      </c>
      <c r="H12" s="1">
        <v>25</v>
      </c>
      <c r="I12" s="1">
        <v>17</v>
      </c>
      <c r="J12" s="1">
        <v>17</v>
      </c>
      <c r="K12" s="1">
        <v>17</v>
      </c>
      <c r="L12" s="1">
        <v>17</v>
      </c>
      <c r="M12" s="1">
        <v>17</v>
      </c>
      <c r="N12" s="1">
        <v>17</v>
      </c>
      <c r="O12" s="1">
        <v>17</v>
      </c>
      <c r="P12" s="1">
        <v>11</v>
      </c>
      <c r="Q12" s="1">
        <v>13</v>
      </c>
      <c r="R12" s="1">
        <v>14</v>
      </c>
      <c r="S12" s="1">
        <v>11</v>
      </c>
      <c r="T12" s="1">
        <v>14</v>
      </c>
      <c r="U12" s="1">
        <v>11</v>
      </c>
      <c r="V12" s="1">
        <v>13</v>
      </c>
      <c r="W12" s="1">
        <v>8</v>
      </c>
      <c r="X12" s="1">
        <v>17</v>
      </c>
      <c r="Y12" s="1">
        <v>17</v>
      </c>
      <c r="Z12" s="1">
        <v>17</v>
      </c>
      <c r="AA12" s="1">
        <v>17</v>
      </c>
      <c r="AB12" s="1">
        <v>17</v>
      </c>
      <c r="AC12" s="1">
        <v>17</v>
      </c>
      <c r="AD12" s="1">
        <v>28</v>
      </c>
      <c r="AE12" s="1">
        <v>28</v>
      </c>
      <c r="AG12" s="1">
        <v>26</v>
      </c>
      <c r="AH12" s="1">
        <v>26</v>
      </c>
      <c r="AI12" s="1">
        <v>28</v>
      </c>
      <c r="AJ12" s="1">
        <v>28</v>
      </c>
      <c r="AK12" s="1">
        <v>28</v>
      </c>
      <c r="AL12" s="1">
        <v>27</v>
      </c>
      <c r="AM12" s="1">
        <v>30</v>
      </c>
      <c r="AN12" s="1">
        <v>31</v>
      </c>
      <c r="AO12" s="1">
        <v>31</v>
      </c>
      <c r="AP12" s="1">
        <v>32</v>
      </c>
      <c r="AQ12" s="1">
        <v>31</v>
      </c>
      <c r="AR12" s="1">
        <v>31</v>
      </c>
      <c r="AS12" s="1">
        <v>26</v>
      </c>
      <c r="AT12" s="1">
        <v>26</v>
      </c>
      <c r="AU12" s="1">
        <v>26</v>
      </c>
      <c r="AV12" s="1">
        <v>26</v>
      </c>
      <c r="AW12" s="1">
        <v>26</v>
      </c>
      <c r="AX12" s="1">
        <v>26</v>
      </c>
      <c r="AY12" s="1">
        <v>26</v>
      </c>
      <c r="AZ12" s="1">
        <v>26</v>
      </c>
      <c r="BA12" s="1">
        <v>26</v>
      </c>
      <c r="BB12" s="1">
        <v>31</v>
      </c>
      <c r="BC12" s="1">
        <v>31</v>
      </c>
      <c r="BD12" s="1">
        <v>31</v>
      </c>
      <c r="BE12" s="1">
        <v>31</v>
      </c>
      <c r="BF12" s="1">
        <v>31</v>
      </c>
      <c r="BG12" s="1">
        <v>29</v>
      </c>
      <c r="BH12" s="1">
        <v>29</v>
      </c>
      <c r="BI12" s="1">
        <v>29</v>
      </c>
      <c r="BJ12" s="1">
        <v>29</v>
      </c>
      <c r="BK12" s="1">
        <v>28</v>
      </c>
      <c r="BL12" s="1">
        <v>28</v>
      </c>
      <c r="BM12" s="1">
        <v>28</v>
      </c>
      <c r="BN12" s="1">
        <v>20</v>
      </c>
      <c r="BO12" s="1">
        <v>19</v>
      </c>
      <c r="BP12" s="1">
        <v>19</v>
      </c>
      <c r="BQ12" s="1">
        <v>19</v>
      </c>
      <c r="BR12" s="1">
        <v>19</v>
      </c>
      <c r="BS12" s="14">
        <v>25</v>
      </c>
      <c r="BT12" s="14">
        <v>26</v>
      </c>
      <c r="BU12" s="14">
        <v>27</v>
      </c>
      <c r="BV12" s="14">
        <v>28</v>
      </c>
      <c r="BW12" s="14">
        <v>21</v>
      </c>
      <c r="BX12" s="14">
        <v>22</v>
      </c>
      <c r="BY12" s="14">
        <v>24</v>
      </c>
      <c r="BZ12" s="14">
        <v>24</v>
      </c>
      <c r="CA12" s="14">
        <v>25</v>
      </c>
      <c r="CB12" s="14">
        <v>20</v>
      </c>
      <c r="CC12" s="14">
        <v>20</v>
      </c>
      <c r="CD12" s="14">
        <v>20</v>
      </c>
      <c r="CE12" s="14">
        <v>20</v>
      </c>
      <c r="CF12" s="14">
        <v>27</v>
      </c>
      <c r="CG12" s="14">
        <v>27</v>
      </c>
      <c r="CH12" s="14">
        <v>27</v>
      </c>
      <c r="CI12" s="14">
        <v>27</v>
      </c>
      <c r="CJ12" s="14">
        <v>27</v>
      </c>
      <c r="CK12" s="14">
        <v>27</v>
      </c>
      <c r="CL12" s="14">
        <v>27</v>
      </c>
      <c r="CM12" s="14">
        <v>27</v>
      </c>
      <c r="CN12" s="14">
        <v>27</v>
      </c>
      <c r="CO12" s="14">
        <v>20</v>
      </c>
      <c r="CP12" s="14">
        <v>20</v>
      </c>
      <c r="CQ12" s="14">
        <v>20</v>
      </c>
      <c r="CR12" s="14">
        <v>22</v>
      </c>
      <c r="CS12" s="14">
        <v>22</v>
      </c>
      <c r="CT12" s="14">
        <v>22</v>
      </c>
      <c r="CU12" s="14">
        <v>22</v>
      </c>
      <c r="CV12" s="14">
        <v>22</v>
      </c>
      <c r="CW12" s="14">
        <v>20</v>
      </c>
      <c r="CX12" s="14">
        <v>22</v>
      </c>
      <c r="CY12" s="14">
        <v>19</v>
      </c>
      <c r="CZ12" s="14">
        <v>19</v>
      </c>
      <c r="DA12" s="14">
        <v>20</v>
      </c>
      <c r="DB12" s="14">
        <v>15</v>
      </c>
      <c r="DC12" s="14">
        <v>8</v>
      </c>
      <c r="DD12" s="14">
        <v>8</v>
      </c>
      <c r="DE12" s="14">
        <v>8</v>
      </c>
      <c r="DF12" s="14">
        <v>9</v>
      </c>
      <c r="DG12" s="14">
        <v>9</v>
      </c>
      <c r="DH12" s="14">
        <v>9</v>
      </c>
      <c r="DI12" s="14">
        <v>9</v>
      </c>
      <c r="DJ12" s="14">
        <v>9</v>
      </c>
      <c r="DK12" s="14">
        <v>11</v>
      </c>
      <c r="DL12" s="14">
        <v>11</v>
      </c>
      <c r="DM12" s="14">
        <v>14</v>
      </c>
      <c r="DN12" s="14">
        <v>14</v>
      </c>
      <c r="DO12" s="14">
        <v>17</v>
      </c>
      <c r="DP12" s="14">
        <v>17</v>
      </c>
      <c r="DQ12" s="14">
        <v>17</v>
      </c>
      <c r="DR12" s="14">
        <v>18</v>
      </c>
      <c r="DS12" s="14">
        <v>18</v>
      </c>
      <c r="DT12" s="14">
        <v>20</v>
      </c>
      <c r="DU12" s="14">
        <v>20</v>
      </c>
      <c r="DV12" s="14">
        <v>20</v>
      </c>
      <c r="DW12" s="14">
        <v>20</v>
      </c>
      <c r="DX12" s="14">
        <v>20</v>
      </c>
      <c r="DY12" s="14">
        <v>19</v>
      </c>
      <c r="DZ12" s="14">
        <v>19</v>
      </c>
      <c r="EA12" s="14"/>
      <c r="EB12" s="14"/>
      <c r="EC12" s="14"/>
      <c r="ED12" s="14">
        <v>20</v>
      </c>
      <c r="EE12" s="14">
        <v>20</v>
      </c>
      <c r="EF12" s="14">
        <v>20</v>
      </c>
      <c r="EG12" s="14">
        <v>20</v>
      </c>
      <c r="EH12" s="14">
        <v>28</v>
      </c>
      <c r="EI12" s="14">
        <v>28</v>
      </c>
      <c r="EJ12" s="14">
        <v>29</v>
      </c>
      <c r="EK12" s="14">
        <v>29</v>
      </c>
      <c r="EL12" s="14">
        <v>29</v>
      </c>
      <c r="EM12" s="14">
        <v>28</v>
      </c>
      <c r="EN12" s="14">
        <v>28</v>
      </c>
      <c r="EO12" s="14">
        <v>18</v>
      </c>
      <c r="EP12" s="14">
        <v>18</v>
      </c>
      <c r="EQ12" s="14">
        <v>17</v>
      </c>
      <c r="ER12" s="14">
        <v>17</v>
      </c>
      <c r="ES12" s="14">
        <v>17</v>
      </c>
      <c r="ET12" s="14">
        <v>18</v>
      </c>
      <c r="EU12" s="14">
        <v>18</v>
      </c>
      <c r="EV12" s="14">
        <v>13</v>
      </c>
      <c r="EW12" s="14">
        <v>13</v>
      </c>
      <c r="EX12" s="14">
        <v>12</v>
      </c>
      <c r="EY12" s="14">
        <v>11</v>
      </c>
      <c r="EZ12" s="14">
        <v>11</v>
      </c>
      <c r="FA12" s="14">
        <v>11</v>
      </c>
      <c r="FB12" s="14">
        <v>11</v>
      </c>
      <c r="FC12" s="14">
        <v>10</v>
      </c>
      <c r="FD12" s="14">
        <v>10</v>
      </c>
      <c r="FE12" s="14">
        <v>11</v>
      </c>
      <c r="FF12" s="14">
        <v>12</v>
      </c>
      <c r="FG12" s="14">
        <v>13</v>
      </c>
      <c r="FH12" s="14">
        <v>14</v>
      </c>
      <c r="FI12" s="14">
        <v>15</v>
      </c>
      <c r="FJ12" s="14">
        <v>21</v>
      </c>
      <c r="FK12" s="14">
        <v>20</v>
      </c>
      <c r="FL12" s="14">
        <v>20</v>
      </c>
      <c r="FM12" s="14">
        <v>19</v>
      </c>
      <c r="FN12" s="14">
        <v>19</v>
      </c>
      <c r="FO12" s="14">
        <v>19</v>
      </c>
      <c r="FP12" s="14">
        <v>20</v>
      </c>
      <c r="FQ12" s="14">
        <v>20</v>
      </c>
      <c r="FR12" s="14">
        <v>20</v>
      </c>
      <c r="FS12" s="14">
        <v>15</v>
      </c>
      <c r="FT12" s="14">
        <v>15</v>
      </c>
      <c r="FU12" s="14">
        <v>15</v>
      </c>
      <c r="FV12" s="14">
        <v>16</v>
      </c>
      <c r="FW12" s="14">
        <v>16</v>
      </c>
      <c r="FX12" s="14">
        <v>17</v>
      </c>
      <c r="FY12" s="14">
        <v>17</v>
      </c>
      <c r="FZ12" s="14">
        <v>17</v>
      </c>
      <c r="GA12" s="14">
        <v>17</v>
      </c>
      <c r="GB12" s="14">
        <v>17</v>
      </c>
      <c r="GC12" s="14">
        <v>17</v>
      </c>
      <c r="GD12" s="14">
        <v>17</v>
      </c>
      <c r="GE12" s="14">
        <v>18</v>
      </c>
      <c r="GF12" s="14">
        <v>18</v>
      </c>
      <c r="GG12" s="14">
        <v>18</v>
      </c>
      <c r="GH12" s="14">
        <v>18</v>
      </c>
      <c r="GI12" s="14">
        <v>18</v>
      </c>
      <c r="GJ12" s="14">
        <v>18</v>
      </c>
      <c r="GK12" s="14">
        <v>18</v>
      </c>
      <c r="GL12" s="14">
        <v>17</v>
      </c>
      <c r="GM12" s="14">
        <v>17</v>
      </c>
      <c r="GN12" s="14">
        <v>7</v>
      </c>
      <c r="GO12" s="14">
        <v>9</v>
      </c>
      <c r="GP12" s="14">
        <v>11</v>
      </c>
      <c r="GQ12" s="14">
        <v>11</v>
      </c>
      <c r="GR12" s="14">
        <v>11</v>
      </c>
      <c r="GS12" s="14">
        <v>13</v>
      </c>
      <c r="GT12" s="14">
        <v>13</v>
      </c>
      <c r="GU12" s="14">
        <v>13</v>
      </c>
      <c r="GV12" s="14">
        <v>14</v>
      </c>
      <c r="GW12" s="14">
        <v>14</v>
      </c>
      <c r="GX12" s="14">
        <v>14</v>
      </c>
      <c r="GY12" s="14">
        <v>14</v>
      </c>
      <c r="GZ12" s="14">
        <v>22</v>
      </c>
      <c r="HA12" s="14">
        <v>22</v>
      </c>
      <c r="HB12" s="14">
        <v>22</v>
      </c>
      <c r="HC12" s="14">
        <v>25</v>
      </c>
      <c r="HD12" s="14">
        <v>25</v>
      </c>
      <c r="HE12" s="14">
        <v>25</v>
      </c>
      <c r="HF12" s="14">
        <v>25</v>
      </c>
      <c r="HG12" s="14">
        <v>20</v>
      </c>
      <c r="HH12" s="14">
        <v>20</v>
      </c>
      <c r="HI12" s="14">
        <v>20</v>
      </c>
      <c r="HJ12" s="14">
        <v>26</v>
      </c>
      <c r="HK12" s="14">
        <v>26</v>
      </c>
      <c r="HL12" s="14">
        <v>26</v>
      </c>
      <c r="HM12" s="14">
        <v>26</v>
      </c>
      <c r="HN12" s="14">
        <v>26</v>
      </c>
      <c r="HO12" s="14">
        <v>26</v>
      </c>
      <c r="HP12" s="14">
        <v>27</v>
      </c>
      <c r="HQ12" s="14">
        <v>8</v>
      </c>
      <c r="HR12" s="14">
        <v>8</v>
      </c>
      <c r="HS12" s="14">
        <v>14</v>
      </c>
      <c r="HT12" s="14">
        <v>14</v>
      </c>
      <c r="HU12" s="14">
        <v>12</v>
      </c>
      <c r="HV12" s="14">
        <v>12</v>
      </c>
      <c r="HW12" s="14">
        <v>12</v>
      </c>
      <c r="HX12" s="14">
        <v>12</v>
      </c>
      <c r="HY12" s="14">
        <v>12</v>
      </c>
      <c r="HZ12" s="14">
        <v>12</v>
      </c>
      <c r="IA12" s="14">
        <v>12</v>
      </c>
      <c r="IB12" s="14">
        <v>14</v>
      </c>
      <c r="IC12" s="14">
        <v>14</v>
      </c>
      <c r="ID12" s="14">
        <v>14</v>
      </c>
      <c r="IE12" s="14">
        <v>14</v>
      </c>
      <c r="IF12" s="14">
        <v>14</v>
      </c>
      <c r="IG12" s="14">
        <v>14</v>
      </c>
      <c r="IH12" s="14">
        <v>14</v>
      </c>
      <c r="II12" s="14">
        <v>13</v>
      </c>
      <c r="IJ12" s="14">
        <v>13</v>
      </c>
      <c r="IK12" s="14">
        <v>10</v>
      </c>
      <c r="IL12" s="14">
        <v>10</v>
      </c>
      <c r="IM12" s="14">
        <v>11</v>
      </c>
      <c r="IN12" s="14">
        <v>11</v>
      </c>
      <c r="IO12" s="14">
        <v>11</v>
      </c>
      <c r="IP12" s="14">
        <v>10</v>
      </c>
      <c r="IQ12" s="14">
        <v>10</v>
      </c>
      <c r="IR12" s="14">
        <v>10</v>
      </c>
      <c r="IS12" s="14"/>
      <c r="IT12" s="14">
        <v>4</v>
      </c>
      <c r="IU12" s="14">
        <v>7</v>
      </c>
      <c r="IV12" s="14">
        <v>7</v>
      </c>
      <c r="IW12" s="14">
        <v>16</v>
      </c>
      <c r="IX12" s="14">
        <v>16</v>
      </c>
      <c r="IY12" s="14">
        <v>16</v>
      </c>
      <c r="IZ12" s="14">
        <v>16</v>
      </c>
      <c r="JA12" s="14">
        <v>24</v>
      </c>
      <c r="JB12" s="14">
        <v>24</v>
      </c>
      <c r="JC12" s="14">
        <v>24</v>
      </c>
      <c r="JD12" s="14">
        <v>17</v>
      </c>
      <c r="JE12" s="14">
        <v>16</v>
      </c>
      <c r="JF12" s="14">
        <v>16</v>
      </c>
      <c r="JG12" s="14">
        <v>16</v>
      </c>
      <c r="JH12" s="14">
        <v>16</v>
      </c>
      <c r="JI12" s="14">
        <v>16</v>
      </c>
      <c r="JJ12" s="14">
        <v>16</v>
      </c>
      <c r="JK12" s="14">
        <v>16</v>
      </c>
      <c r="JL12" s="14">
        <v>16</v>
      </c>
      <c r="JM12" s="14">
        <v>16</v>
      </c>
      <c r="JN12" s="14">
        <v>16</v>
      </c>
      <c r="JO12" s="14">
        <v>21</v>
      </c>
      <c r="JP12" s="14">
        <v>22</v>
      </c>
      <c r="JQ12" s="14">
        <v>23</v>
      </c>
      <c r="JR12" s="14">
        <v>24</v>
      </c>
      <c r="JS12" s="14">
        <v>25</v>
      </c>
      <c r="JT12" s="14">
        <v>26</v>
      </c>
    </row>
    <row r="13" spans="1:280" s="2" customFormat="1" x14ac:dyDescent="0.35">
      <c r="A13" s="2" t="s">
        <v>41</v>
      </c>
      <c r="B13" s="2">
        <f>([4]Summary!D32-D!B5)/28.8</f>
        <v>23.545138888888889</v>
      </c>
      <c r="C13" s="2">
        <f>([4]Summary!E32-D!C5)/28.8</f>
        <v>23.545138888888889</v>
      </c>
      <c r="D13" s="2">
        <f>([4]Summary!F32-D!D5)/28.8</f>
        <v>24.586805555555557</v>
      </c>
      <c r="E13" s="2">
        <f>([4]Summary!G32-D!E5)/28.8</f>
        <v>25.059722222222224</v>
      </c>
      <c r="F13" s="2">
        <f>([4]Summary!H32-D!F5)/28.8</f>
        <v>25.059722222222224</v>
      </c>
      <c r="I13" s="2">
        <v>16.855555555555558</v>
      </c>
      <c r="J13" s="2">
        <v>16.855555555555558</v>
      </c>
      <c r="K13" s="2">
        <v>16.855555555555558</v>
      </c>
      <c r="L13" s="2">
        <v>16.855555555555558</v>
      </c>
      <c r="M13" s="2">
        <v>16.855555555555558</v>
      </c>
      <c r="N13" s="2">
        <v>16.855555555555558</v>
      </c>
      <c r="O13" s="2">
        <v>16.855555555555558</v>
      </c>
      <c r="P13" s="2">
        <f>([5]Summary!D35-D!P46-D!P5)/28.8</f>
        <v>12.943750000000003</v>
      </c>
      <c r="Q13" s="2">
        <f>([5]Summary!E35-D!Q46-D!Q5)/28.8</f>
        <v>12.943750000000003</v>
      </c>
      <c r="R13" s="2">
        <f>([5]Summary!F35-D!R46-D!R5)/28.8</f>
        <v>13.512500000000003</v>
      </c>
      <c r="S13" s="2">
        <f>([5]Summary!G35-D!S46-D!S5)/28.8</f>
        <v>14.668750000000001</v>
      </c>
      <c r="T13" s="2">
        <f>([5]Summary!H35-D!T46-D!T5)/28.8</f>
        <v>13.512500000000003</v>
      </c>
      <c r="U13" s="2">
        <f>([5]Summary!I35-D!U46-D!U5)/28.8</f>
        <v>15.218750000000002</v>
      </c>
      <c r="V13" s="2">
        <f>([5]Summary!J35-D!V46-D!V5)/28.8</f>
        <v>16.356250000000003</v>
      </c>
      <c r="W13" s="2">
        <f>([6]Summary!D37-D!W46-D!W5)/28.8</f>
        <v>9.0694444444444464</v>
      </c>
      <c r="X13" s="2">
        <f>([6]Summary!E37-D!X46-D!X5)/28.8</f>
        <v>18.552083333333332</v>
      </c>
      <c r="Y13" s="2">
        <f>([6]Summary!F37-D!Y46-D!Y5)/28.8</f>
        <v>18.552083333333332</v>
      </c>
      <c r="Z13" s="2">
        <f>([6]Summary!G37-D!Z46-D!Z5)/28.8</f>
        <v>18.492361111111112</v>
      </c>
      <c r="AA13" s="2">
        <f>([6]Summary!H37-D!AA46-D!AA5)/28.8</f>
        <v>18.492361111111112</v>
      </c>
      <c r="AB13" s="2">
        <f>([6]Summary!I37-D!AB46-D!AB5)/28.8</f>
        <v>18.492361111111112</v>
      </c>
      <c r="AC13" s="2">
        <f>([6]Summary!J37-D!AC46-D!AC5)/28.8</f>
        <v>18.492361111111112</v>
      </c>
      <c r="AD13" s="2">
        <f>([7]Sheet1!D33-D!AD46-D!AD5-AD23)/28.8</f>
        <v>29.547222222222224</v>
      </c>
      <c r="AE13" s="2">
        <f>([7]Sheet1!E33-D!AE46-D!AE5-AE23)/28.8</f>
        <v>29.547222222222224</v>
      </c>
      <c r="BN13" s="2">
        <f t="shared" ref="BN13" si="127">BN12*28.8</f>
        <v>576</v>
      </c>
      <c r="BO13" s="2">
        <f t="shared" ref="BO13" si="128">BO12*28.8</f>
        <v>547.20000000000005</v>
      </c>
      <c r="BP13" s="2">
        <f>BP12*28.8</f>
        <v>547.20000000000005</v>
      </c>
      <c r="BQ13" s="2">
        <f t="shared" ref="BQ13" si="129">BQ12*28.8</f>
        <v>547.20000000000005</v>
      </c>
      <c r="BR13" s="2">
        <f t="shared" ref="BR13" si="130">BR12*28.8</f>
        <v>547.20000000000005</v>
      </c>
      <c r="BS13" s="17">
        <f t="shared" ref="BS13" si="131">BS12*28.8</f>
        <v>720</v>
      </c>
      <c r="BT13" s="17">
        <f t="shared" ref="BT13" si="132">BT12*28.8</f>
        <v>748.80000000000007</v>
      </c>
      <c r="BU13" s="17">
        <f t="shared" ref="BU13" si="133">BU12*28.8</f>
        <v>777.6</v>
      </c>
      <c r="BV13" s="17">
        <f t="shared" ref="BV13:CC13" si="134">BV12*28.8</f>
        <v>806.4</v>
      </c>
      <c r="BW13" s="17">
        <f t="shared" si="134"/>
        <v>604.80000000000007</v>
      </c>
      <c r="BX13" s="17">
        <f t="shared" si="134"/>
        <v>633.6</v>
      </c>
      <c r="BY13" s="17">
        <f t="shared" si="134"/>
        <v>691.2</v>
      </c>
      <c r="BZ13" s="17">
        <f t="shared" si="134"/>
        <v>691.2</v>
      </c>
      <c r="CA13" s="17">
        <f t="shared" si="134"/>
        <v>720</v>
      </c>
      <c r="CB13" s="17">
        <f t="shared" si="134"/>
        <v>576</v>
      </c>
      <c r="CC13" s="17">
        <f t="shared" si="134"/>
        <v>576</v>
      </c>
      <c r="CD13" s="17">
        <f t="shared" ref="CD13:CJ13" si="135">CD12*28.8</f>
        <v>576</v>
      </c>
      <c r="CE13" s="17">
        <f t="shared" si="135"/>
        <v>576</v>
      </c>
      <c r="CF13" s="17">
        <f t="shared" si="135"/>
        <v>777.6</v>
      </c>
      <c r="CG13" s="17">
        <f t="shared" si="135"/>
        <v>777.6</v>
      </c>
      <c r="CH13" s="17">
        <f t="shared" si="135"/>
        <v>777.6</v>
      </c>
      <c r="CI13" s="17">
        <f t="shared" si="135"/>
        <v>777.6</v>
      </c>
      <c r="CJ13" s="17">
        <f t="shared" si="135"/>
        <v>777.6</v>
      </c>
      <c r="CK13" s="17">
        <f t="shared" ref="CK13:CQ13" si="136">CK12*28.8</f>
        <v>777.6</v>
      </c>
      <c r="CL13" s="17">
        <f t="shared" si="136"/>
        <v>777.6</v>
      </c>
      <c r="CM13" s="17">
        <f t="shared" si="136"/>
        <v>777.6</v>
      </c>
      <c r="CN13" s="17">
        <f t="shared" si="136"/>
        <v>777.6</v>
      </c>
      <c r="CO13" s="17">
        <f t="shared" si="136"/>
        <v>576</v>
      </c>
      <c r="CP13" s="17">
        <f t="shared" si="136"/>
        <v>576</v>
      </c>
      <c r="CQ13" s="17">
        <f t="shared" si="136"/>
        <v>576</v>
      </c>
      <c r="CR13" s="17">
        <f t="shared" ref="CR13:CX13" si="137">CR12*28.8</f>
        <v>633.6</v>
      </c>
      <c r="CS13" s="17">
        <f t="shared" si="137"/>
        <v>633.6</v>
      </c>
      <c r="CT13" s="17">
        <f t="shared" si="137"/>
        <v>633.6</v>
      </c>
      <c r="CU13" s="17">
        <f t="shared" si="137"/>
        <v>633.6</v>
      </c>
      <c r="CV13" s="17">
        <f t="shared" si="137"/>
        <v>633.6</v>
      </c>
      <c r="CW13" s="17">
        <f t="shared" si="137"/>
        <v>576</v>
      </c>
      <c r="CX13" s="17">
        <f t="shared" si="137"/>
        <v>633.6</v>
      </c>
      <c r="CY13" s="17">
        <f t="shared" ref="CY13:DE13" si="138">CY12*28.8</f>
        <v>547.20000000000005</v>
      </c>
      <c r="CZ13" s="17">
        <f t="shared" si="138"/>
        <v>547.20000000000005</v>
      </c>
      <c r="DA13" s="17">
        <f t="shared" si="138"/>
        <v>576</v>
      </c>
      <c r="DB13" s="17">
        <f t="shared" si="138"/>
        <v>432</v>
      </c>
      <c r="DC13" s="17">
        <f t="shared" si="138"/>
        <v>230.4</v>
      </c>
      <c r="DD13" s="17">
        <f t="shared" si="138"/>
        <v>230.4</v>
      </c>
      <c r="DE13" s="17">
        <f t="shared" si="138"/>
        <v>230.4</v>
      </c>
      <c r="DF13" s="17">
        <f t="shared" ref="DF13:DM13" si="139">DF12*28.8</f>
        <v>259.2</v>
      </c>
      <c r="DG13" s="17">
        <f t="shared" si="139"/>
        <v>259.2</v>
      </c>
      <c r="DH13" s="17">
        <f t="shared" si="139"/>
        <v>259.2</v>
      </c>
      <c r="DI13" s="17">
        <f t="shared" si="139"/>
        <v>259.2</v>
      </c>
      <c r="DJ13" s="17">
        <f t="shared" si="139"/>
        <v>259.2</v>
      </c>
      <c r="DK13" s="17">
        <f t="shared" si="139"/>
        <v>316.8</v>
      </c>
      <c r="DL13" s="17">
        <f t="shared" si="139"/>
        <v>316.8</v>
      </c>
      <c r="DM13" s="17">
        <f t="shared" si="139"/>
        <v>403.2</v>
      </c>
      <c r="DN13" s="17">
        <f t="shared" ref="DN13:DS13" si="140">DN12*28.8</f>
        <v>403.2</v>
      </c>
      <c r="DO13" s="17">
        <f t="shared" si="140"/>
        <v>489.6</v>
      </c>
      <c r="DP13" s="17">
        <f t="shared" si="140"/>
        <v>489.6</v>
      </c>
      <c r="DQ13" s="17">
        <f t="shared" si="140"/>
        <v>489.6</v>
      </c>
      <c r="DR13" s="17">
        <f t="shared" si="140"/>
        <v>518.4</v>
      </c>
      <c r="DS13" s="17">
        <f t="shared" si="140"/>
        <v>518.4</v>
      </c>
      <c r="DT13" s="17">
        <f t="shared" ref="DT13:DZ13" si="141">DT12*28.8</f>
        <v>576</v>
      </c>
      <c r="DU13" s="17">
        <f t="shared" si="141"/>
        <v>576</v>
      </c>
      <c r="DV13" s="17">
        <f t="shared" si="141"/>
        <v>576</v>
      </c>
      <c r="DW13" s="17">
        <f t="shared" si="141"/>
        <v>576</v>
      </c>
      <c r="DX13" s="17">
        <f t="shared" si="141"/>
        <v>576</v>
      </c>
      <c r="DY13" s="17">
        <f t="shared" si="141"/>
        <v>547.20000000000005</v>
      </c>
      <c r="DZ13" s="17">
        <f t="shared" si="141"/>
        <v>547.20000000000005</v>
      </c>
      <c r="EA13" s="17">
        <f t="shared" ref="EA13:EG13" si="142">EA12*28.8</f>
        <v>0</v>
      </c>
      <c r="EB13" s="17">
        <f t="shared" si="142"/>
        <v>0</v>
      </c>
      <c r="EC13" s="17">
        <f t="shared" si="142"/>
        <v>0</v>
      </c>
      <c r="ED13" s="17">
        <f t="shared" si="142"/>
        <v>576</v>
      </c>
      <c r="EE13" s="17">
        <f t="shared" si="142"/>
        <v>576</v>
      </c>
      <c r="EF13" s="17">
        <f t="shared" si="142"/>
        <v>576</v>
      </c>
      <c r="EG13" s="17">
        <f t="shared" si="142"/>
        <v>576</v>
      </c>
      <c r="EH13" s="17">
        <f t="shared" ref="EH13:EN13" si="143">EH12*28.8</f>
        <v>806.4</v>
      </c>
      <c r="EI13" s="17">
        <f t="shared" si="143"/>
        <v>806.4</v>
      </c>
      <c r="EJ13" s="17">
        <f t="shared" si="143"/>
        <v>835.2</v>
      </c>
      <c r="EK13" s="17">
        <f t="shared" si="143"/>
        <v>835.2</v>
      </c>
      <c r="EL13" s="17">
        <f t="shared" si="143"/>
        <v>835.2</v>
      </c>
      <c r="EM13" s="17">
        <f t="shared" si="143"/>
        <v>806.4</v>
      </c>
      <c r="EN13" s="17">
        <f t="shared" si="143"/>
        <v>806.4</v>
      </c>
      <c r="EO13" s="17">
        <f t="shared" ref="EO13:EU13" si="144">EO12*28.8</f>
        <v>518.4</v>
      </c>
      <c r="EP13" s="17">
        <f t="shared" si="144"/>
        <v>518.4</v>
      </c>
      <c r="EQ13" s="17">
        <f t="shared" si="144"/>
        <v>489.6</v>
      </c>
      <c r="ER13" s="17">
        <f t="shared" si="144"/>
        <v>489.6</v>
      </c>
      <c r="ES13" s="17">
        <f t="shared" si="144"/>
        <v>489.6</v>
      </c>
      <c r="ET13" s="17">
        <f t="shared" si="144"/>
        <v>518.4</v>
      </c>
      <c r="EU13" s="17">
        <f t="shared" si="144"/>
        <v>518.4</v>
      </c>
      <c r="EV13" s="17">
        <f t="shared" ref="EV13:FD13" si="145">EV12*28.8</f>
        <v>374.40000000000003</v>
      </c>
      <c r="EW13" s="17">
        <f t="shared" si="145"/>
        <v>374.40000000000003</v>
      </c>
      <c r="EX13" s="17">
        <f t="shared" si="145"/>
        <v>345.6</v>
      </c>
      <c r="EY13" s="17">
        <f t="shared" si="145"/>
        <v>316.8</v>
      </c>
      <c r="EZ13" s="17">
        <f t="shared" si="145"/>
        <v>316.8</v>
      </c>
      <c r="FA13" s="17">
        <f t="shared" si="145"/>
        <v>316.8</v>
      </c>
      <c r="FB13" s="17">
        <f t="shared" si="145"/>
        <v>316.8</v>
      </c>
      <c r="FC13" s="17">
        <f t="shared" si="145"/>
        <v>288</v>
      </c>
      <c r="FD13" s="17">
        <f t="shared" si="145"/>
        <v>288</v>
      </c>
      <c r="FE13" s="17">
        <f t="shared" ref="FE13:FR13" si="146">FE12*28.8</f>
        <v>316.8</v>
      </c>
      <c r="FF13" s="17">
        <f t="shared" si="146"/>
        <v>345.6</v>
      </c>
      <c r="FG13" s="17">
        <f t="shared" si="146"/>
        <v>374.40000000000003</v>
      </c>
      <c r="FH13" s="17">
        <f t="shared" si="146"/>
        <v>403.2</v>
      </c>
      <c r="FI13" s="17">
        <f t="shared" si="146"/>
        <v>432</v>
      </c>
      <c r="FJ13" s="17">
        <f t="shared" si="146"/>
        <v>604.80000000000007</v>
      </c>
      <c r="FK13" s="17">
        <f t="shared" si="146"/>
        <v>576</v>
      </c>
      <c r="FL13" s="17">
        <f t="shared" si="146"/>
        <v>576</v>
      </c>
      <c r="FM13" s="17">
        <f t="shared" si="146"/>
        <v>547.20000000000005</v>
      </c>
      <c r="FN13" s="17">
        <f t="shared" si="146"/>
        <v>547.20000000000005</v>
      </c>
      <c r="FO13" s="17">
        <f t="shared" si="146"/>
        <v>547.20000000000005</v>
      </c>
      <c r="FP13" s="17">
        <f t="shared" si="146"/>
        <v>576</v>
      </c>
      <c r="FQ13" s="17">
        <f t="shared" si="146"/>
        <v>576</v>
      </c>
      <c r="FR13" s="17">
        <f t="shared" si="146"/>
        <v>576</v>
      </c>
      <c r="FS13" s="17">
        <f t="shared" ref="FS13:FY13" si="147">FS12*28.8</f>
        <v>432</v>
      </c>
      <c r="FT13" s="17">
        <f t="shared" si="147"/>
        <v>432</v>
      </c>
      <c r="FU13" s="17">
        <f t="shared" si="147"/>
        <v>432</v>
      </c>
      <c r="FV13" s="17">
        <f t="shared" si="147"/>
        <v>460.8</v>
      </c>
      <c r="FW13" s="17">
        <f t="shared" si="147"/>
        <v>460.8</v>
      </c>
      <c r="FX13" s="17">
        <f t="shared" si="147"/>
        <v>489.6</v>
      </c>
      <c r="FY13" s="17">
        <f t="shared" si="147"/>
        <v>489.6</v>
      </c>
      <c r="FZ13" s="17">
        <f t="shared" ref="FZ13:GF13" si="148">FZ12*28.8</f>
        <v>489.6</v>
      </c>
      <c r="GA13" s="17">
        <f t="shared" si="148"/>
        <v>489.6</v>
      </c>
      <c r="GB13" s="17">
        <f t="shared" si="148"/>
        <v>489.6</v>
      </c>
      <c r="GC13" s="17">
        <f t="shared" si="148"/>
        <v>489.6</v>
      </c>
      <c r="GD13" s="17">
        <f t="shared" si="148"/>
        <v>489.6</v>
      </c>
      <c r="GE13" s="17">
        <f t="shared" si="148"/>
        <v>518.4</v>
      </c>
      <c r="GF13" s="17">
        <f t="shared" si="148"/>
        <v>518.4</v>
      </c>
      <c r="GG13" s="17">
        <f t="shared" ref="GG13:GK13" si="149">GG12*28.8</f>
        <v>518.4</v>
      </c>
      <c r="GH13" s="17">
        <f t="shared" si="149"/>
        <v>518.4</v>
      </c>
      <c r="GI13" s="17">
        <f t="shared" si="149"/>
        <v>518.4</v>
      </c>
      <c r="GJ13" s="17">
        <f t="shared" si="149"/>
        <v>518.4</v>
      </c>
      <c r="GK13" s="17">
        <f t="shared" si="149"/>
        <v>518.4</v>
      </c>
      <c r="GL13" s="17">
        <f t="shared" ref="GL13:GR13" si="150">GL12*28.8</f>
        <v>489.6</v>
      </c>
      <c r="GM13" s="17">
        <f t="shared" si="150"/>
        <v>489.6</v>
      </c>
      <c r="GN13" s="17">
        <f t="shared" si="150"/>
        <v>201.6</v>
      </c>
      <c r="GO13" s="17">
        <f t="shared" si="150"/>
        <v>259.2</v>
      </c>
      <c r="GP13" s="17">
        <f t="shared" si="150"/>
        <v>316.8</v>
      </c>
      <c r="GQ13" s="17">
        <f t="shared" si="150"/>
        <v>316.8</v>
      </c>
      <c r="GR13" s="17">
        <f t="shared" si="150"/>
        <v>316.8</v>
      </c>
      <c r="GS13" s="17">
        <f t="shared" ref="GS13:GT13" si="151">GS12*28.8</f>
        <v>374.40000000000003</v>
      </c>
      <c r="GT13" s="17">
        <f t="shared" si="151"/>
        <v>374.40000000000003</v>
      </c>
      <c r="GU13" s="17">
        <f t="shared" ref="GU13:GY13" si="152">GU12*28.8</f>
        <v>374.40000000000003</v>
      </c>
      <c r="GV13" s="17">
        <f t="shared" si="152"/>
        <v>403.2</v>
      </c>
      <c r="GW13" s="17">
        <f t="shared" si="152"/>
        <v>403.2</v>
      </c>
      <c r="GX13" s="17">
        <f t="shared" si="152"/>
        <v>403.2</v>
      </c>
      <c r="GY13" s="17">
        <f t="shared" si="152"/>
        <v>403.2</v>
      </c>
      <c r="GZ13" s="17">
        <f t="shared" ref="GZ13:HF13" si="153">GZ12*28.8</f>
        <v>633.6</v>
      </c>
      <c r="HA13" s="17">
        <f t="shared" si="153"/>
        <v>633.6</v>
      </c>
      <c r="HB13" s="17">
        <f t="shared" si="153"/>
        <v>633.6</v>
      </c>
      <c r="HC13" s="17">
        <f t="shared" si="153"/>
        <v>720</v>
      </c>
      <c r="HD13" s="17">
        <f t="shared" si="153"/>
        <v>720</v>
      </c>
      <c r="HE13" s="17">
        <f t="shared" si="153"/>
        <v>720</v>
      </c>
      <c r="HF13" s="17">
        <f t="shared" si="153"/>
        <v>720</v>
      </c>
      <c r="HG13" s="17">
        <f t="shared" ref="HG13:HM13" si="154">HG12*28.8</f>
        <v>576</v>
      </c>
      <c r="HH13" s="17">
        <f t="shared" si="154"/>
        <v>576</v>
      </c>
      <c r="HI13" s="17">
        <f t="shared" si="154"/>
        <v>576</v>
      </c>
      <c r="HJ13" s="17">
        <f t="shared" si="154"/>
        <v>748.80000000000007</v>
      </c>
      <c r="HK13" s="17">
        <f t="shared" si="154"/>
        <v>748.80000000000007</v>
      </c>
      <c r="HL13" s="17">
        <f t="shared" si="154"/>
        <v>748.80000000000007</v>
      </c>
      <c r="HM13" s="17">
        <f t="shared" si="154"/>
        <v>748.80000000000007</v>
      </c>
      <c r="HN13" s="17">
        <f t="shared" ref="HN13:HT13" si="155">HN12*28.8</f>
        <v>748.80000000000007</v>
      </c>
      <c r="HO13" s="17">
        <f t="shared" si="155"/>
        <v>748.80000000000007</v>
      </c>
      <c r="HP13" s="17">
        <f t="shared" si="155"/>
        <v>777.6</v>
      </c>
      <c r="HQ13" s="17">
        <f t="shared" si="155"/>
        <v>230.4</v>
      </c>
      <c r="HR13" s="17">
        <f t="shared" si="155"/>
        <v>230.4</v>
      </c>
      <c r="HS13" s="17">
        <f t="shared" si="155"/>
        <v>403.2</v>
      </c>
      <c r="HT13" s="17">
        <f t="shared" si="155"/>
        <v>403.2</v>
      </c>
      <c r="HU13" s="17">
        <f t="shared" ref="HU13:IC13" si="156">HU12*28.8</f>
        <v>345.6</v>
      </c>
      <c r="HV13" s="17">
        <f t="shared" si="156"/>
        <v>345.6</v>
      </c>
      <c r="HW13" s="17">
        <f t="shared" si="156"/>
        <v>345.6</v>
      </c>
      <c r="HX13" s="17">
        <f t="shared" si="156"/>
        <v>345.6</v>
      </c>
      <c r="HY13" s="17">
        <f t="shared" si="156"/>
        <v>345.6</v>
      </c>
      <c r="HZ13" s="17">
        <f t="shared" si="156"/>
        <v>345.6</v>
      </c>
      <c r="IA13" s="17">
        <f t="shared" si="156"/>
        <v>345.6</v>
      </c>
      <c r="IB13" s="17">
        <f t="shared" si="156"/>
        <v>403.2</v>
      </c>
      <c r="IC13" s="17">
        <f t="shared" si="156"/>
        <v>403.2</v>
      </c>
      <c r="ID13" s="17">
        <f t="shared" ref="ID13:IO13" si="157">ID12*28.8</f>
        <v>403.2</v>
      </c>
      <c r="IE13" s="17">
        <f t="shared" si="157"/>
        <v>403.2</v>
      </c>
      <c r="IF13" s="17">
        <f t="shared" si="157"/>
        <v>403.2</v>
      </c>
      <c r="IG13" s="17">
        <f t="shared" si="157"/>
        <v>403.2</v>
      </c>
      <c r="IH13" s="17">
        <f t="shared" si="157"/>
        <v>403.2</v>
      </c>
      <c r="II13" s="17">
        <f t="shared" si="157"/>
        <v>374.40000000000003</v>
      </c>
      <c r="IJ13" s="17">
        <f t="shared" si="157"/>
        <v>374.40000000000003</v>
      </c>
      <c r="IK13" s="17">
        <f t="shared" si="157"/>
        <v>288</v>
      </c>
      <c r="IL13" s="17">
        <f t="shared" si="157"/>
        <v>288</v>
      </c>
      <c r="IM13" s="17">
        <f t="shared" si="157"/>
        <v>316.8</v>
      </c>
      <c r="IN13" s="17">
        <f t="shared" si="157"/>
        <v>316.8</v>
      </c>
      <c r="IO13" s="17">
        <f t="shared" si="157"/>
        <v>316.8</v>
      </c>
      <c r="IP13" s="17">
        <f t="shared" ref="IP13:IV13" si="158">IP12*28.8</f>
        <v>288</v>
      </c>
      <c r="IQ13" s="17">
        <f t="shared" si="158"/>
        <v>288</v>
      </c>
      <c r="IR13" s="17">
        <f t="shared" si="158"/>
        <v>288</v>
      </c>
      <c r="IS13" s="17">
        <f t="shared" si="158"/>
        <v>0</v>
      </c>
      <c r="IT13" s="17">
        <f t="shared" si="158"/>
        <v>115.2</v>
      </c>
      <c r="IU13" s="17">
        <f t="shared" si="158"/>
        <v>201.6</v>
      </c>
      <c r="IV13" s="17">
        <f t="shared" si="158"/>
        <v>201.6</v>
      </c>
      <c r="IW13" s="17">
        <f t="shared" ref="IW13:JC13" si="159">IW12*28.8</f>
        <v>460.8</v>
      </c>
      <c r="IX13" s="17">
        <f t="shared" si="159"/>
        <v>460.8</v>
      </c>
      <c r="IY13" s="17">
        <f t="shared" si="159"/>
        <v>460.8</v>
      </c>
      <c r="IZ13" s="17">
        <f t="shared" si="159"/>
        <v>460.8</v>
      </c>
      <c r="JA13" s="17">
        <f t="shared" si="159"/>
        <v>691.2</v>
      </c>
      <c r="JB13" s="17">
        <f t="shared" si="159"/>
        <v>691.2</v>
      </c>
      <c r="JC13" s="17">
        <f t="shared" si="159"/>
        <v>691.2</v>
      </c>
      <c r="JD13" s="17">
        <f t="shared" ref="JD13:JJ13" si="160">JD12*28.8</f>
        <v>489.6</v>
      </c>
      <c r="JE13" s="17">
        <f t="shared" si="160"/>
        <v>460.8</v>
      </c>
      <c r="JF13" s="17">
        <f t="shared" si="160"/>
        <v>460.8</v>
      </c>
      <c r="JG13" s="17">
        <f t="shared" si="160"/>
        <v>460.8</v>
      </c>
      <c r="JH13" s="17">
        <f t="shared" si="160"/>
        <v>460.8</v>
      </c>
      <c r="JI13" s="17">
        <f t="shared" si="160"/>
        <v>460.8</v>
      </c>
      <c r="JJ13" s="17">
        <f t="shared" si="160"/>
        <v>460.8</v>
      </c>
      <c r="JK13" s="17">
        <f t="shared" ref="JK13:JT13" si="161">JK12*28.8</f>
        <v>460.8</v>
      </c>
      <c r="JL13" s="17">
        <f t="shared" si="161"/>
        <v>460.8</v>
      </c>
      <c r="JM13" s="17">
        <f t="shared" si="161"/>
        <v>460.8</v>
      </c>
      <c r="JN13" s="17">
        <f t="shared" si="161"/>
        <v>460.8</v>
      </c>
      <c r="JO13" s="17">
        <f t="shared" si="161"/>
        <v>604.80000000000007</v>
      </c>
      <c r="JP13" s="17">
        <f t="shared" si="161"/>
        <v>633.6</v>
      </c>
      <c r="JQ13" s="17">
        <f t="shared" si="161"/>
        <v>662.4</v>
      </c>
      <c r="JR13" s="17">
        <f t="shared" si="161"/>
        <v>691.2</v>
      </c>
      <c r="JS13" s="17">
        <f t="shared" si="161"/>
        <v>720</v>
      </c>
      <c r="JT13" s="17">
        <f t="shared" si="161"/>
        <v>748.80000000000007</v>
      </c>
    </row>
    <row r="14" spans="1:280" s="10" customFormat="1" x14ac:dyDescent="0.35">
      <c r="A14" s="10" t="s">
        <v>47</v>
      </c>
      <c r="P14" s="10" t="e">
        <f>SUM(P5,#REF!)</f>
        <v>#REF!</v>
      </c>
      <c r="Q14" s="10" t="e">
        <f>SUM(Q5,#REF!)</f>
        <v>#REF!</v>
      </c>
      <c r="R14" s="10" t="e">
        <f>SUM(R5,#REF!)</f>
        <v>#REF!</v>
      </c>
      <c r="S14" s="10" t="e">
        <f>SUM(S5,#REF!)</f>
        <v>#REF!</v>
      </c>
      <c r="T14" s="10" t="e">
        <f>SUM(T5,#REF!)</f>
        <v>#REF!</v>
      </c>
      <c r="U14" s="10" t="e">
        <f>SUM(U5,#REF!)</f>
        <v>#REF!</v>
      </c>
      <c r="V14" s="10" t="e">
        <f>SUM(V5,#REF!)</f>
        <v>#REF!</v>
      </c>
      <c r="W14" s="10" t="e">
        <f>SUM(W5,#REF!)</f>
        <v>#REF!</v>
      </c>
      <c r="X14" s="10" t="e">
        <f>SUM(X5,#REF!)</f>
        <v>#REF!</v>
      </c>
      <c r="Y14" s="10" t="e">
        <f>SUM(Y5,#REF!)</f>
        <v>#REF!</v>
      </c>
      <c r="Z14" s="10" t="e">
        <f>SUM(Z5,#REF!)</f>
        <v>#REF!</v>
      </c>
      <c r="AA14" s="10" t="e">
        <f>SUM(AA5,#REF!)</f>
        <v>#REF!</v>
      </c>
      <c r="AB14" s="10" t="e">
        <f>SUM(AB5,#REF!)</f>
        <v>#REF!</v>
      </c>
      <c r="AC14" s="10" t="e">
        <f>SUM(AC5,#REF!)</f>
        <v>#REF!</v>
      </c>
      <c r="AD14" s="10" t="e">
        <f>SUM(AD5,#REF!)</f>
        <v>#REF!</v>
      </c>
      <c r="AE14" s="10" t="e">
        <f>SUM(AE5,#REF!)</f>
        <v>#REF!</v>
      </c>
      <c r="AG14" s="16" t="e">
        <f>SUM(AG5,#REF!)</f>
        <v>#REF!</v>
      </c>
      <c r="AH14" s="16" t="e">
        <f>SUM(AH5,#REF!)</f>
        <v>#REF!</v>
      </c>
      <c r="AI14" s="16" t="e">
        <f>SUM(AI5,#REF!)</f>
        <v>#REF!</v>
      </c>
      <c r="AJ14" s="16" t="e">
        <f>SUM(AJ5,#REF!)</f>
        <v>#REF!</v>
      </c>
      <c r="AK14" s="16" t="e">
        <f>SUM(AK5,#REF!)</f>
        <v>#REF!</v>
      </c>
      <c r="AL14" s="16" t="e">
        <f>SUM(AL5,#REF!)</f>
        <v>#REF!</v>
      </c>
      <c r="AM14" s="16" t="e">
        <f>SUM(AM5,#REF!)</f>
        <v>#REF!</v>
      </c>
      <c r="AN14" s="16" t="e">
        <f>SUM(AN5,#REF!)</f>
        <v>#REF!</v>
      </c>
      <c r="AO14" s="16" t="e">
        <f>SUM(AO5,#REF!)</f>
        <v>#REF!</v>
      </c>
      <c r="AP14" s="16" t="e">
        <f>SUM(AP5,#REF!)</f>
        <v>#REF!</v>
      </c>
      <c r="AQ14" s="16" t="e">
        <f>SUM(AQ5,#REF!)</f>
        <v>#REF!</v>
      </c>
      <c r="AR14" s="16" t="e">
        <f>SUM(AR5,#REF!)</f>
        <v>#REF!</v>
      </c>
      <c r="AS14" s="16" t="e">
        <f>SUM(AS5,#REF!)</f>
        <v>#REF!</v>
      </c>
      <c r="AT14" s="16" t="e">
        <f>SUM(AT5,#REF!)</f>
        <v>#REF!</v>
      </c>
      <c r="AU14" s="16" t="e">
        <f>SUM(AU5,#REF!)</f>
        <v>#REF!</v>
      </c>
      <c r="AV14" s="16" t="e">
        <f>SUM(AV5,#REF!)</f>
        <v>#REF!</v>
      </c>
      <c r="AW14" s="16" t="e">
        <f>SUM(AW5,#REF!)</f>
        <v>#REF!</v>
      </c>
      <c r="AX14" s="16" t="e">
        <f>SUM(AX5,#REF!)</f>
        <v>#REF!</v>
      </c>
      <c r="AY14" s="16" t="e">
        <f>SUM(AY5,#REF!)</f>
        <v>#REF!</v>
      </c>
      <c r="AZ14" s="16" t="e">
        <f>SUM(AZ5,#REF!)</f>
        <v>#REF!</v>
      </c>
      <c r="BA14" s="16" t="e">
        <f>SUM(BA5,#REF!)</f>
        <v>#REF!</v>
      </c>
      <c r="BB14" s="16" t="e">
        <f>SUM(BB5,#REF!)</f>
        <v>#REF!</v>
      </c>
      <c r="BC14" s="16" t="e">
        <f>SUM(BC5,#REF!)</f>
        <v>#REF!</v>
      </c>
      <c r="BD14" s="16" t="e">
        <f>SUM(BD5,#REF!)</f>
        <v>#REF!</v>
      </c>
      <c r="BE14" s="16" t="e">
        <f>SUM(BE5,#REF!)</f>
        <v>#REF!</v>
      </c>
      <c r="BF14" s="16" t="e">
        <f>SUM(BF5,#REF!)</f>
        <v>#REF!</v>
      </c>
      <c r="BG14" s="16" t="e">
        <f>SUM(BG5,#REF!)</f>
        <v>#REF!</v>
      </c>
      <c r="BH14" s="16" t="e">
        <f>SUM(BH5,#REF!)</f>
        <v>#REF!</v>
      </c>
      <c r="BI14" s="16" t="e">
        <f>SUM(BI5,#REF!)-20</f>
        <v>#REF!</v>
      </c>
      <c r="BJ14" s="16" t="e">
        <f>SUM(BJ5,#REF!)-30</f>
        <v>#REF!</v>
      </c>
      <c r="BK14" s="16" t="e">
        <f>SUM(BK5,#REF!)</f>
        <v>#REF!</v>
      </c>
      <c r="BL14" s="16" t="e">
        <f>SUM(BL5,#REF!)</f>
        <v>#REF!</v>
      </c>
      <c r="BM14" s="16" t="e">
        <f>SUM(BM5,#REF!)</f>
        <v>#REF!</v>
      </c>
      <c r="BN14" s="16">
        <f>SUM(BN5,BN7,BN9,BN11,BN13)</f>
        <v>900.18000000000006</v>
      </c>
      <c r="BO14" s="16">
        <f t="shared" ref="BO14:BV14" si="162">SUM(BO5,BO7,BO9,BO11,BO13)</f>
        <v>904.1400000000001</v>
      </c>
      <c r="BP14" s="16">
        <f t="shared" si="162"/>
        <v>1002.4200000000001</v>
      </c>
      <c r="BQ14" s="16">
        <f t="shared" si="162"/>
        <v>1002.4200000000001</v>
      </c>
      <c r="BR14" s="16">
        <f t="shared" si="162"/>
        <v>1002.4200000000001</v>
      </c>
      <c r="BS14" s="16">
        <f t="shared" si="162"/>
        <v>1056.5999999999999</v>
      </c>
      <c r="BT14" s="16">
        <f t="shared" si="162"/>
        <v>1052.6400000000001</v>
      </c>
      <c r="BU14" s="16">
        <f t="shared" si="162"/>
        <v>1036.26</v>
      </c>
      <c r="BV14" s="16">
        <f t="shared" si="162"/>
        <v>1065.06</v>
      </c>
      <c r="BW14" s="16">
        <f t="shared" ref="BW14:CC14" si="163">SUM(BW5,BW7,BW9,BW11,BW13)</f>
        <v>1044.72</v>
      </c>
      <c r="BX14" s="16">
        <f t="shared" si="163"/>
        <v>1044.72</v>
      </c>
      <c r="BY14" s="16">
        <f t="shared" si="163"/>
        <v>979.2</v>
      </c>
      <c r="BZ14" s="16">
        <f t="shared" si="163"/>
        <v>979.2</v>
      </c>
      <c r="CA14" s="16">
        <f t="shared" si="163"/>
        <v>1008</v>
      </c>
      <c r="CB14" s="16">
        <f t="shared" si="163"/>
        <v>826.74</v>
      </c>
      <c r="CC14" s="16">
        <f t="shared" si="163"/>
        <v>826.74</v>
      </c>
      <c r="CD14" s="16">
        <f t="shared" ref="CD14:CJ14" si="164">SUM(CD5,CD7,CD9,CD11,CD13)</f>
        <v>843.12</v>
      </c>
      <c r="CE14" s="16">
        <f t="shared" si="164"/>
        <v>843.12</v>
      </c>
      <c r="CF14" s="16">
        <f t="shared" si="164"/>
        <v>843.12</v>
      </c>
      <c r="CG14" s="16">
        <f t="shared" si="164"/>
        <v>843.12</v>
      </c>
      <c r="CH14" s="16">
        <f t="shared" si="164"/>
        <v>843.12</v>
      </c>
      <c r="CI14" s="16">
        <f t="shared" si="164"/>
        <v>843.12</v>
      </c>
      <c r="CJ14" s="16">
        <f t="shared" si="164"/>
        <v>843.12</v>
      </c>
      <c r="CK14" s="16">
        <f t="shared" ref="CK14:CQ14" si="165">SUM(CK5,CK7,CK9,CK11,CK13)</f>
        <v>843.12</v>
      </c>
      <c r="CL14" s="16">
        <f t="shared" si="165"/>
        <v>843.12</v>
      </c>
      <c r="CM14" s="16">
        <f t="shared" si="165"/>
        <v>843.12</v>
      </c>
      <c r="CN14" s="16">
        <f t="shared" si="165"/>
        <v>843.12</v>
      </c>
      <c r="CO14" s="16">
        <f t="shared" si="165"/>
        <v>641.52</v>
      </c>
      <c r="CP14" s="16">
        <f t="shared" si="165"/>
        <v>641.52</v>
      </c>
      <c r="CQ14" s="16">
        <f t="shared" si="165"/>
        <v>641.52</v>
      </c>
      <c r="CR14" s="16">
        <f t="shared" ref="CR14:CX14" si="166">SUM(CR5,CR7,CR9,CR11,CR13)</f>
        <v>699.12</v>
      </c>
      <c r="CS14" s="16">
        <f t="shared" si="166"/>
        <v>699.12</v>
      </c>
      <c r="CT14" s="16">
        <f t="shared" si="166"/>
        <v>699.12</v>
      </c>
      <c r="CU14" s="16">
        <f t="shared" si="166"/>
        <v>699.12</v>
      </c>
      <c r="CV14" s="16">
        <f t="shared" si="166"/>
        <v>699.12</v>
      </c>
      <c r="CW14" s="16">
        <f t="shared" si="166"/>
        <v>641.52</v>
      </c>
      <c r="CX14" s="16">
        <f t="shared" si="166"/>
        <v>699.12</v>
      </c>
      <c r="CY14" s="16">
        <f t="shared" ref="CY14:DE14" si="167">SUM(CY5,CY7,CY9,CY11,CY13)</f>
        <v>785.5200000000001</v>
      </c>
      <c r="CZ14" s="16">
        <f t="shared" si="167"/>
        <v>785.5200000000001</v>
      </c>
      <c r="DA14" s="16">
        <f t="shared" si="167"/>
        <v>785.52</v>
      </c>
      <c r="DB14" s="16">
        <f t="shared" si="167"/>
        <v>843.12</v>
      </c>
      <c r="DC14" s="16">
        <f t="shared" si="167"/>
        <v>612.72</v>
      </c>
      <c r="DD14" s="16">
        <f t="shared" si="167"/>
        <v>612.72</v>
      </c>
      <c r="DE14" s="16">
        <f t="shared" si="167"/>
        <v>612.72</v>
      </c>
      <c r="DF14" s="16">
        <f t="shared" ref="DF14:DM14" si="168">SUM(DF5,DF7,DF9,DF11,DF13)</f>
        <v>596.34</v>
      </c>
      <c r="DG14" s="16">
        <f t="shared" si="168"/>
        <v>596.34</v>
      </c>
      <c r="DH14" s="16">
        <f t="shared" si="168"/>
        <v>596.34</v>
      </c>
      <c r="DI14" s="16">
        <f t="shared" si="168"/>
        <v>596.34</v>
      </c>
      <c r="DJ14" s="16">
        <f t="shared" si="168"/>
        <v>596.34</v>
      </c>
      <c r="DK14" s="16">
        <f t="shared" si="168"/>
        <v>653.94000000000005</v>
      </c>
      <c r="DL14" s="16">
        <f t="shared" si="168"/>
        <v>653.94000000000005</v>
      </c>
      <c r="DM14" s="16">
        <f t="shared" si="168"/>
        <v>662.40000000000009</v>
      </c>
      <c r="DN14" s="16">
        <f t="shared" ref="DN14:DS14" si="169">SUM(DN5,DN7,DN9,DN11,DN13)</f>
        <v>662.40000000000009</v>
      </c>
      <c r="DO14" s="16">
        <f t="shared" si="169"/>
        <v>662.40000000000009</v>
      </c>
      <c r="DP14" s="16">
        <f t="shared" si="169"/>
        <v>662.40000000000009</v>
      </c>
      <c r="DQ14" s="16">
        <f t="shared" si="169"/>
        <v>662.40000000000009</v>
      </c>
      <c r="DR14" s="16">
        <f t="shared" si="169"/>
        <v>691.2</v>
      </c>
      <c r="DS14" s="16">
        <f t="shared" si="169"/>
        <v>691.2</v>
      </c>
      <c r="DT14" s="16">
        <f t="shared" ref="DT14:DZ14" si="170">SUM(DT5,DT7,DT9,DT11,DT13)</f>
        <v>839.16000000000008</v>
      </c>
      <c r="DU14" s="16">
        <f t="shared" si="170"/>
        <v>839.16000000000008</v>
      </c>
      <c r="DV14" s="16">
        <f t="shared" si="170"/>
        <v>839.16000000000008</v>
      </c>
      <c r="DW14" s="16">
        <f t="shared" si="170"/>
        <v>839.16000000000008</v>
      </c>
      <c r="DX14" s="16">
        <f t="shared" si="170"/>
        <v>839.16000000000008</v>
      </c>
      <c r="DY14" s="16">
        <f t="shared" si="170"/>
        <v>843.12000000000012</v>
      </c>
      <c r="DZ14" s="16">
        <f t="shared" si="170"/>
        <v>843.12000000000012</v>
      </c>
      <c r="EA14" s="16">
        <f t="shared" ref="EA14:EG14" si="171">SUM(EA5,EA7,EA9,EA11,EA13)</f>
        <v>0</v>
      </c>
      <c r="EB14" s="16">
        <f t="shared" si="171"/>
        <v>0</v>
      </c>
      <c r="EC14" s="16">
        <f t="shared" si="171"/>
        <v>0</v>
      </c>
      <c r="ED14" s="16">
        <f t="shared" si="171"/>
        <v>839.16000000000008</v>
      </c>
      <c r="EE14" s="16">
        <f t="shared" si="171"/>
        <v>839.16000000000008</v>
      </c>
      <c r="EF14" s="16">
        <f t="shared" si="171"/>
        <v>839.16000000000008</v>
      </c>
      <c r="EG14" s="16">
        <f t="shared" si="171"/>
        <v>839.16000000000008</v>
      </c>
      <c r="EH14" s="16">
        <f t="shared" ref="EH14:EN14" si="172">SUM(EH5,EH7,EH9,EH11,EH13)</f>
        <v>835.19999999999993</v>
      </c>
      <c r="EI14" s="16">
        <f t="shared" si="172"/>
        <v>835.19999999999993</v>
      </c>
      <c r="EJ14" s="16">
        <f t="shared" si="172"/>
        <v>835.2</v>
      </c>
      <c r="EK14" s="16">
        <f t="shared" si="172"/>
        <v>835.2</v>
      </c>
      <c r="EL14" s="16">
        <f t="shared" si="172"/>
        <v>835.2</v>
      </c>
      <c r="EM14" s="16">
        <f t="shared" si="172"/>
        <v>806.4</v>
      </c>
      <c r="EN14" s="16">
        <f t="shared" si="172"/>
        <v>806.4</v>
      </c>
      <c r="EO14" s="16">
        <f t="shared" ref="EO14:EU14" si="173">SUM(EO5,EO7,EO9,EO11,EO13)</f>
        <v>777.59999999999991</v>
      </c>
      <c r="EP14" s="16">
        <f t="shared" si="173"/>
        <v>777.59999999999991</v>
      </c>
      <c r="EQ14" s="16">
        <f t="shared" si="173"/>
        <v>777.6</v>
      </c>
      <c r="ER14" s="16">
        <f t="shared" si="173"/>
        <v>777.6</v>
      </c>
      <c r="ES14" s="16">
        <f t="shared" si="173"/>
        <v>777.6</v>
      </c>
      <c r="ET14" s="16">
        <f t="shared" si="173"/>
        <v>777.59999999999991</v>
      </c>
      <c r="EU14" s="16">
        <f t="shared" si="173"/>
        <v>777.59999999999991</v>
      </c>
      <c r="EV14" s="16">
        <f t="shared" ref="EV14:FD14" si="174">SUM(EV5,EV7,EV9,EV11,EV13)</f>
        <v>810.36</v>
      </c>
      <c r="EW14" s="16">
        <f t="shared" si="174"/>
        <v>810.36</v>
      </c>
      <c r="EX14" s="16">
        <f t="shared" si="174"/>
        <v>781.56</v>
      </c>
      <c r="EY14" s="16">
        <f t="shared" si="174"/>
        <v>752.76</v>
      </c>
      <c r="EZ14" s="16">
        <f t="shared" si="174"/>
        <v>752.76</v>
      </c>
      <c r="FA14" s="16">
        <f t="shared" si="174"/>
        <v>752.76</v>
      </c>
      <c r="FB14" s="16">
        <f t="shared" si="174"/>
        <v>752.76</v>
      </c>
      <c r="FC14" s="16">
        <f t="shared" si="174"/>
        <v>723.96</v>
      </c>
      <c r="FD14" s="16">
        <f t="shared" si="174"/>
        <v>723.96</v>
      </c>
      <c r="FE14" s="16">
        <f t="shared" ref="FE14:FR14" si="175">SUM(FE5,FE7,FE9,FE11,FE13)</f>
        <v>781.56</v>
      </c>
      <c r="FF14" s="16">
        <f t="shared" si="175"/>
        <v>839.16000000000008</v>
      </c>
      <c r="FG14" s="16">
        <f t="shared" si="175"/>
        <v>896.76</v>
      </c>
      <c r="FH14" s="16">
        <f t="shared" si="175"/>
        <v>954.3599999999999</v>
      </c>
      <c r="FI14" s="16">
        <f t="shared" si="175"/>
        <v>1011.96</v>
      </c>
      <c r="FJ14" s="16">
        <f t="shared" si="175"/>
        <v>814.32</v>
      </c>
      <c r="FK14" s="16">
        <f t="shared" si="175"/>
        <v>814.31999999999994</v>
      </c>
      <c r="FL14" s="16">
        <f t="shared" si="175"/>
        <v>814.31999999999994</v>
      </c>
      <c r="FM14" s="16">
        <f t="shared" si="175"/>
        <v>814.32</v>
      </c>
      <c r="FN14" s="16">
        <f t="shared" si="175"/>
        <v>814.32</v>
      </c>
      <c r="FO14" s="16">
        <f t="shared" si="175"/>
        <v>814.32</v>
      </c>
      <c r="FP14" s="16">
        <f t="shared" si="175"/>
        <v>814.31999999999994</v>
      </c>
      <c r="FQ14" s="16">
        <f t="shared" si="175"/>
        <v>769.14</v>
      </c>
      <c r="FR14" s="16">
        <f t="shared" si="175"/>
        <v>769.14</v>
      </c>
      <c r="FS14" s="16">
        <f t="shared" ref="FS14:FY14" si="176">SUM(FS5,FS7,FS9,FS11,FS13)</f>
        <v>625.14</v>
      </c>
      <c r="FT14" s="16">
        <f t="shared" si="176"/>
        <v>625.14</v>
      </c>
      <c r="FU14" s="16">
        <f t="shared" si="176"/>
        <v>625.14</v>
      </c>
      <c r="FV14" s="16">
        <f t="shared" si="176"/>
        <v>653.94000000000005</v>
      </c>
      <c r="FW14" s="16">
        <f t="shared" si="176"/>
        <v>653.94000000000005</v>
      </c>
      <c r="FX14" s="16">
        <f t="shared" si="176"/>
        <v>625.1400000000001</v>
      </c>
      <c r="FY14" s="16">
        <f t="shared" si="176"/>
        <v>625.1400000000001</v>
      </c>
      <c r="FZ14" s="16">
        <f t="shared" ref="FZ14:GF14" si="177">SUM(FZ5,FZ7,FZ9,FZ11,FZ13)</f>
        <v>625.1400000000001</v>
      </c>
      <c r="GA14" s="16">
        <f t="shared" si="177"/>
        <v>625.1400000000001</v>
      </c>
      <c r="GB14" s="16">
        <f t="shared" si="177"/>
        <v>625.1400000000001</v>
      </c>
      <c r="GC14" s="16">
        <f t="shared" si="177"/>
        <v>625.1400000000001</v>
      </c>
      <c r="GD14" s="16">
        <f t="shared" si="177"/>
        <v>625.1400000000001</v>
      </c>
      <c r="GE14" s="16">
        <f t="shared" si="177"/>
        <v>637.55999999999995</v>
      </c>
      <c r="GF14" s="16">
        <f t="shared" si="177"/>
        <v>637.55999999999995</v>
      </c>
      <c r="GG14" s="16">
        <f t="shared" ref="GG14:GK14" si="178">SUM(GG5,GG7,GG9,GG11,GG13)</f>
        <v>637.55999999999995</v>
      </c>
      <c r="GH14" s="16">
        <f t="shared" si="178"/>
        <v>637.55999999999995</v>
      </c>
      <c r="GI14" s="16">
        <f t="shared" si="178"/>
        <v>637.55999999999995</v>
      </c>
      <c r="GJ14" s="16">
        <f t="shared" si="178"/>
        <v>637.55999999999995</v>
      </c>
      <c r="GK14" s="16">
        <f t="shared" si="178"/>
        <v>637.55999999999995</v>
      </c>
      <c r="GL14" s="16">
        <f t="shared" ref="GL14:GR14" si="179">SUM(GL5,GL7,GL9,GL11,GL13)</f>
        <v>604.80000000000007</v>
      </c>
      <c r="GM14" s="16">
        <f t="shared" si="179"/>
        <v>604.80000000000007</v>
      </c>
      <c r="GN14" s="16">
        <f t="shared" si="179"/>
        <v>365.94</v>
      </c>
      <c r="GO14" s="16">
        <f t="shared" si="179"/>
        <v>394.74</v>
      </c>
      <c r="GP14" s="16">
        <f t="shared" si="179"/>
        <v>394.74</v>
      </c>
      <c r="GQ14" s="16">
        <f t="shared" si="179"/>
        <v>365.94</v>
      </c>
      <c r="GR14" s="16">
        <f t="shared" si="179"/>
        <v>365.94</v>
      </c>
      <c r="GS14" s="16">
        <f t="shared" ref="GS14:GT14" si="180">SUM(GS5,GS7,GS9,GS11,GS13)</f>
        <v>464.76000000000005</v>
      </c>
      <c r="GT14" s="16">
        <f t="shared" si="180"/>
        <v>464.76000000000005</v>
      </c>
      <c r="GU14" s="16">
        <f t="shared" ref="GU14:GY14" si="181">SUM(GU5,GU7,GU9,GU11,GU13)</f>
        <v>464.76000000000005</v>
      </c>
      <c r="GV14" s="16">
        <f t="shared" si="181"/>
        <v>493.56</v>
      </c>
      <c r="GW14" s="16">
        <f t="shared" si="181"/>
        <v>493.56</v>
      </c>
      <c r="GX14" s="16">
        <f t="shared" si="181"/>
        <v>509.94</v>
      </c>
      <c r="GY14" s="16">
        <f t="shared" si="181"/>
        <v>509.94</v>
      </c>
      <c r="GZ14" s="16">
        <f t="shared" ref="GZ14:HF14" si="182">SUM(GZ5,GZ7,GZ9,GZ11,GZ13)</f>
        <v>756.72</v>
      </c>
      <c r="HA14" s="16">
        <f t="shared" si="182"/>
        <v>756.72</v>
      </c>
      <c r="HB14" s="16">
        <f t="shared" si="182"/>
        <v>756.72</v>
      </c>
      <c r="HC14" s="16">
        <f t="shared" si="182"/>
        <v>843.12</v>
      </c>
      <c r="HD14" s="16">
        <f t="shared" si="182"/>
        <v>843.12</v>
      </c>
      <c r="HE14" s="16">
        <f t="shared" si="182"/>
        <v>826.74</v>
      </c>
      <c r="HF14" s="16">
        <f t="shared" si="182"/>
        <v>797.94</v>
      </c>
      <c r="HG14" s="16">
        <f t="shared" ref="HG14:HM14" si="183">SUM(HG5,HG7,HG9,HG11,HG13)</f>
        <v>670.31999999999994</v>
      </c>
      <c r="HH14" s="16">
        <f t="shared" si="183"/>
        <v>699.12</v>
      </c>
      <c r="HI14" s="16">
        <f t="shared" si="183"/>
        <v>699.12</v>
      </c>
      <c r="HJ14" s="16">
        <f t="shared" si="183"/>
        <v>871.92000000000007</v>
      </c>
      <c r="HK14" s="16">
        <f t="shared" si="183"/>
        <v>871.92000000000007</v>
      </c>
      <c r="HL14" s="16">
        <f t="shared" si="183"/>
        <v>871.92000000000007</v>
      </c>
      <c r="HM14" s="16">
        <f t="shared" si="183"/>
        <v>871.92000000000007</v>
      </c>
      <c r="HN14" s="16">
        <f t="shared" ref="HN14:HT14" si="184">SUM(HN5,HN7,HN9,HN11,HN13)</f>
        <v>814.32</v>
      </c>
      <c r="HO14" s="16">
        <f t="shared" si="184"/>
        <v>814.32</v>
      </c>
      <c r="HP14" s="16">
        <f t="shared" si="184"/>
        <v>843.12</v>
      </c>
      <c r="HQ14" s="16">
        <f t="shared" si="184"/>
        <v>526.32000000000005</v>
      </c>
      <c r="HR14" s="16">
        <f t="shared" si="184"/>
        <v>526.32000000000005</v>
      </c>
      <c r="HS14" s="16">
        <f t="shared" si="184"/>
        <v>509.94</v>
      </c>
      <c r="HT14" s="16">
        <f t="shared" si="184"/>
        <v>509.94</v>
      </c>
      <c r="HU14" s="16">
        <f t="shared" ref="HU14:IC14" si="185">SUM(HU5,HU7,HU9,HU11,HU13)</f>
        <v>583.92000000000007</v>
      </c>
      <c r="HV14" s="16">
        <f t="shared" si="185"/>
        <v>583.92000000000007</v>
      </c>
      <c r="HW14" s="16">
        <f t="shared" si="185"/>
        <v>612.72</v>
      </c>
      <c r="HX14" s="16">
        <f t="shared" si="185"/>
        <v>612.72</v>
      </c>
      <c r="HY14" s="16">
        <f t="shared" si="185"/>
        <v>612.72</v>
      </c>
      <c r="HZ14" s="16">
        <f t="shared" si="185"/>
        <v>612.72</v>
      </c>
      <c r="IA14" s="16">
        <f t="shared" si="185"/>
        <v>612.72</v>
      </c>
      <c r="IB14" s="16">
        <f t="shared" si="185"/>
        <v>555.12</v>
      </c>
      <c r="IC14" s="16">
        <f t="shared" si="185"/>
        <v>555.12</v>
      </c>
      <c r="ID14" s="16">
        <f t="shared" ref="ID14:IO14" si="186">SUM(ID5,ID7,ID9,ID11,ID13)</f>
        <v>555.12</v>
      </c>
      <c r="IE14" s="16">
        <f t="shared" si="186"/>
        <v>555.12</v>
      </c>
      <c r="IF14" s="16">
        <f t="shared" si="186"/>
        <v>555.12</v>
      </c>
      <c r="IG14" s="16">
        <f t="shared" si="186"/>
        <v>555.12</v>
      </c>
      <c r="IH14" s="16">
        <f t="shared" si="186"/>
        <v>555.12</v>
      </c>
      <c r="II14" s="16">
        <f t="shared" si="186"/>
        <v>542.70000000000005</v>
      </c>
      <c r="IJ14" s="16">
        <f t="shared" si="186"/>
        <v>542.70000000000005</v>
      </c>
      <c r="IK14" s="16">
        <f t="shared" si="186"/>
        <v>715.5</v>
      </c>
      <c r="IL14" s="16">
        <f t="shared" si="186"/>
        <v>715.5</v>
      </c>
      <c r="IM14" s="16">
        <f t="shared" si="186"/>
        <v>715.5</v>
      </c>
      <c r="IN14" s="16">
        <f t="shared" si="186"/>
        <v>715.5</v>
      </c>
      <c r="IO14" s="16">
        <f t="shared" si="186"/>
        <v>715.5</v>
      </c>
      <c r="IP14" s="16">
        <f t="shared" ref="IP14:IV14" si="187">SUM(IP5,IP7,IP9,IP11,IP13)</f>
        <v>744.3</v>
      </c>
      <c r="IQ14" s="16">
        <f t="shared" si="187"/>
        <v>744.3</v>
      </c>
      <c r="IR14" s="16">
        <f t="shared" si="187"/>
        <v>744.3</v>
      </c>
      <c r="IS14" s="16">
        <f t="shared" si="187"/>
        <v>571.5</v>
      </c>
      <c r="IT14" s="16">
        <f t="shared" si="187"/>
        <v>542.70000000000005</v>
      </c>
      <c r="IU14" s="16">
        <f t="shared" si="187"/>
        <v>542.70000000000005</v>
      </c>
      <c r="IV14" s="16">
        <f t="shared" si="187"/>
        <v>744.30000000000007</v>
      </c>
      <c r="IW14" s="16">
        <f t="shared" ref="IW14:JC14" si="188">SUM(IW5,IW7,IW9,IW11,IW13)</f>
        <v>801.90000000000009</v>
      </c>
      <c r="IX14" s="16">
        <f t="shared" si="188"/>
        <v>801.90000000000009</v>
      </c>
      <c r="IY14" s="16">
        <f t="shared" si="188"/>
        <v>801.90000000000009</v>
      </c>
      <c r="IZ14" s="16">
        <f t="shared" si="188"/>
        <v>801.90000000000009</v>
      </c>
      <c r="JA14" s="16">
        <f t="shared" si="188"/>
        <v>773.1</v>
      </c>
      <c r="JB14" s="16">
        <f t="shared" si="188"/>
        <v>773.1</v>
      </c>
      <c r="JC14" s="16">
        <f t="shared" si="188"/>
        <v>773.1</v>
      </c>
      <c r="JD14" s="16">
        <f t="shared" ref="JD14:JJ14" si="189">SUM(JD5,JD7,JD9,JD11,JD13)</f>
        <v>571.5</v>
      </c>
      <c r="JE14" s="16">
        <f t="shared" si="189"/>
        <v>542.70000000000005</v>
      </c>
      <c r="JF14" s="16">
        <f t="shared" si="189"/>
        <v>542.70000000000005</v>
      </c>
      <c r="JG14" s="16">
        <f t="shared" si="189"/>
        <v>460.8</v>
      </c>
      <c r="JH14" s="16">
        <f t="shared" si="189"/>
        <v>460.8</v>
      </c>
      <c r="JI14" s="16">
        <f t="shared" si="189"/>
        <v>460.8</v>
      </c>
      <c r="JJ14" s="16">
        <f t="shared" si="189"/>
        <v>460.8</v>
      </c>
      <c r="JK14" s="16">
        <f t="shared" ref="JK14:JT14" si="190">SUM(JK5,JK7,JK9,JK11,JK13)</f>
        <v>460.8</v>
      </c>
      <c r="JL14" s="16">
        <f t="shared" si="190"/>
        <v>460.8</v>
      </c>
      <c r="JM14" s="16">
        <f t="shared" si="190"/>
        <v>460.8</v>
      </c>
      <c r="JN14" s="16">
        <f t="shared" si="190"/>
        <v>460.8</v>
      </c>
      <c r="JO14" s="16">
        <f t="shared" si="190"/>
        <v>604.80000000000007</v>
      </c>
      <c r="JP14" s="16">
        <f t="shared" si="190"/>
        <v>633.6</v>
      </c>
      <c r="JQ14" s="16">
        <f t="shared" si="190"/>
        <v>662.4</v>
      </c>
      <c r="JR14" s="16">
        <f t="shared" si="190"/>
        <v>691.2</v>
      </c>
      <c r="JS14" s="16">
        <f t="shared" si="190"/>
        <v>720</v>
      </c>
      <c r="JT14" s="16">
        <f t="shared" si="190"/>
        <v>748.80000000000007</v>
      </c>
    </row>
    <row r="15" spans="1:280" s="1" customFormat="1" x14ac:dyDescent="0.35">
      <c r="A15" s="1" t="s">
        <v>52</v>
      </c>
      <c r="AD15" s="1">
        <v>1</v>
      </c>
      <c r="AE15" s="1">
        <v>1</v>
      </c>
      <c r="AF15" s="1" t="s">
        <v>97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2</v>
      </c>
      <c r="AM15" s="1">
        <v>2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2</v>
      </c>
      <c r="BI15" s="1">
        <v>1</v>
      </c>
      <c r="BJ15" s="1">
        <v>1</v>
      </c>
      <c r="BK15" s="1">
        <v>1</v>
      </c>
      <c r="BL15" s="1">
        <v>1</v>
      </c>
      <c r="BO15" s="1">
        <v>1</v>
      </c>
      <c r="BP15" s="1">
        <v>1</v>
      </c>
      <c r="BQ15" s="1">
        <v>1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>
        <v>1</v>
      </c>
      <c r="CC15" s="14">
        <v>1</v>
      </c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>
        <v>1</v>
      </c>
      <c r="CP15" s="14">
        <v>1</v>
      </c>
      <c r="CQ15" s="14">
        <v>1</v>
      </c>
      <c r="CR15" s="14"/>
      <c r="CS15" s="14"/>
      <c r="CT15" s="14"/>
      <c r="CU15" s="14"/>
      <c r="CV15" s="14"/>
      <c r="CW15" s="14"/>
      <c r="CX15" s="14"/>
      <c r="CY15" s="14">
        <v>2</v>
      </c>
      <c r="CZ15" s="14">
        <v>2</v>
      </c>
      <c r="DA15" s="14">
        <v>1</v>
      </c>
      <c r="DB15" s="14">
        <v>1</v>
      </c>
      <c r="DC15" s="14">
        <v>1</v>
      </c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>
        <v>1</v>
      </c>
      <c r="DU15" s="14">
        <v>1</v>
      </c>
      <c r="DV15" s="14">
        <v>1</v>
      </c>
      <c r="DW15" s="14">
        <v>1</v>
      </c>
      <c r="DX15" s="14">
        <v>1</v>
      </c>
      <c r="DY15" s="14">
        <v>1</v>
      </c>
      <c r="DZ15" s="14">
        <v>1</v>
      </c>
      <c r="EA15" s="14"/>
      <c r="EB15" s="14"/>
      <c r="EC15" s="14"/>
      <c r="ED15" s="14">
        <v>1</v>
      </c>
      <c r="EE15" s="14">
        <v>1</v>
      </c>
      <c r="EF15" s="14">
        <v>1</v>
      </c>
      <c r="EG15" s="14">
        <v>1</v>
      </c>
      <c r="EH15" s="14">
        <v>1</v>
      </c>
      <c r="EI15" s="14">
        <v>1</v>
      </c>
      <c r="EJ15" s="14"/>
      <c r="EK15" s="14"/>
      <c r="EL15" s="14"/>
      <c r="EM15" s="14"/>
      <c r="EN15" s="14"/>
      <c r="EO15" s="14">
        <v>1</v>
      </c>
      <c r="EP15" s="14">
        <v>1</v>
      </c>
      <c r="EQ15" s="14">
        <v>1</v>
      </c>
      <c r="ER15" s="14">
        <v>1</v>
      </c>
      <c r="ES15" s="14">
        <v>1</v>
      </c>
      <c r="ET15" s="14">
        <v>2</v>
      </c>
      <c r="EU15" s="14">
        <v>2</v>
      </c>
      <c r="EV15" s="14"/>
      <c r="EW15" s="14"/>
      <c r="EX15" s="14">
        <v>1</v>
      </c>
      <c r="EY15" s="14">
        <v>1</v>
      </c>
      <c r="EZ15" s="14">
        <v>1</v>
      </c>
      <c r="FA15" s="14">
        <v>1</v>
      </c>
      <c r="FB15" s="14">
        <v>1</v>
      </c>
      <c r="FC15" s="14"/>
      <c r="FD15" s="14"/>
      <c r="FE15" s="14"/>
      <c r="FF15" s="14"/>
      <c r="FG15" s="14"/>
      <c r="FH15" s="14"/>
      <c r="FI15" s="14"/>
      <c r="FJ15" s="14">
        <v>2</v>
      </c>
      <c r="FK15" s="14">
        <v>2</v>
      </c>
      <c r="FL15" s="14">
        <v>1</v>
      </c>
      <c r="FM15" s="14">
        <v>2</v>
      </c>
      <c r="FN15" s="14">
        <v>2</v>
      </c>
      <c r="FO15" s="14">
        <v>2</v>
      </c>
      <c r="FP15" s="14">
        <v>2</v>
      </c>
      <c r="FQ15" s="14">
        <v>2</v>
      </c>
      <c r="FR15" s="14">
        <v>1</v>
      </c>
      <c r="FS15" s="14"/>
      <c r="FT15" s="14"/>
      <c r="FU15" s="14"/>
      <c r="FV15" s="14"/>
      <c r="FW15" s="14"/>
      <c r="FX15" s="14">
        <v>1</v>
      </c>
      <c r="FY15" s="14">
        <v>1</v>
      </c>
      <c r="FZ15" s="14">
        <v>1</v>
      </c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>
        <v>1</v>
      </c>
      <c r="GO15" s="14">
        <v>1</v>
      </c>
      <c r="GP15" s="14">
        <v>1</v>
      </c>
      <c r="GQ15" s="14">
        <v>2</v>
      </c>
      <c r="GR15" s="14">
        <v>1</v>
      </c>
      <c r="GS15" s="14">
        <v>2</v>
      </c>
      <c r="GT15" s="14">
        <v>1</v>
      </c>
      <c r="GU15" s="14">
        <v>1</v>
      </c>
      <c r="GV15" s="14">
        <v>1</v>
      </c>
      <c r="GW15" s="14">
        <v>1</v>
      </c>
      <c r="GX15" s="14">
        <v>1</v>
      </c>
      <c r="GY15" s="14">
        <v>1</v>
      </c>
      <c r="GZ15" s="14"/>
      <c r="HA15" s="14">
        <v>1</v>
      </c>
      <c r="HB15" s="14">
        <v>1</v>
      </c>
      <c r="HC15" s="14">
        <v>1</v>
      </c>
      <c r="HD15" s="14">
        <v>1</v>
      </c>
      <c r="HE15" s="14"/>
      <c r="HF15" s="14"/>
      <c r="HG15" s="14">
        <v>1</v>
      </c>
      <c r="HH15" s="14">
        <v>1</v>
      </c>
      <c r="HI15" s="14">
        <v>1</v>
      </c>
      <c r="HJ15" s="14"/>
      <c r="HK15" s="14"/>
      <c r="HL15" s="14"/>
      <c r="HM15" s="14"/>
      <c r="HN15" s="14">
        <v>1</v>
      </c>
      <c r="HO15" s="14"/>
      <c r="HP15" s="14"/>
      <c r="HQ15" s="14">
        <v>1</v>
      </c>
      <c r="HR15" s="14">
        <v>1</v>
      </c>
      <c r="HS15" s="14">
        <v>1</v>
      </c>
      <c r="HT15" s="14">
        <v>2</v>
      </c>
      <c r="HU15" s="14"/>
      <c r="HV15" s="14"/>
      <c r="HW15" s="14">
        <v>1</v>
      </c>
      <c r="HX15" s="14">
        <v>1</v>
      </c>
      <c r="HY15" s="14">
        <v>1</v>
      </c>
      <c r="HZ15" s="14">
        <v>1</v>
      </c>
      <c r="IA15" s="14">
        <v>1</v>
      </c>
      <c r="IB15" s="14">
        <v>1</v>
      </c>
      <c r="IC15" s="14">
        <v>1</v>
      </c>
      <c r="ID15" s="14">
        <v>1</v>
      </c>
      <c r="IE15" s="14">
        <v>1</v>
      </c>
      <c r="IF15" s="14"/>
      <c r="IG15" s="14">
        <v>1</v>
      </c>
      <c r="IH15" s="14"/>
      <c r="II15" s="14">
        <v>1</v>
      </c>
      <c r="IJ15" s="14">
        <v>1</v>
      </c>
      <c r="IK15" s="14">
        <v>1</v>
      </c>
      <c r="IL15" s="14">
        <v>1</v>
      </c>
      <c r="IM15" s="14">
        <v>1</v>
      </c>
      <c r="IN15" s="14"/>
      <c r="IO15" s="14">
        <v>1</v>
      </c>
      <c r="IP15" s="14">
        <v>1</v>
      </c>
      <c r="IQ15" s="14">
        <v>1</v>
      </c>
      <c r="IR15" s="14">
        <v>1</v>
      </c>
      <c r="IS15" s="14">
        <v>1</v>
      </c>
      <c r="IT15" s="14">
        <v>1</v>
      </c>
      <c r="IU15" s="14">
        <v>1</v>
      </c>
      <c r="IV15" s="14">
        <v>1</v>
      </c>
      <c r="IW15" s="14">
        <v>1</v>
      </c>
      <c r="IX15" s="14">
        <v>1</v>
      </c>
      <c r="IY15" s="14">
        <v>1</v>
      </c>
      <c r="IZ15" s="14">
        <v>1</v>
      </c>
      <c r="JA15" s="14">
        <v>1</v>
      </c>
      <c r="JB15" s="14">
        <v>1</v>
      </c>
      <c r="JC15" s="14">
        <v>1</v>
      </c>
      <c r="JD15" s="14">
        <v>1</v>
      </c>
      <c r="JE15" s="14">
        <v>1</v>
      </c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</row>
    <row r="16" spans="1:280" s="2" customFormat="1" x14ac:dyDescent="0.35">
      <c r="A16" s="2" t="s">
        <v>41</v>
      </c>
      <c r="BN16" s="2">
        <f>BN15*20</f>
        <v>0</v>
      </c>
      <c r="BO16" s="2">
        <f>BO15*20</f>
        <v>20</v>
      </c>
      <c r="BP16" s="2">
        <f t="shared" ref="BP16:BV16" si="191">BP15*20</f>
        <v>20</v>
      </c>
      <c r="BQ16" s="2">
        <f t="shared" si="191"/>
        <v>20</v>
      </c>
      <c r="BR16" s="2">
        <f t="shared" si="191"/>
        <v>0</v>
      </c>
      <c r="BS16" s="17">
        <f t="shared" si="191"/>
        <v>0</v>
      </c>
      <c r="BT16" s="17">
        <f t="shared" si="191"/>
        <v>0</v>
      </c>
      <c r="BU16" s="17">
        <f t="shared" si="191"/>
        <v>0</v>
      </c>
      <c r="BV16" s="17">
        <f t="shared" si="191"/>
        <v>0</v>
      </c>
      <c r="BW16" s="17">
        <f t="shared" ref="BW16:CC16" si="192">BW15*20</f>
        <v>0</v>
      </c>
      <c r="BX16" s="17">
        <f t="shared" si="192"/>
        <v>0</v>
      </c>
      <c r="BY16" s="17">
        <f t="shared" si="192"/>
        <v>0</v>
      </c>
      <c r="BZ16" s="17">
        <f t="shared" si="192"/>
        <v>0</v>
      </c>
      <c r="CA16" s="17">
        <f t="shared" si="192"/>
        <v>0</v>
      </c>
      <c r="CB16" s="17">
        <f t="shared" si="192"/>
        <v>20</v>
      </c>
      <c r="CC16" s="17">
        <f t="shared" si="192"/>
        <v>20</v>
      </c>
      <c r="CD16" s="17">
        <f t="shared" ref="CD16:CJ16" si="193">CD15*20</f>
        <v>0</v>
      </c>
      <c r="CE16" s="17">
        <f t="shared" si="193"/>
        <v>0</v>
      </c>
      <c r="CF16" s="17">
        <f t="shared" si="193"/>
        <v>0</v>
      </c>
      <c r="CG16" s="17">
        <f t="shared" si="193"/>
        <v>0</v>
      </c>
      <c r="CH16" s="17">
        <f t="shared" si="193"/>
        <v>0</v>
      </c>
      <c r="CI16" s="17">
        <f t="shared" si="193"/>
        <v>0</v>
      </c>
      <c r="CJ16" s="17">
        <f t="shared" si="193"/>
        <v>0</v>
      </c>
      <c r="CK16" s="17">
        <f t="shared" ref="CK16:CQ16" si="194">CK15*20</f>
        <v>0</v>
      </c>
      <c r="CL16" s="17">
        <f t="shared" si="194"/>
        <v>0</v>
      </c>
      <c r="CM16" s="17">
        <f t="shared" si="194"/>
        <v>0</v>
      </c>
      <c r="CN16" s="17">
        <f t="shared" si="194"/>
        <v>0</v>
      </c>
      <c r="CO16" s="17">
        <f t="shared" si="194"/>
        <v>20</v>
      </c>
      <c r="CP16" s="17">
        <f t="shared" si="194"/>
        <v>20</v>
      </c>
      <c r="CQ16" s="17">
        <f t="shared" si="194"/>
        <v>20</v>
      </c>
      <c r="CR16" s="17">
        <f t="shared" ref="CR16:CX16" si="195">CR15*20</f>
        <v>0</v>
      </c>
      <c r="CS16" s="17">
        <f t="shared" si="195"/>
        <v>0</v>
      </c>
      <c r="CT16" s="17">
        <f t="shared" si="195"/>
        <v>0</v>
      </c>
      <c r="CU16" s="17">
        <f t="shared" si="195"/>
        <v>0</v>
      </c>
      <c r="CV16" s="17">
        <f t="shared" si="195"/>
        <v>0</v>
      </c>
      <c r="CW16" s="17">
        <f t="shared" si="195"/>
        <v>0</v>
      </c>
      <c r="CX16" s="17">
        <f t="shared" si="195"/>
        <v>0</v>
      </c>
      <c r="CY16" s="17">
        <f t="shared" ref="CY16:DE16" si="196">CY15*20</f>
        <v>40</v>
      </c>
      <c r="CZ16" s="17">
        <f t="shared" si="196"/>
        <v>40</v>
      </c>
      <c r="DA16" s="17">
        <f t="shared" si="196"/>
        <v>20</v>
      </c>
      <c r="DB16" s="17">
        <f t="shared" si="196"/>
        <v>20</v>
      </c>
      <c r="DC16" s="17">
        <f t="shared" si="196"/>
        <v>20</v>
      </c>
      <c r="DD16" s="17">
        <f t="shared" si="196"/>
        <v>0</v>
      </c>
      <c r="DE16" s="17">
        <f t="shared" si="196"/>
        <v>0</v>
      </c>
      <c r="DF16" s="17">
        <f t="shared" ref="DF16:DM16" si="197">DF15*20</f>
        <v>0</v>
      </c>
      <c r="DG16" s="17">
        <f t="shared" si="197"/>
        <v>0</v>
      </c>
      <c r="DH16" s="17">
        <f t="shared" si="197"/>
        <v>0</v>
      </c>
      <c r="DI16" s="17">
        <f t="shared" si="197"/>
        <v>0</v>
      </c>
      <c r="DJ16" s="17">
        <f t="shared" si="197"/>
        <v>0</v>
      </c>
      <c r="DK16" s="17">
        <f t="shared" si="197"/>
        <v>0</v>
      </c>
      <c r="DL16" s="17">
        <f t="shared" si="197"/>
        <v>0</v>
      </c>
      <c r="DM16" s="17">
        <f t="shared" si="197"/>
        <v>0</v>
      </c>
      <c r="DN16" s="17">
        <f t="shared" ref="DN16:DS16" si="198">DN15*20</f>
        <v>0</v>
      </c>
      <c r="DO16" s="17">
        <f t="shared" si="198"/>
        <v>0</v>
      </c>
      <c r="DP16" s="17">
        <f t="shared" si="198"/>
        <v>0</v>
      </c>
      <c r="DQ16" s="17">
        <f t="shared" si="198"/>
        <v>0</v>
      </c>
      <c r="DR16" s="17">
        <f t="shared" si="198"/>
        <v>0</v>
      </c>
      <c r="DS16" s="17">
        <f t="shared" si="198"/>
        <v>0</v>
      </c>
      <c r="DT16" s="17">
        <f t="shared" ref="DT16:DZ16" si="199">DT15*20</f>
        <v>20</v>
      </c>
      <c r="DU16" s="17">
        <f t="shared" si="199"/>
        <v>20</v>
      </c>
      <c r="DV16" s="17">
        <f t="shared" si="199"/>
        <v>20</v>
      </c>
      <c r="DW16" s="17">
        <f t="shared" si="199"/>
        <v>20</v>
      </c>
      <c r="DX16" s="17">
        <f t="shared" si="199"/>
        <v>20</v>
      </c>
      <c r="DY16" s="17">
        <f t="shared" si="199"/>
        <v>20</v>
      </c>
      <c r="DZ16" s="17">
        <f t="shared" si="199"/>
        <v>20</v>
      </c>
      <c r="EA16" s="17">
        <f t="shared" ref="EA16:EG16" si="200">EA15*20</f>
        <v>0</v>
      </c>
      <c r="EB16" s="17">
        <f t="shared" si="200"/>
        <v>0</v>
      </c>
      <c r="EC16" s="17">
        <f t="shared" si="200"/>
        <v>0</v>
      </c>
      <c r="ED16" s="17">
        <f t="shared" si="200"/>
        <v>20</v>
      </c>
      <c r="EE16" s="17">
        <f t="shared" si="200"/>
        <v>20</v>
      </c>
      <c r="EF16" s="17">
        <f t="shared" si="200"/>
        <v>20</v>
      </c>
      <c r="EG16" s="17">
        <f t="shared" si="200"/>
        <v>20</v>
      </c>
      <c r="EH16" s="17">
        <f t="shared" ref="EH16:EN16" si="201">EH15*20</f>
        <v>20</v>
      </c>
      <c r="EI16" s="17">
        <f t="shared" si="201"/>
        <v>20</v>
      </c>
      <c r="EJ16" s="17">
        <f t="shared" si="201"/>
        <v>0</v>
      </c>
      <c r="EK16" s="17">
        <f t="shared" si="201"/>
        <v>0</v>
      </c>
      <c r="EL16" s="17">
        <f t="shared" si="201"/>
        <v>0</v>
      </c>
      <c r="EM16" s="17">
        <f t="shared" si="201"/>
        <v>0</v>
      </c>
      <c r="EN16" s="17">
        <f t="shared" si="201"/>
        <v>0</v>
      </c>
      <c r="EO16" s="17">
        <f t="shared" ref="EO16:EU16" si="202">EO15*20</f>
        <v>20</v>
      </c>
      <c r="EP16" s="17">
        <f t="shared" si="202"/>
        <v>20</v>
      </c>
      <c r="EQ16" s="17">
        <f t="shared" si="202"/>
        <v>20</v>
      </c>
      <c r="ER16" s="17">
        <f t="shared" si="202"/>
        <v>20</v>
      </c>
      <c r="ES16" s="17">
        <f t="shared" si="202"/>
        <v>20</v>
      </c>
      <c r="ET16" s="17">
        <f t="shared" si="202"/>
        <v>40</v>
      </c>
      <c r="EU16" s="17">
        <f t="shared" si="202"/>
        <v>40</v>
      </c>
      <c r="EV16" s="17">
        <f t="shared" ref="EV16:FD16" si="203">EV15*20</f>
        <v>0</v>
      </c>
      <c r="EW16" s="17">
        <f t="shared" si="203"/>
        <v>0</v>
      </c>
      <c r="EX16" s="17">
        <f t="shared" si="203"/>
        <v>20</v>
      </c>
      <c r="EY16" s="17">
        <f t="shared" si="203"/>
        <v>20</v>
      </c>
      <c r="EZ16" s="17">
        <f t="shared" si="203"/>
        <v>20</v>
      </c>
      <c r="FA16" s="17">
        <f t="shared" si="203"/>
        <v>20</v>
      </c>
      <c r="FB16" s="17">
        <f t="shared" si="203"/>
        <v>20</v>
      </c>
      <c r="FC16" s="17">
        <f t="shared" si="203"/>
        <v>0</v>
      </c>
      <c r="FD16" s="17">
        <f t="shared" si="203"/>
        <v>0</v>
      </c>
      <c r="FE16" s="17">
        <f t="shared" ref="FE16:FR16" si="204">FE15*20</f>
        <v>0</v>
      </c>
      <c r="FF16" s="17">
        <f t="shared" si="204"/>
        <v>0</v>
      </c>
      <c r="FG16" s="17">
        <f t="shared" si="204"/>
        <v>0</v>
      </c>
      <c r="FH16" s="17">
        <f t="shared" si="204"/>
        <v>0</v>
      </c>
      <c r="FI16" s="17">
        <f t="shared" si="204"/>
        <v>0</v>
      </c>
      <c r="FJ16" s="17">
        <f t="shared" si="204"/>
        <v>40</v>
      </c>
      <c r="FK16" s="17">
        <f t="shared" si="204"/>
        <v>40</v>
      </c>
      <c r="FL16" s="17">
        <f t="shared" si="204"/>
        <v>20</v>
      </c>
      <c r="FM16" s="17">
        <f t="shared" si="204"/>
        <v>40</v>
      </c>
      <c r="FN16" s="17">
        <f t="shared" si="204"/>
        <v>40</v>
      </c>
      <c r="FO16" s="17">
        <f t="shared" si="204"/>
        <v>40</v>
      </c>
      <c r="FP16" s="17">
        <f t="shared" si="204"/>
        <v>40</v>
      </c>
      <c r="FQ16" s="17">
        <f t="shared" si="204"/>
        <v>40</v>
      </c>
      <c r="FR16" s="17">
        <f t="shared" si="204"/>
        <v>20</v>
      </c>
      <c r="FS16" s="17">
        <f t="shared" ref="FS16:FY16" si="205">FS15*20</f>
        <v>0</v>
      </c>
      <c r="FT16" s="17">
        <f t="shared" si="205"/>
        <v>0</v>
      </c>
      <c r="FU16" s="17">
        <f t="shared" si="205"/>
        <v>0</v>
      </c>
      <c r="FV16" s="17">
        <f t="shared" si="205"/>
        <v>0</v>
      </c>
      <c r="FW16" s="17">
        <f t="shared" si="205"/>
        <v>0</v>
      </c>
      <c r="FX16" s="17">
        <f t="shared" si="205"/>
        <v>20</v>
      </c>
      <c r="FY16" s="17">
        <f t="shared" si="205"/>
        <v>20</v>
      </c>
      <c r="FZ16" s="17">
        <f t="shared" ref="FZ16:GF16" si="206">FZ15*20</f>
        <v>20</v>
      </c>
      <c r="GA16" s="17">
        <f t="shared" si="206"/>
        <v>0</v>
      </c>
      <c r="GB16" s="17">
        <f t="shared" si="206"/>
        <v>0</v>
      </c>
      <c r="GC16" s="17">
        <f t="shared" si="206"/>
        <v>0</v>
      </c>
      <c r="GD16" s="17">
        <f t="shared" si="206"/>
        <v>0</v>
      </c>
      <c r="GE16" s="17">
        <f t="shared" si="206"/>
        <v>0</v>
      </c>
      <c r="GF16" s="17">
        <f t="shared" si="206"/>
        <v>0</v>
      </c>
      <c r="GG16" s="17">
        <f t="shared" ref="GG16:GK16" si="207">GG15*20</f>
        <v>0</v>
      </c>
      <c r="GH16" s="17">
        <f t="shared" si="207"/>
        <v>0</v>
      </c>
      <c r="GI16" s="17">
        <f t="shared" si="207"/>
        <v>0</v>
      </c>
      <c r="GJ16" s="17">
        <f t="shared" si="207"/>
        <v>0</v>
      </c>
      <c r="GK16" s="17">
        <f t="shared" si="207"/>
        <v>0</v>
      </c>
      <c r="GL16" s="17">
        <f t="shared" ref="GL16:GR16" si="208">GL15*20</f>
        <v>0</v>
      </c>
      <c r="GM16" s="17">
        <f t="shared" si="208"/>
        <v>0</v>
      </c>
      <c r="GN16" s="17">
        <f t="shared" si="208"/>
        <v>20</v>
      </c>
      <c r="GO16" s="17">
        <f t="shared" si="208"/>
        <v>20</v>
      </c>
      <c r="GP16" s="17">
        <f t="shared" si="208"/>
        <v>20</v>
      </c>
      <c r="GQ16" s="17">
        <f t="shared" si="208"/>
        <v>40</v>
      </c>
      <c r="GR16" s="17">
        <f t="shared" si="208"/>
        <v>20</v>
      </c>
      <c r="GS16" s="17">
        <f t="shared" ref="GS16:GT16" si="209">GS15*20</f>
        <v>40</v>
      </c>
      <c r="GT16" s="17">
        <f t="shared" si="209"/>
        <v>20</v>
      </c>
      <c r="GU16" s="17">
        <f t="shared" ref="GU16:GY16" si="210">GU15*20</f>
        <v>20</v>
      </c>
      <c r="GV16" s="17">
        <f t="shared" si="210"/>
        <v>20</v>
      </c>
      <c r="GW16" s="17">
        <f t="shared" si="210"/>
        <v>20</v>
      </c>
      <c r="GX16" s="17">
        <f t="shared" si="210"/>
        <v>20</v>
      </c>
      <c r="GY16" s="17">
        <f t="shared" si="210"/>
        <v>20</v>
      </c>
      <c r="GZ16" s="17">
        <f t="shared" ref="GZ16:HF16" si="211">GZ15*20</f>
        <v>0</v>
      </c>
      <c r="HA16" s="17">
        <f t="shared" si="211"/>
        <v>20</v>
      </c>
      <c r="HB16" s="17">
        <f t="shared" si="211"/>
        <v>20</v>
      </c>
      <c r="HC16" s="17">
        <f t="shared" si="211"/>
        <v>20</v>
      </c>
      <c r="HD16" s="17">
        <f t="shared" si="211"/>
        <v>20</v>
      </c>
      <c r="HE16" s="17">
        <f t="shared" si="211"/>
        <v>0</v>
      </c>
      <c r="HF16" s="17">
        <f t="shared" si="211"/>
        <v>0</v>
      </c>
      <c r="HG16" s="17">
        <f t="shared" ref="HG16:HM16" si="212">HG15*20</f>
        <v>20</v>
      </c>
      <c r="HH16" s="17">
        <f t="shared" si="212"/>
        <v>20</v>
      </c>
      <c r="HI16" s="17">
        <f t="shared" si="212"/>
        <v>20</v>
      </c>
      <c r="HJ16" s="17">
        <f t="shared" si="212"/>
        <v>0</v>
      </c>
      <c r="HK16" s="17">
        <f t="shared" si="212"/>
        <v>0</v>
      </c>
      <c r="HL16" s="17">
        <f t="shared" si="212"/>
        <v>0</v>
      </c>
      <c r="HM16" s="17">
        <f t="shared" si="212"/>
        <v>0</v>
      </c>
      <c r="HN16" s="17">
        <f t="shared" ref="HN16:HT16" si="213">HN15*20</f>
        <v>20</v>
      </c>
      <c r="HO16" s="17">
        <f t="shared" si="213"/>
        <v>0</v>
      </c>
      <c r="HP16" s="17">
        <f t="shared" si="213"/>
        <v>0</v>
      </c>
      <c r="HQ16" s="17">
        <f t="shared" si="213"/>
        <v>20</v>
      </c>
      <c r="HR16" s="17">
        <f t="shared" si="213"/>
        <v>20</v>
      </c>
      <c r="HS16" s="17">
        <f t="shared" si="213"/>
        <v>20</v>
      </c>
      <c r="HT16" s="17">
        <f t="shared" si="213"/>
        <v>40</v>
      </c>
      <c r="HU16" s="17">
        <f t="shared" ref="HU16:IC16" si="214">HU15*20</f>
        <v>0</v>
      </c>
      <c r="HV16" s="17">
        <f t="shared" si="214"/>
        <v>0</v>
      </c>
      <c r="HW16" s="17">
        <f t="shared" si="214"/>
        <v>20</v>
      </c>
      <c r="HX16" s="17">
        <f t="shared" si="214"/>
        <v>20</v>
      </c>
      <c r="HY16" s="17">
        <f t="shared" si="214"/>
        <v>20</v>
      </c>
      <c r="HZ16" s="17">
        <f t="shared" si="214"/>
        <v>20</v>
      </c>
      <c r="IA16" s="17">
        <f t="shared" si="214"/>
        <v>20</v>
      </c>
      <c r="IB16" s="17">
        <f t="shared" si="214"/>
        <v>20</v>
      </c>
      <c r="IC16" s="17">
        <f t="shared" si="214"/>
        <v>20</v>
      </c>
      <c r="ID16" s="17">
        <f t="shared" ref="ID16:IO16" si="215">ID15*20</f>
        <v>20</v>
      </c>
      <c r="IE16" s="17">
        <f t="shared" si="215"/>
        <v>20</v>
      </c>
      <c r="IF16" s="17">
        <f t="shared" si="215"/>
        <v>0</v>
      </c>
      <c r="IG16" s="17">
        <f t="shared" si="215"/>
        <v>20</v>
      </c>
      <c r="IH16" s="17">
        <f t="shared" si="215"/>
        <v>0</v>
      </c>
      <c r="II16" s="17">
        <f t="shared" si="215"/>
        <v>20</v>
      </c>
      <c r="IJ16" s="17">
        <f t="shared" si="215"/>
        <v>20</v>
      </c>
      <c r="IK16" s="17">
        <f t="shared" si="215"/>
        <v>20</v>
      </c>
      <c r="IL16" s="17">
        <f t="shared" si="215"/>
        <v>20</v>
      </c>
      <c r="IM16" s="17">
        <f t="shared" si="215"/>
        <v>20</v>
      </c>
      <c r="IN16" s="17">
        <f t="shared" si="215"/>
        <v>0</v>
      </c>
      <c r="IO16" s="17">
        <f t="shared" si="215"/>
        <v>20</v>
      </c>
      <c r="IP16" s="17">
        <f t="shared" ref="IP16:IV16" si="216">IP15*20</f>
        <v>20</v>
      </c>
      <c r="IQ16" s="17">
        <f t="shared" si="216"/>
        <v>20</v>
      </c>
      <c r="IR16" s="17">
        <f t="shared" si="216"/>
        <v>20</v>
      </c>
      <c r="IS16" s="17">
        <f t="shared" si="216"/>
        <v>20</v>
      </c>
      <c r="IT16" s="17">
        <f t="shared" si="216"/>
        <v>20</v>
      </c>
      <c r="IU16" s="17">
        <f t="shared" si="216"/>
        <v>20</v>
      </c>
      <c r="IV16" s="17">
        <f t="shared" si="216"/>
        <v>20</v>
      </c>
      <c r="IW16" s="17">
        <f t="shared" ref="IW16:JC16" si="217">IW15*20</f>
        <v>20</v>
      </c>
      <c r="IX16" s="17">
        <f t="shared" si="217"/>
        <v>20</v>
      </c>
      <c r="IY16" s="17">
        <f t="shared" si="217"/>
        <v>20</v>
      </c>
      <c r="IZ16" s="17">
        <f t="shared" si="217"/>
        <v>20</v>
      </c>
      <c r="JA16" s="17">
        <f t="shared" si="217"/>
        <v>20</v>
      </c>
      <c r="JB16" s="17">
        <f t="shared" si="217"/>
        <v>20</v>
      </c>
      <c r="JC16" s="17">
        <f t="shared" si="217"/>
        <v>20</v>
      </c>
      <c r="JD16" s="17">
        <f t="shared" ref="JD16:JJ16" si="218">JD15*20</f>
        <v>20</v>
      </c>
      <c r="JE16" s="17">
        <f t="shared" si="218"/>
        <v>20</v>
      </c>
      <c r="JF16" s="17">
        <f t="shared" si="218"/>
        <v>0</v>
      </c>
      <c r="JG16" s="17">
        <f t="shared" si="218"/>
        <v>0</v>
      </c>
      <c r="JH16" s="17">
        <f t="shared" si="218"/>
        <v>0</v>
      </c>
      <c r="JI16" s="17">
        <f t="shared" si="218"/>
        <v>0</v>
      </c>
      <c r="JJ16" s="17">
        <f t="shared" si="218"/>
        <v>0</v>
      </c>
      <c r="JK16" s="17">
        <f t="shared" ref="JK16:JT16" si="219">JK15*20</f>
        <v>0</v>
      </c>
      <c r="JL16" s="17">
        <f t="shared" si="219"/>
        <v>0</v>
      </c>
      <c r="JM16" s="17">
        <f t="shared" si="219"/>
        <v>0</v>
      </c>
      <c r="JN16" s="17">
        <f t="shared" si="219"/>
        <v>0</v>
      </c>
      <c r="JO16" s="17">
        <f t="shared" si="219"/>
        <v>0</v>
      </c>
      <c r="JP16" s="17">
        <f t="shared" si="219"/>
        <v>0</v>
      </c>
      <c r="JQ16" s="17">
        <f t="shared" si="219"/>
        <v>0</v>
      </c>
      <c r="JR16" s="17">
        <f t="shared" si="219"/>
        <v>0</v>
      </c>
      <c r="JS16" s="17">
        <f t="shared" si="219"/>
        <v>0</v>
      </c>
      <c r="JT16" s="17">
        <f t="shared" si="219"/>
        <v>0</v>
      </c>
    </row>
    <row r="17" spans="1:280" s="1" customFormat="1" x14ac:dyDescent="0.35">
      <c r="A17" s="1" t="s">
        <v>53</v>
      </c>
      <c r="AD17" s="1">
        <v>1</v>
      </c>
      <c r="AE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2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2</v>
      </c>
      <c r="BH17" s="1">
        <v>2</v>
      </c>
      <c r="BK17" s="1">
        <v>1</v>
      </c>
      <c r="BL17" s="1">
        <v>1</v>
      </c>
      <c r="BM17" s="1">
        <v>1</v>
      </c>
      <c r="BO17" s="1">
        <v>1</v>
      </c>
      <c r="BP17" s="1">
        <v>1</v>
      </c>
      <c r="BQ17" s="1">
        <v>1</v>
      </c>
      <c r="BR17" s="1">
        <v>1</v>
      </c>
      <c r="BS17" s="14">
        <v>1</v>
      </c>
      <c r="BT17" s="14">
        <v>1</v>
      </c>
      <c r="BU17" s="14">
        <v>1</v>
      </c>
      <c r="BV17" s="14">
        <v>1</v>
      </c>
      <c r="BW17" s="14">
        <v>1</v>
      </c>
      <c r="BX17" s="14">
        <v>1</v>
      </c>
      <c r="BY17" s="14">
        <v>1</v>
      </c>
      <c r="BZ17" s="14">
        <v>1</v>
      </c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>
        <v>1</v>
      </c>
      <c r="CP17" s="14">
        <v>1</v>
      </c>
      <c r="CQ17" s="14">
        <v>1</v>
      </c>
      <c r="CR17" s="14"/>
      <c r="CS17" s="14"/>
      <c r="CT17" s="14"/>
      <c r="CU17" s="14"/>
      <c r="CV17" s="14"/>
      <c r="CW17" s="14">
        <v>1</v>
      </c>
      <c r="CX17" s="14">
        <v>1</v>
      </c>
      <c r="CY17" s="14">
        <v>1</v>
      </c>
      <c r="CZ17" s="14">
        <v>1</v>
      </c>
      <c r="DA17" s="14">
        <v>1</v>
      </c>
      <c r="DB17" s="14">
        <v>1</v>
      </c>
      <c r="DC17" s="14">
        <v>1</v>
      </c>
      <c r="DD17" s="14">
        <v>1</v>
      </c>
      <c r="DE17" s="14">
        <v>1</v>
      </c>
      <c r="DF17" s="14">
        <v>1</v>
      </c>
      <c r="DG17" s="14">
        <v>1</v>
      </c>
      <c r="DH17" s="14">
        <v>1</v>
      </c>
      <c r="DI17" s="14">
        <v>1</v>
      </c>
      <c r="DJ17" s="14">
        <v>1</v>
      </c>
      <c r="DK17" s="14"/>
      <c r="DL17" s="14"/>
      <c r="DM17" s="14">
        <v>1</v>
      </c>
      <c r="DN17" s="14">
        <v>1</v>
      </c>
      <c r="DO17" s="14">
        <v>1</v>
      </c>
      <c r="DP17" s="14">
        <v>1</v>
      </c>
      <c r="DQ17" s="14">
        <v>1</v>
      </c>
      <c r="DR17" s="14"/>
      <c r="DS17" s="14"/>
      <c r="DT17" s="14">
        <v>1</v>
      </c>
      <c r="DU17" s="14">
        <v>1</v>
      </c>
      <c r="DV17" s="14">
        <v>1</v>
      </c>
      <c r="DW17" s="14">
        <v>1</v>
      </c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>
        <v>1</v>
      </c>
      <c r="EK17" s="14">
        <v>1</v>
      </c>
      <c r="EL17" s="14"/>
      <c r="EM17" s="14"/>
      <c r="EN17" s="14"/>
      <c r="EO17" s="14">
        <v>1</v>
      </c>
      <c r="EP17" s="14">
        <v>1</v>
      </c>
      <c r="EQ17" s="14">
        <v>1</v>
      </c>
      <c r="ER17" s="14">
        <v>1</v>
      </c>
      <c r="ES17" s="14">
        <v>1</v>
      </c>
      <c r="ET17" s="14"/>
      <c r="EU17" s="14"/>
      <c r="EV17" s="14"/>
      <c r="EW17" s="14"/>
      <c r="EX17" s="14">
        <v>1</v>
      </c>
      <c r="EY17" s="14">
        <v>1</v>
      </c>
      <c r="EZ17" s="14">
        <v>1</v>
      </c>
      <c r="FA17" s="14">
        <v>1</v>
      </c>
      <c r="FB17" s="14">
        <v>1</v>
      </c>
      <c r="FC17" s="14"/>
      <c r="FD17" s="14"/>
      <c r="FE17" s="14"/>
      <c r="FF17" s="14"/>
      <c r="FG17" s="14"/>
      <c r="FH17" s="14"/>
      <c r="FI17" s="14"/>
      <c r="FJ17" s="14"/>
      <c r="FK17" s="14"/>
      <c r="FL17" s="14">
        <v>1</v>
      </c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>
        <v>4</v>
      </c>
      <c r="GY17" s="14">
        <v>4</v>
      </c>
      <c r="GZ17" s="14">
        <v>2</v>
      </c>
      <c r="HA17" s="14">
        <v>1</v>
      </c>
      <c r="HB17" s="14">
        <v>1</v>
      </c>
      <c r="HC17" s="14">
        <v>1</v>
      </c>
      <c r="HD17" s="14"/>
      <c r="HE17" s="14"/>
      <c r="HF17" s="14"/>
      <c r="HG17" s="14">
        <v>1</v>
      </c>
      <c r="HH17" s="14">
        <v>1</v>
      </c>
      <c r="HI17" s="14">
        <v>1</v>
      </c>
      <c r="HJ17" s="14"/>
      <c r="HK17" s="14"/>
      <c r="HL17" s="14"/>
      <c r="HM17" s="14"/>
      <c r="HN17" s="14"/>
      <c r="HO17" s="14"/>
      <c r="HP17" s="14"/>
      <c r="HQ17" s="14">
        <v>1</v>
      </c>
      <c r="HR17" s="14">
        <v>1</v>
      </c>
      <c r="HS17" s="14">
        <v>1</v>
      </c>
      <c r="HT17" s="14"/>
      <c r="HU17" s="14"/>
      <c r="HV17" s="14"/>
      <c r="HW17" s="14"/>
      <c r="HX17" s="14">
        <v>1</v>
      </c>
      <c r="HY17" s="14">
        <v>1</v>
      </c>
      <c r="HZ17" s="14">
        <v>1</v>
      </c>
      <c r="IA17" s="14">
        <v>1</v>
      </c>
      <c r="IB17" s="14">
        <v>1</v>
      </c>
      <c r="IC17" s="14">
        <v>1</v>
      </c>
      <c r="ID17" s="14">
        <v>1</v>
      </c>
      <c r="IE17" s="14">
        <v>1</v>
      </c>
      <c r="IF17" s="14">
        <v>1</v>
      </c>
      <c r="IG17" s="14">
        <v>1</v>
      </c>
      <c r="IH17" s="14">
        <v>2</v>
      </c>
      <c r="II17" s="14">
        <v>2</v>
      </c>
      <c r="IJ17" s="14">
        <v>2</v>
      </c>
      <c r="IK17" s="14">
        <v>2</v>
      </c>
      <c r="IL17" s="14">
        <v>2</v>
      </c>
      <c r="IM17" s="14">
        <v>2</v>
      </c>
      <c r="IN17" s="14">
        <v>2</v>
      </c>
      <c r="IO17" s="14">
        <v>2</v>
      </c>
      <c r="IP17" s="14">
        <v>1</v>
      </c>
      <c r="IQ17" s="14">
        <v>1</v>
      </c>
      <c r="IR17" s="14">
        <v>1</v>
      </c>
      <c r="IS17" s="14">
        <v>1</v>
      </c>
      <c r="IT17" s="14">
        <v>1</v>
      </c>
      <c r="IU17" s="14">
        <v>1</v>
      </c>
      <c r="IV17" s="14">
        <v>1</v>
      </c>
      <c r="IW17" s="14">
        <v>1</v>
      </c>
      <c r="IX17" s="14">
        <v>1</v>
      </c>
      <c r="IY17" s="14">
        <v>1</v>
      </c>
      <c r="IZ17" s="14">
        <v>1</v>
      </c>
      <c r="JA17" s="14">
        <v>1</v>
      </c>
      <c r="JB17" s="14">
        <v>1</v>
      </c>
      <c r="JC17" s="14">
        <v>1</v>
      </c>
      <c r="JD17" s="14">
        <v>1</v>
      </c>
      <c r="JE17" s="14">
        <v>1</v>
      </c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</row>
    <row r="18" spans="1:280" s="2" customFormat="1" x14ac:dyDescent="0.35">
      <c r="A18" s="2" t="s">
        <v>41</v>
      </c>
      <c r="BN18" s="2">
        <f>BN17*20</f>
        <v>0</v>
      </c>
      <c r="BO18" s="2">
        <f>BO17*20</f>
        <v>20</v>
      </c>
      <c r="BP18" s="2">
        <f t="shared" ref="BP18:BV18" si="220">BP17*20</f>
        <v>20</v>
      </c>
      <c r="BQ18" s="2">
        <f t="shared" si="220"/>
        <v>20</v>
      </c>
      <c r="BR18" s="2">
        <f t="shared" si="220"/>
        <v>20</v>
      </c>
      <c r="BS18" s="17">
        <f t="shared" si="220"/>
        <v>20</v>
      </c>
      <c r="BT18" s="17">
        <f t="shared" si="220"/>
        <v>20</v>
      </c>
      <c r="BU18" s="17">
        <f t="shared" si="220"/>
        <v>20</v>
      </c>
      <c r="BV18" s="17">
        <f t="shared" si="220"/>
        <v>20</v>
      </c>
      <c r="BW18" s="17">
        <f t="shared" ref="BW18:CC18" si="221">BW17*20</f>
        <v>20</v>
      </c>
      <c r="BX18" s="17">
        <f t="shared" si="221"/>
        <v>20</v>
      </c>
      <c r="BY18" s="17">
        <f t="shared" si="221"/>
        <v>20</v>
      </c>
      <c r="BZ18" s="17">
        <f t="shared" si="221"/>
        <v>20</v>
      </c>
      <c r="CA18" s="17">
        <f t="shared" si="221"/>
        <v>0</v>
      </c>
      <c r="CB18" s="17">
        <f t="shared" si="221"/>
        <v>0</v>
      </c>
      <c r="CC18" s="17">
        <f t="shared" si="221"/>
        <v>0</v>
      </c>
      <c r="CD18" s="17">
        <f t="shared" ref="CD18:CJ18" si="222">CD17*20</f>
        <v>0</v>
      </c>
      <c r="CE18" s="17">
        <f t="shared" si="222"/>
        <v>0</v>
      </c>
      <c r="CF18" s="17">
        <f t="shared" si="222"/>
        <v>0</v>
      </c>
      <c r="CG18" s="17">
        <f t="shared" si="222"/>
        <v>0</v>
      </c>
      <c r="CH18" s="17">
        <f t="shared" si="222"/>
        <v>0</v>
      </c>
      <c r="CI18" s="17">
        <f t="shared" si="222"/>
        <v>0</v>
      </c>
      <c r="CJ18" s="17">
        <f t="shared" si="222"/>
        <v>0</v>
      </c>
      <c r="CK18" s="17">
        <f t="shared" ref="CK18:CQ18" si="223">CK17*20</f>
        <v>0</v>
      </c>
      <c r="CL18" s="17">
        <f t="shared" si="223"/>
        <v>0</v>
      </c>
      <c r="CM18" s="17">
        <f t="shared" si="223"/>
        <v>0</v>
      </c>
      <c r="CN18" s="17">
        <f t="shared" si="223"/>
        <v>0</v>
      </c>
      <c r="CO18" s="17">
        <f t="shared" si="223"/>
        <v>20</v>
      </c>
      <c r="CP18" s="17">
        <f t="shared" si="223"/>
        <v>20</v>
      </c>
      <c r="CQ18" s="17">
        <f t="shared" si="223"/>
        <v>20</v>
      </c>
      <c r="CR18" s="17">
        <f t="shared" ref="CR18:CX18" si="224">CR17*20</f>
        <v>0</v>
      </c>
      <c r="CS18" s="17">
        <f t="shared" si="224"/>
        <v>0</v>
      </c>
      <c r="CT18" s="17">
        <f t="shared" si="224"/>
        <v>0</v>
      </c>
      <c r="CU18" s="17">
        <f t="shared" si="224"/>
        <v>0</v>
      </c>
      <c r="CV18" s="17">
        <f t="shared" si="224"/>
        <v>0</v>
      </c>
      <c r="CW18" s="17">
        <f t="shared" si="224"/>
        <v>20</v>
      </c>
      <c r="CX18" s="17">
        <f t="shared" si="224"/>
        <v>20</v>
      </c>
      <c r="CY18" s="17">
        <f t="shared" ref="CY18:DE18" si="225">CY17*20</f>
        <v>20</v>
      </c>
      <c r="CZ18" s="17">
        <f t="shared" si="225"/>
        <v>20</v>
      </c>
      <c r="DA18" s="17">
        <f t="shared" si="225"/>
        <v>20</v>
      </c>
      <c r="DB18" s="17">
        <f t="shared" si="225"/>
        <v>20</v>
      </c>
      <c r="DC18" s="17">
        <f t="shared" si="225"/>
        <v>20</v>
      </c>
      <c r="DD18" s="17">
        <f t="shared" si="225"/>
        <v>20</v>
      </c>
      <c r="DE18" s="17">
        <f t="shared" si="225"/>
        <v>20</v>
      </c>
      <c r="DF18" s="17">
        <f t="shared" ref="DF18:DM18" si="226">DF17*20</f>
        <v>20</v>
      </c>
      <c r="DG18" s="17">
        <f t="shared" si="226"/>
        <v>20</v>
      </c>
      <c r="DH18" s="17">
        <f t="shared" si="226"/>
        <v>20</v>
      </c>
      <c r="DI18" s="17">
        <f t="shared" si="226"/>
        <v>20</v>
      </c>
      <c r="DJ18" s="17">
        <f t="shared" si="226"/>
        <v>20</v>
      </c>
      <c r="DK18" s="17">
        <f t="shared" si="226"/>
        <v>0</v>
      </c>
      <c r="DL18" s="17">
        <f t="shared" si="226"/>
        <v>0</v>
      </c>
      <c r="DM18" s="17">
        <f t="shared" si="226"/>
        <v>20</v>
      </c>
      <c r="DN18" s="17">
        <f t="shared" ref="DN18:DS18" si="227">DN17*20</f>
        <v>20</v>
      </c>
      <c r="DO18" s="17">
        <f t="shared" si="227"/>
        <v>20</v>
      </c>
      <c r="DP18" s="17">
        <f t="shared" si="227"/>
        <v>20</v>
      </c>
      <c r="DQ18" s="17">
        <f t="shared" si="227"/>
        <v>20</v>
      </c>
      <c r="DR18" s="17">
        <f t="shared" si="227"/>
        <v>0</v>
      </c>
      <c r="DS18" s="17">
        <f t="shared" si="227"/>
        <v>0</v>
      </c>
      <c r="DT18" s="17">
        <f t="shared" ref="DT18:DZ18" si="228">DT17*20</f>
        <v>20</v>
      </c>
      <c r="DU18" s="17">
        <f t="shared" si="228"/>
        <v>20</v>
      </c>
      <c r="DV18" s="17">
        <f t="shared" si="228"/>
        <v>20</v>
      </c>
      <c r="DW18" s="17">
        <f t="shared" si="228"/>
        <v>20</v>
      </c>
      <c r="DX18" s="17">
        <f t="shared" si="228"/>
        <v>0</v>
      </c>
      <c r="DY18" s="17">
        <f t="shared" si="228"/>
        <v>0</v>
      </c>
      <c r="DZ18" s="17">
        <f t="shared" si="228"/>
        <v>0</v>
      </c>
      <c r="EA18" s="17">
        <f t="shared" ref="EA18:EG18" si="229">EA17*20</f>
        <v>0</v>
      </c>
      <c r="EB18" s="17">
        <f t="shared" si="229"/>
        <v>0</v>
      </c>
      <c r="EC18" s="17">
        <f t="shared" si="229"/>
        <v>0</v>
      </c>
      <c r="ED18" s="17">
        <f t="shared" si="229"/>
        <v>0</v>
      </c>
      <c r="EE18" s="17">
        <f t="shared" si="229"/>
        <v>0</v>
      </c>
      <c r="EF18" s="17">
        <f t="shared" si="229"/>
        <v>0</v>
      </c>
      <c r="EG18" s="17">
        <f t="shared" si="229"/>
        <v>0</v>
      </c>
      <c r="EH18" s="17">
        <f t="shared" ref="EH18:EN18" si="230">EH17*20</f>
        <v>0</v>
      </c>
      <c r="EI18" s="17">
        <f t="shared" si="230"/>
        <v>0</v>
      </c>
      <c r="EJ18" s="17">
        <f t="shared" si="230"/>
        <v>20</v>
      </c>
      <c r="EK18" s="17">
        <f t="shared" si="230"/>
        <v>20</v>
      </c>
      <c r="EL18" s="17">
        <f t="shared" si="230"/>
        <v>0</v>
      </c>
      <c r="EM18" s="17">
        <f t="shared" si="230"/>
        <v>0</v>
      </c>
      <c r="EN18" s="17">
        <f t="shared" si="230"/>
        <v>0</v>
      </c>
      <c r="EO18" s="17">
        <f t="shared" ref="EO18:EU18" si="231">EO17*20</f>
        <v>20</v>
      </c>
      <c r="EP18" s="17">
        <f t="shared" si="231"/>
        <v>20</v>
      </c>
      <c r="EQ18" s="17">
        <f t="shared" si="231"/>
        <v>20</v>
      </c>
      <c r="ER18" s="17">
        <f t="shared" si="231"/>
        <v>20</v>
      </c>
      <c r="ES18" s="17">
        <f t="shared" si="231"/>
        <v>20</v>
      </c>
      <c r="ET18" s="17">
        <f t="shared" si="231"/>
        <v>0</v>
      </c>
      <c r="EU18" s="17">
        <f t="shared" si="231"/>
        <v>0</v>
      </c>
      <c r="EV18" s="17">
        <f t="shared" ref="EV18:FD18" si="232">EV17*20</f>
        <v>0</v>
      </c>
      <c r="EW18" s="17">
        <f t="shared" si="232"/>
        <v>0</v>
      </c>
      <c r="EX18" s="17">
        <f t="shared" si="232"/>
        <v>20</v>
      </c>
      <c r="EY18" s="17">
        <f t="shared" si="232"/>
        <v>20</v>
      </c>
      <c r="EZ18" s="17">
        <f t="shared" si="232"/>
        <v>20</v>
      </c>
      <c r="FA18" s="17">
        <f t="shared" si="232"/>
        <v>20</v>
      </c>
      <c r="FB18" s="17">
        <f t="shared" si="232"/>
        <v>20</v>
      </c>
      <c r="FC18" s="17">
        <f t="shared" si="232"/>
        <v>0</v>
      </c>
      <c r="FD18" s="17">
        <f t="shared" si="232"/>
        <v>0</v>
      </c>
      <c r="FE18" s="17">
        <f t="shared" ref="FE18:FR18" si="233">FE17*20</f>
        <v>0</v>
      </c>
      <c r="FF18" s="17">
        <f t="shared" si="233"/>
        <v>0</v>
      </c>
      <c r="FG18" s="17">
        <f t="shared" si="233"/>
        <v>0</v>
      </c>
      <c r="FH18" s="17">
        <f t="shared" si="233"/>
        <v>0</v>
      </c>
      <c r="FI18" s="17">
        <f t="shared" si="233"/>
        <v>0</v>
      </c>
      <c r="FJ18" s="17">
        <f t="shared" si="233"/>
        <v>0</v>
      </c>
      <c r="FK18" s="17">
        <f t="shared" si="233"/>
        <v>0</v>
      </c>
      <c r="FL18" s="17">
        <f t="shared" si="233"/>
        <v>20</v>
      </c>
      <c r="FM18" s="17">
        <f t="shared" si="233"/>
        <v>0</v>
      </c>
      <c r="FN18" s="17">
        <f t="shared" si="233"/>
        <v>0</v>
      </c>
      <c r="FO18" s="17">
        <f t="shared" si="233"/>
        <v>0</v>
      </c>
      <c r="FP18" s="17">
        <f t="shared" si="233"/>
        <v>0</v>
      </c>
      <c r="FQ18" s="17">
        <f t="shared" si="233"/>
        <v>0</v>
      </c>
      <c r="FR18" s="17">
        <f t="shared" si="233"/>
        <v>0</v>
      </c>
      <c r="FS18" s="17">
        <f t="shared" ref="FS18:FY18" si="234">FS17*20</f>
        <v>0</v>
      </c>
      <c r="FT18" s="17">
        <f t="shared" si="234"/>
        <v>0</v>
      </c>
      <c r="FU18" s="17">
        <f t="shared" si="234"/>
        <v>0</v>
      </c>
      <c r="FV18" s="17">
        <f t="shared" si="234"/>
        <v>0</v>
      </c>
      <c r="FW18" s="17">
        <f t="shared" si="234"/>
        <v>0</v>
      </c>
      <c r="FX18" s="17">
        <f t="shared" si="234"/>
        <v>0</v>
      </c>
      <c r="FY18" s="17">
        <f t="shared" si="234"/>
        <v>0</v>
      </c>
      <c r="FZ18" s="17">
        <f t="shared" ref="FZ18:GF18" si="235">FZ17*20</f>
        <v>0</v>
      </c>
      <c r="GA18" s="17">
        <f t="shared" si="235"/>
        <v>0</v>
      </c>
      <c r="GB18" s="17">
        <f t="shared" si="235"/>
        <v>0</v>
      </c>
      <c r="GC18" s="17">
        <f t="shared" si="235"/>
        <v>0</v>
      </c>
      <c r="GD18" s="17">
        <f t="shared" si="235"/>
        <v>0</v>
      </c>
      <c r="GE18" s="17">
        <f t="shared" si="235"/>
        <v>0</v>
      </c>
      <c r="GF18" s="17">
        <f t="shared" si="235"/>
        <v>0</v>
      </c>
      <c r="GG18" s="17">
        <f t="shared" ref="GG18:GK18" si="236">GG17*20</f>
        <v>0</v>
      </c>
      <c r="GH18" s="17">
        <f t="shared" si="236"/>
        <v>0</v>
      </c>
      <c r="GI18" s="17">
        <f t="shared" si="236"/>
        <v>0</v>
      </c>
      <c r="GJ18" s="17">
        <f t="shared" si="236"/>
        <v>0</v>
      </c>
      <c r="GK18" s="17">
        <f t="shared" si="236"/>
        <v>0</v>
      </c>
      <c r="GL18" s="17">
        <f t="shared" ref="GL18:GR18" si="237">GL17*20</f>
        <v>0</v>
      </c>
      <c r="GM18" s="17">
        <f t="shared" si="237"/>
        <v>0</v>
      </c>
      <c r="GN18" s="17">
        <f t="shared" si="237"/>
        <v>0</v>
      </c>
      <c r="GO18" s="17">
        <f t="shared" si="237"/>
        <v>0</v>
      </c>
      <c r="GP18" s="17">
        <f t="shared" si="237"/>
        <v>0</v>
      </c>
      <c r="GQ18" s="17">
        <f t="shared" si="237"/>
        <v>0</v>
      </c>
      <c r="GR18" s="17">
        <f t="shared" si="237"/>
        <v>0</v>
      </c>
      <c r="GS18" s="17">
        <f t="shared" ref="GS18:GT18" si="238">GS17*20</f>
        <v>0</v>
      </c>
      <c r="GT18" s="17">
        <f t="shared" si="238"/>
        <v>0</v>
      </c>
      <c r="GU18" s="17">
        <f t="shared" ref="GU18:GY18" si="239">GU17*20</f>
        <v>0</v>
      </c>
      <c r="GV18" s="17">
        <f t="shared" si="239"/>
        <v>0</v>
      </c>
      <c r="GW18" s="17">
        <f t="shared" si="239"/>
        <v>0</v>
      </c>
      <c r="GX18" s="17">
        <f t="shared" si="239"/>
        <v>80</v>
      </c>
      <c r="GY18" s="17">
        <f t="shared" si="239"/>
        <v>80</v>
      </c>
      <c r="GZ18" s="17">
        <f t="shared" ref="GZ18:HF18" si="240">GZ17*20</f>
        <v>40</v>
      </c>
      <c r="HA18" s="17">
        <f t="shared" si="240"/>
        <v>20</v>
      </c>
      <c r="HB18" s="17">
        <f t="shared" si="240"/>
        <v>20</v>
      </c>
      <c r="HC18" s="17">
        <f t="shared" si="240"/>
        <v>20</v>
      </c>
      <c r="HD18" s="17">
        <f t="shared" si="240"/>
        <v>0</v>
      </c>
      <c r="HE18" s="17">
        <f t="shared" si="240"/>
        <v>0</v>
      </c>
      <c r="HF18" s="17">
        <f t="shared" si="240"/>
        <v>0</v>
      </c>
      <c r="HG18" s="17">
        <f t="shared" ref="HG18:HM18" si="241">HG17*20</f>
        <v>20</v>
      </c>
      <c r="HH18" s="17">
        <f t="shared" si="241"/>
        <v>20</v>
      </c>
      <c r="HI18" s="17">
        <f t="shared" si="241"/>
        <v>20</v>
      </c>
      <c r="HJ18" s="17">
        <f t="shared" si="241"/>
        <v>0</v>
      </c>
      <c r="HK18" s="17">
        <f t="shared" si="241"/>
        <v>0</v>
      </c>
      <c r="HL18" s="17">
        <f t="shared" si="241"/>
        <v>0</v>
      </c>
      <c r="HM18" s="17">
        <f t="shared" si="241"/>
        <v>0</v>
      </c>
      <c r="HN18" s="17">
        <f t="shared" ref="HN18:HT18" si="242">HN17*20</f>
        <v>0</v>
      </c>
      <c r="HO18" s="17">
        <f t="shared" si="242"/>
        <v>0</v>
      </c>
      <c r="HP18" s="17">
        <f t="shared" si="242"/>
        <v>0</v>
      </c>
      <c r="HQ18" s="17">
        <f t="shared" si="242"/>
        <v>20</v>
      </c>
      <c r="HR18" s="17">
        <f t="shared" si="242"/>
        <v>20</v>
      </c>
      <c r="HS18" s="17">
        <f t="shared" si="242"/>
        <v>20</v>
      </c>
      <c r="HT18" s="17">
        <f t="shared" si="242"/>
        <v>0</v>
      </c>
      <c r="HU18" s="17">
        <f t="shared" ref="HU18:IC18" si="243">HU17*20</f>
        <v>0</v>
      </c>
      <c r="HV18" s="17">
        <f t="shared" si="243"/>
        <v>0</v>
      </c>
      <c r="HW18" s="17">
        <f t="shared" si="243"/>
        <v>0</v>
      </c>
      <c r="HX18" s="17">
        <f t="shared" si="243"/>
        <v>20</v>
      </c>
      <c r="HY18" s="17">
        <f t="shared" si="243"/>
        <v>20</v>
      </c>
      <c r="HZ18" s="17">
        <f t="shared" si="243"/>
        <v>20</v>
      </c>
      <c r="IA18" s="17">
        <f t="shared" si="243"/>
        <v>20</v>
      </c>
      <c r="IB18" s="17">
        <f t="shared" si="243"/>
        <v>20</v>
      </c>
      <c r="IC18" s="17">
        <f t="shared" si="243"/>
        <v>20</v>
      </c>
      <c r="ID18" s="17">
        <f t="shared" ref="ID18:IO18" si="244">ID17*20</f>
        <v>20</v>
      </c>
      <c r="IE18" s="17">
        <f t="shared" si="244"/>
        <v>20</v>
      </c>
      <c r="IF18" s="17">
        <f t="shared" si="244"/>
        <v>20</v>
      </c>
      <c r="IG18" s="17">
        <f t="shared" si="244"/>
        <v>20</v>
      </c>
      <c r="IH18" s="17">
        <f t="shared" si="244"/>
        <v>40</v>
      </c>
      <c r="II18" s="17">
        <f t="shared" si="244"/>
        <v>40</v>
      </c>
      <c r="IJ18" s="17">
        <f t="shared" si="244"/>
        <v>40</v>
      </c>
      <c r="IK18" s="17">
        <f t="shared" si="244"/>
        <v>40</v>
      </c>
      <c r="IL18" s="17">
        <f t="shared" si="244"/>
        <v>40</v>
      </c>
      <c r="IM18" s="17">
        <f t="shared" si="244"/>
        <v>40</v>
      </c>
      <c r="IN18" s="17">
        <f t="shared" si="244"/>
        <v>40</v>
      </c>
      <c r="IO18" s="17">
        <f t="shared" si="244"/>
        <v>40</v>
      </c>
      <c r="IP18" s="17">
        <f t="shared" ref="IP18:IV18" si="245">IP17*20</f>
        <v>20</v>
      </c>
      <c r="IQ18" s="17">
        <f t="shared" si="245"/>
        <v>20</v>
      </c>
      <c r="IR18" s="17">
        <f t="shared" si="245"/>
        <v>20</v>
      </c>
      <c r="IS18" s="17">
        <f t="shared" si="245"/>
        <v>20</v>
      </c>
      <c r="IT18" s="17">
        <f t="shared" si="245"/>
        <v>20</v>
      </c>
      <c r="IU18" s="17">
        <f t="shared" si="245"/>
        <v>20</v>
      </c>
      <c r="IV18" s="17">
        <f t="shared" si="245"/>
        <v>20</v>
      </c>
      <c r="IW18" s="17">
        <f t="shared" ref="IW18:JC18" si="246">IW17*20</f>
        <v>20</v>
      </c>
      <c r="IX18" s="17">
        <f t="shared" si="246"/>
        <v>20</v>
      </c>
      <c r="IY18" s="17">
        <f t="shared" si="246"/>
        <v>20</v>
      </c>
      <c r="IZ18" s="17">
        <f t="shared" si="246"/>
        <v>20</v>
      </c>
      <c r="JA18" s="17">
        <f t="shared" si="246"/>
        <v>20</v>
      </c>
      <c r="JB18" s="17">
        <f t="shared" si="246"/>
        <v>20</v>
      </c>
      <c r="JC18" s="17">
        <f t="shared" si="246"/>
        <v>20</v>
      </c>
      <c r="JD18" s="17">
        <f t="shared" ref="JD18:JJ18" si="247">JD17*20</f>
        <v>20</v>
      </c>
      <c r="JE18" s="17">
        <f t="shared" si="247"/>
        <v>20</v>
      </c>
      <c r="JF18" s="17">
        <f t="shared" si="247"/>
        <v>0</v>
      </c>
      <c r="JG18" s="17">
        <f t="shared" si="247"/>
        <v>0</v>
      </c>
      <c r="JH18" s="17">
        <f t="shared" si="247"/>
        <v>0</v>
      </c>
      <c r="JI18" s="17">
        <f t="shared" si="247"/>
        <v>0</v>
      </c>
      <c r="JJ18" s="17">
        <f t="shared" si="247"/>
        <v>0</v>
      </c>
      <c r="JK18" s="17">
        <f t="shared" ref="JK18:JT18" si="248">JK17*20</f>
        <v>0</v>
      </c>
      <c r="JL18" s="17">
        <f t="shared" si="248"/>
        <v>0</v>
      </c>
      <c r="JM18" s="17">
        <f t="shared" si="248"/>
        <v>0</v>
      </c>
      <c r="JN18" s="17">
        <f t="shared" si="248"/>
        <v>0</v>
      </c>
      <c r="JO18" s="17">
        <f t="shared" si="248"/>
        <v>0</v>
      </c>
      <c r="JP18" s="17">
        <f t="shared" si="248"/>
        <v>0</v>
      </c>
      <c r="JQ18" s="17">
        <f t="shared" si="248"/>
        <v>0</v>
      </c>
      <c r="JR18" s="17">
        <f t="shared" si="248"/>
        <v>0</v>
      </c>
      <c r="JS18" s="17">
        <f t="shared" si="248"/>
        <v>0</v>
      </c>
      <c r="JT18" s="17">
        <f t="shared" si="248"/>
        <v>0</v>
      </c>
    </row>
    <row r="19" spans="1:280" s="1" customFormat="1" x14ac:dyDescent="0.35">
      <c r="A19" s="1" t="s">
        <v>54</v>
      </c>
      <c r="AD19" s="1">
        <v>1</v>
      </c>
      <c r="AE19" s="1">
        <v>1</v>
      </c>
      <c r="AG19" s="1">
        <v>2</v>
      </c>
      <c r="AH19" s="1">
        <v>2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Z19" s="1">
        <v>1</v>
      </c>
      <c r="BA19" s="1">
        <v>1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4</v>
      </c>
      <c r="BH19" s="1">
        <v>4</v>
      </c>
      <c r="BI19" s="1">
        <v>6</v>
      </c>
      <c r="BJ19" s="1">
        <v>6</v>
      </c>
      <c r="BK19" s="1">
        <v>6</v>
      </c>
      <c r="BL19" s="1">
        <v>6</v>
      </c>
      <c r="BM19" s="1">
        <v>6</v>
      </c>
      <c r="BN19" s="1">
        <v>6</v>
      </c>
      <c r="BO19" s="1">
        <v>6</v>
      </c>
      <c r="BP19" s="1">
        <v>1</v>
      </c>
      <c r="BQ19" s="1">
        <v>1</v>
      </c>
      <c r="BR19" s="1">
        <v>2</v>
      </c>
      <c r="BS19" s="14">
        <v>1</v>
      </c>
      <c r="BT19" s="14">
        <v>0</v>
      </c>
      <c r="BU19" s="14">
        <v>2</v>
      </c>
      <c r="BV19" s="14">
        <v>2</v>
      </c>
      <c r="BW19" s="14">
        <v>1</v>
      </c>
      <c r="BX19" s="14">
        <v>1</v>
      </c>
      <c r="BY19" s="14">
        <v>1</v>
      </c>
      <c r="BZ19" s="14">
        <v>1</v>
      </c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>
        <v>1</v>
      </c>
      <c r="CP19" s="14">
        <v>1</v>
      </c>
      <c r="CQ19" s="14">
        <v>1</v>
      </c>
      <c r="CR19" s="14">
        <v>1</v>
      </c>
      <c r="CS19" s="14">
        <v>1</v>
      </c>
      <c r="CT19" s="14">
        <v>1</v>
      </c>
      <c r="CU19" s="14">
        <v>1</v>
      </c>
      <c r="CV19" s="14">
        <v>1</v>
      </c>
      <c r="CW19" s="14"/>
      <c r="CX19" s="14"/>
      <c r="CY19" s="14"/>
      <c r="CZ19" s="14"/>
      <c r="DA19" s="14"/>
      <c r="DB19" s="14"/>
      <c r="DC19" s="14"/>
      <c r="DD19" s="14"/>
      <c r="DE19" s="14"/>
      <c r="DF19" s="14">
        <v>1</v>
      </c>
      <c r="DG19" s="14">
        <v>1</v>
      </c>
      <c r="DH19" s="14">
        <v>1</v>
      </c>
      <c r="DI19" s="14">
        <v>1</v>
      </c>
      <c r="DJ19" s="14">
        <v>1</v>
      </c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>
        <v>1</v>
      </c>
      <c r="DY19" s="14">
        <v>1</v>
      </c>
      <c r="DZ19" s="14">
        <v>1</v>
      </c>
      <c r="EA19" s="14"/>
      <c r="EB19" s="14"/>
      <c r="EC19" s="14"/>
      <c r="ED19" s="14">
        <v>1</v>
      </c>
      <c r="EE19" s="14">
        <v>1</v>
      </c>
      <c r="EF19" s="14">
        <v>1</v>
      </c>
      <c r="EG19" s="14">
        <v>1</v>
      </c>
      <c r="EH19" s="14">
        <v>2</v>
      </c>
      <c r="EI19" s="14">
        <v>2</v>
      </c>
      <c r="EJ19" s="14">
        <v>2</v>
      </c>
      <c r="EK19" s="14">
        <v>2</v>
      </c>
      <c r="EL19" s="14">
        <v>3</v>
      </c>
      <c r="EM19" s="14">
        <v>4</v>
      </c>
      <c r="EN19" s="14">
        <v>2</v>
      </c>
      <c r="EO19" s="14">
        <v>2</v>
      </c>
      <c r="EP19" s="14">
        <v>2</v>
      </c>
      <c r="EQ19" s="14">
        <v>2</v>
      </c>
      <c r="ER19" s="14">
        <v>2</v>
      </c>
      <c r="ES19" s="14">
        <v>2</v>
      </c>
      <c r="ET19" s="14">
        <v>2</v>
      </c>
      <c r="EU19" s="14">
        <v>2</v>
      </c>
      <c r="EV19" s="14">
        <v>1</v>
      </c>
      <c r="EW19" s="14">
        <v>1</v>
      </c>
      <c r="EX19" s="14">
        <v>1</v>
      </c>
      <c r="EY19" s="14">
        <v>1</v>
      </c>
      <c r="EZ19" s="14">
        <v>1</v>
      </c>
      <c r="FA19" s="14">
        <v>1</v>
      </c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>
        <v>1</v>
      </c>
      <c r="FR19" s="14">
        <v>2</v>
      </c>
      <c r="FS19" s="14"/>
      <c r="FT19" s="14"/>
      <c r="FU19" s="14"/>
      <c r="FV19" s="14"/>
      <c r="FW19" s="14"/>
      <c r="FX19" s="14"/>
      <c r="FY19" s="14"/>
      <c r="FZ19" s="14"/>
      <c r="GA19" s="14">
        <v>1</v>
      </c>
      <c r="GB19" s="14">
        <v>1</v>
      </c>
      <c r="GC19" s="14">
        <v>1</v>
      </c>
      <c r="GD19" s="14">
        <v>1</v>
      </c>
      <c r="GE19" s="14">
        <v>1</v>
      </c>
      <c r="GF19" s="14">
        <v>1</v>
      </c>
      <c r="GG19" s="14">
        <v>1</v>
      </c>
      <c r="GH19" s="14">
        <v>1</v>
      </c>
      <c r="GI19" s="14">
        <v>1</v>
      </c>
      <c r="GJ19" s="14">
        <v>1</v>
      </c>
      <c r="GK19" s="14">
        <v>1</v>
      </c>
      <c r="GL19" s="14"/>
      <c r="GM19" s="14"/>
      <c r="GN19" s="14">
        <v>1</v>
      </c>
      <c r="GO19" s="14">
        <v>1</v>
      </c>
      <c r="GP19" s="14">
        <v>1</v>
      </c>
      <c r="GQ19" s="14">
        <v>1</v>
      </c>
      <c r="GR19" s="14">
        <v>2</v>
      </c>
      <c r="GS19" s="14">
        <v>1</v>
      </c>
      <c r="GT19" s="14">
        <v>1</v>
      </c>
      <c r="GU19" s="14">
        <v>1</v>
      </c>
      <c r="GV19" s="14">
        <v>1</v>
      </c>
      <c r="GW19" s="14">
        <v>1</v>
      </c>
      <c r="GX19" s="14">
        <v>1</v>
      </c>
      <c r="GY19" s="14">
        <v>1</v>
      </c>
      <c r="GZ19" s="14">
        <v>1</v>
      </c>
      <c r="HA19" s="14"/>
      <c r="HB19" s="14"/>
      <c r="HC19" s="14"/>
      <c r="HD19" s="14"/>
      <c r="HE19" s="14"/>
      <c r="HF19" s="14"/>
      <c r="HG19" s="14">
        <v>1</v>
      </c>
      <c r="HH19" s="14">
        <v>1</v>
      </c>
      <c r="HI19" s="14">
        <v>1</v>
      </c>
      <c r="HJ19" s="14">
        <v>1</v>
      </c>
      <c r="HK19" s="14">
        <v>1</v>
      </c>
      <c r="HL19" s="14">
        <v>1</v>
      </c>
      <c r="HM19" s="14">
        <v>1</v>
      </c>
      <c r="HN19" s="14">
        <v>2</v>
      </c>
      <c r="HO19" s="14">
        <v>3</v>
      </c>
      <c r="HP19" s="14">
        <v>1</v>
      </c>
      <c r="HQ19" s="14">
        <v>4</v>
      </c>
      <c r="HR19" s="14">
        <v>4</v>
      </c>
      <c r="HS19" s="14">
        <v>4</v>
      </c>
      <c r="HT19" s="14">
        <v>4</v>
      </c>
      <c r="HU19" s="14">
        <v>4</v>
      </c>
      <c r="HV19" s="14">
        <v>4</v>
      </c>
      <c r="HW19" s="14">
        <v>1</v>
      </c>
      <c r="HX19" s="14"/>
      <c r="HY19" s="14"/>
      <c r="HZ19" s="14"/>
      <c r="IA19" s="14"/>
      <c r="IB19" s="14">
        <v>2</v>
      </c>
      <c r="IC19" s="14">
        <v>2</v>
      </c>
      <c r="ID19" s="14">
        <v>2</v>
      </c>
      <c r="IE19" s="14">
        <v>2</v>
      </c>
      <c r="IF19" s="14">
        <v>2</v>
      </c>
      <c r="IG19" s="14">
        <v>2</v>
      </c>
      <c r="IH19" s="14">
        <v>2</v>
      </c>
      <c r="II19" s="14">
        <v>2</v>
      </c>
      <c r="IJ19" s="14">
        <v>2</v>
      </c>
      <c r="IK19" s="14">
        <v>2</v>
      </c>
      <c r="IL19" s="14">
        <v>2</v>
      </c>
      <c r="IM19" s="14">
        <v>2</v>
      </c>
      <c r="IN19" s="14">
        <v>1</v>
      </c>
      <c r="IO19" s="14"/>
      <c r="IP19" s="14">
        <v>1</v>
      </c>
      <c r="IQ19" s="14">
        <v>1</v>
      </c>
      <c r="IR19" s="14">
        <v>1</v>
      </c>
      <c r="IS19" s="14">
        <v>1</v>
      </c>
      <c r="IT19" s="14">
        <v>1</v>
      </c>
      <c r="IU19" s="14">
        <v>1</v>
      </c>
      <c r="IV19" s="14">
        <v>1</v>
      </c>
      <c r="IW19" s="14">
        <v>1</v>
      </c>
      <c r="IX19" s="14">
        <v>1</v>
      </c>
      <c r="IY19" s="14">
        <v>1</v>
      </c>
      <c r="IZ19" s="14">
        <v>1</v>
      </c>
      <c r="JA19" s="14">
        <v>1</v>
      </c>
      <c r="JB19" s="14">
        <v>1</v>
      </c>
      <c r="JC19" s="14">
        <v>1</v>
      </c>
      <c r="JD19" s="14">
        <v>1</v>
      </c>
      <c r="JE19" s="14">
        <v>1</v>
      </c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</row>
    <row r="20" spans="1:280" s="2" customFormat="1" x14ac:dyDescent="0.35">
      <c r="A20" s="2" t="s">
        <v>41</v>
      </c>
      <c r="BN20" s="2">
        <f>BN19*20</f>
        <v>120</v>
      </c>
      <c r="BO20" s="2">
        <f>BO19*20</f>
        <v>120</v>
      </c>
      <c r="BP20" s="2">
        <f t="shared" ref="BP20:BV20" si="249">BP19*20</f>
        <v>20</v>
      </c>
      <c r="BQ20" s="2">
        <f t="shared" si="249"/>
        <v>20</v>
      </c>
      <c r="BR20" s="2">
        <f t="shared" si="249"/>
        <v>40</v>
      </c>
      <c r="BS20" s="17">
        <f t="shared" si="249"/>
        <v>20</v>
      </c>
      <c r="BT20" s="17">
        <f t="shared" si="249"/>
        <v>0</v>
      </c>
      <c r="BU20" s="17">
        <f t="shared" si="249"/>
        <v>40</v>
      </c>
      <c r="BV20" s="17">
        <f t="shared" si="249"/>
        <v>40</v>
      </c>
      <c r="BW20" s="17">
        <f t="shared" ref="BW20:CC20" si="250">BW19*20</f>
        <v>20</v>
      </c>
      <c r="BX20" s="17">
        <f t="shared" si="250"/>
        <v>20</v>
      </c>
      <c r="BY20" s="17">
        <f t="shared" si="250"/>
        <v>20</v>
      </c>
      <c r="BZ20" s="17">
        <f t="shared" si="250"/>
        <v>20</v>
      </c>
      <c r="CA20" s="17">
        <f t="shared" si="250"/>
        <v>0</v>
      </c>
      <c r="CB20" s="17">
        <f t="shared" si="250"/>
        <v>0</v>
      </c>
      <c r="CC20" s="17">
        <f t="shared" si="250"/>
        <v>0</v>
      </c>
      <c r="CD20" s="17">
        <f t="shared" ref="CD20:CJ20" si="251">CD19*20</f>
        <v>0</v>
      </c>
      <c r="CE20" s="17">
        <f t="shared" si="251"/>
        <v>0</v>
      </c>
      <c r="CF20" s="17">
        <f t="shared" si="251"/>
        <v>0</v>
      </c>
      <c r="CG20" s="17">
        <f t="shared" si="251"/>
        <v>0</v>
      </c>
      <c r="CH20" s="17">
        <f t="shared" si="251"/>
        <v>0</v>
      </c>
      <c r="CI20" s="17">
        <f t="shared" si="251"/>
        <v>0</v>
      </c>
      <c r="CJ20" s="17">
        <f t="shared" si="251"/>
        <v>0</v>
      </c>
      <c r="CK20" s="17">
        <f t="shared" ref="CK20:CQ20" si="252">CK19*20</f>
        <v>0</v>
      </c>
      <c r="CL20" s="17">
        <f t="shared" si="252"/>
        <v>0</v>
      </c>
      <c r="CM20" s="17">
        <f t="shared" si="252"/>
        <v>0</v>
      </c>
      <c r="CN20" s="17">
        <f t="shared" si="252"/>
        <v>0</v>
      </c>
      <c r="CO20" s="17">
        <f t="shared" si="252"/>
        <v>20</v>
      </c>
      <c r="CP20" s="17">
        <f t="shared" si="252"/>
        <v>20</v>
      </c>
      <c r="CQ20" s="17">
        <f t="shared" si="252"/>
        <v>20</v>
      </c>
      <c r="CR20" s="17">
        <f t="shared" ref="CR20:CX20" si="253">CR19*20</f>
        <v>20</v>
      </c>
      <c r="CS20" s="17">
        <f t="shared" si="253"/>
        <v>20</v>
      </c>
      <c r="CT20" s="17">
        <f t="shared" si="253"/>
        <v>20</v>
      </c>
      <c r="CU20" s="17">
        <f t="shared" si="253"/>
        <v>20</v>
      </c>
      <c r="CV20" s="17">
        <f t="shared" si="253"/>
        <v>20</v>
      </c>
      <c r="CW20" s="17">
        <f t="shared" si="253"/>
        <v>0</v>
      </c>
      <c r="CX20" s="17">
        <f t="shared" si="253"/>
        <v>0</v>
      </c>
      <c r="CY20" s="17">
        <f t="shared" ref="CY20:DE20" si="254">CY19*20</f>
        <v>0</v>
      </c>
      <c r="CZ20" s="17">
        <f t="shared" si="254"/>
        <v>0</v>
      </c>
      <c r="DA20" s="17">
        <f t="shared" si="254"/>
        <v>0</v>
      </c>
      <c r="DB20" s="17">
        <f t="shared" si="254"/>
        <v>0</v>
      </c>
      <c r="DC20" s="17">
        <f t="shared" si="254"/>
        <v>0</v>
      </c>
      <c r="DD20" s="17">
        <f t="shared" si="254"/>
        <v>0</v>
      </c>
      <c r="DE20" s="17">
        <f t="shared" si="254"/>
        <v>0</v>
      </c>
      <c r="DF20" s="17">
        <f t="shared" ref="DF20:DM20" si="255">DF19*20</f>
        <v>20</v>
      </c>
      <c r="DG20" s="17">
        <f t="shared" si="255"/>
        <v>20</v>
      </c>
      <c r="DH20" s="17">
        <f t="shared" si="255"/>
        <v>20</v>
      </c>
      <c r="DI20" s="17">
        <f t="shared" si="255"/>
        <v>20</v>
      </c>
      <c r="DJ20" s="17">
        <f t="shared" si="255"/>
        <v>20</v>
      </c>
      <c r="DK20" s="17">
        <f t="shared" si="255"/>
        <v>0</v>
      </c>
      <c r="DL20" s="17">
        <f t="shared" si="255"/>
        <v>0</v>
      </c>
      <c r="DM20" s="17">
        <f t="shared" si="255"/>
        <v>0</v>
      </c>
      <c r="DN20" s="17">
        <f t="shared" ref="DN20:DS20" si="256">DN19*20</f>
        <v>0</v>
      </c>
      <c r="DO20" s="17">
        <f t="shared" si="256"/>
        <v>0</v>
      </c>
      <c r="DP20" s="17">
        <f t="shared" si="256"/>
        <v>0</v>
      </c>
      <c r="DQ20" s="17">
        <f t="shared" si="256"/>
        <v>0</v>
      </c>
      <c r="DR20" s="17">
        <f t="shared" si="256"/>
        <v>0</v>
      </c>
      <c r="DS20" s="17">
        <f t="shared" si="256"/>
        <v>0</v>
      </c>
      <c r="DT20" s="17">
        <f t="shared" ref="DT20:DZ20" si="257">DT19*20</f>
        <v>0</v>
      </c>
      <c r="DU20" s="17">
        <f t="shared" si="257"/>
        <v>0</v>
      </c>
      <c r="DV20" s="17">
        <f t="shared" si="257"/>
        <v>0</v>
      </c>
      <c r="DW20" s="17">
        <f t="shared" si="257"/>
        <v>0</v>
      </c>
      <c r="DX20" s="17">
        <f t="shared" si="257"/>
        <v>20</v>
      </c>
      <c r="DY20" s="17">
        <f t="shared" si="257"/>
        <v>20</v>
      </c>
      <c r="DZ20" s="17">
        <f t="shared" si="257"/>
        <v>20</v>
      </c>
      <c r="EA20" s="17">
        <f t="shared" ref="EA20:EG20" si="258">EA19*20</f>
        <v>0</v>
      </c>
      <c r="EB20" s="17">
        <f t="shared" si="258"/>
        <v>0</v>
      </c>
      <c r="EC20" s="17">
        <f t="shared" si="258"/>
        <v>0</v>
      </c>
      <c r="ED20" s="17">
        <f t="shared" si="258"/>
        <v>20</v>
      </c>
      <c r="EE20" s="17">
        <f t="shared" si="258"/>
        <v>20</v>
      </c>
      <c r="EF20" s="17">
        <f t="shared" si="258"/>
        <v>20</v>
      </c>
      <c r="EG20" s="17">
        <f t="shared" si="258"/>
        <v>20</v>
      </c>
      <c r="EH20" s="17">
        <f t="shared" ref="EH20:EN20" si="259">EH19*20</f>
        <v>40</v>
      </c>
      <c r="EI20" s="17">
        <f t="shared" si="259"/>
        <v>40</v>
      </c>
      <c r="EJ20" s="17">
        <f t="shared" si="259"/>
        <v>40</v>
      </c>
      <c r="EK20" s="17">
        <f t="shared" si="259"/>
        <v>40</v>
      </c>
      <c r="EL20" s="17">
        <f t="shared" si="259"/>
        <v>60</v>
      </c>
      <c r="EM20" s="17">
        <f t="shared" si="259"/>
        <v>80</v>
      </c>
      <c r="EN20" s="17">
        <f t="shared" si="259"/>
        <v>40</v>
      </c>
      <c r="EO20" s="17">
        <f t="shared" ref="EO20:EU20" si="260">EO19*20</f>
        <v>40</v>
      </c>
      <c r="EP20" s="17">
        <f t="shared" si="260"/>
        <v>40</v>
      </c>
      <c r="EQ20" s="17">
        <f t="shared" si="260"/>
        <v>40</v>
      </c>
      <c r="ER20" s="17">
        <f t="shared" si="260"/>
        <v>40</v>
      </c>
      <c r="ES20" s="17">
        <f t="shared" si="260"/>
        <v>40</v>
      </c>
      <c r="ET20" s="17">
        <f t="shared" si="260"/>
        <v>40</v>
      </c>
      <c r="EU20" s="17">
        <f t="shared" si="260"/>
        <v>40</v>
      </c>
      <c r="EV20" s="17">
        <f t="shared" ref="EV20:FD20" si="261">EV19*20</f>
        <v>20</v>
      </c>
      <c r="EW20" s="17">
        <f t="shared" si="261"/>
        <v>20</v>
      </c>
      <c r="EX20" s="17">
        <f t="shared" si="261"/>
        <v>20</v>
      </c>
      <c r="EY20" s="17">
        <f t="shared" si="261"/>
        <v>20</v>
      </c>
      <c r="EZ20" s="17">
        <f t="shared" si="261"/>
        <v>20</v>
      </c>
      <c r="FA20" s="17">
        <f t="shared" si="261"/>
        <v>20</v>
      </c>
      <c r="FB20" s="17">
        <f t="shared" si="261"/>
        <v>0</v>
      </c>
      <c r="FC20" s="17">
        <f t="shared" si="261"/>
        <v>0</v>
      </c>
      <c r="FD20" s="17">
        <f t="shared" si="261"/>
        <v>0</v>
      </c>
      <c r="FE20" s="17">
        <f t="shared" ref="FE20:FR20" si="262">FE19*20</f>
        <v>0</v>
      </c>
      <c r="FF20" s="17">
        <f t="shared" si="262"/>
        <v>0</v>
      </c>
      <c r="FG20" s="17">
        <f t="shared" si="262"/>
        <v>0</v>
      </c>
      <c r="FH20" s="17">
        <f t="shared" si="262"/>
        <v>0</v>
      </c>
      <c r="FI20" s="17">
        <f t="shared" si="262"/>
        <v>0</v>
      </c>
      <c r="FJ20" s="17">
        <f t="shared" si="262"/>
        <v>0</v>
      </c>
      <c r="FK20" s="17">
        <f t="shared" si="262"/>
        <v>0</v>
      </c>
      <c r="FL20" s="17">
        <f t="shared" si="262"/>
        <v>0</v>
      </c>
      <c r="FM20" s="17">
        <f t="shared" si="262"/>
        <v>0</v>
      </c>
      <c r="FN20" s="17">
        <f t="shared" si="262"/>
        <v>0</v>
      </c>
      <c r="FO20" s="17">
        <f t="shared" si="262"/>
        <v>0</v>
      </c>
      <c r="FP20" s="17">
        <f t="shared" si="262"/>
        <v>0</v>
      </c>
      <c r="FQ20" s="17">
        <f t="shared" si="262"/>
        <v>20</v>
      </c>
      <c r="FR20" s="17">
        <f t="shared" si="262"/>
        <v>40</v>
      </c>
      <c r="FS20" s="17">
        <f t="shared" ref="FS20:FY20" si="263">FS19*20</f>
        <v>0</v>
      </c>
      <c r="FT20" s="17">
        <f t="shared" si="263"/>
        <v>0</v>
      </c>
      <c r="FU20" s="17">
        <f t="shared" si="263"/>
        <v>0</v>
      </c>
      <c r="FV20" s="17">
        <f t="shared" si="263"/>
        <v>0</v>
      </c>
      <c r="FW20" s="17">
        <f t="shared" si="263"/>
        <v>0</v>
      </c>
      <c r="FX20" s="17">
        <f t="shared" si="263"/>
        <v>0</v>
      </c>
      <c r="FY20" s="17">
        <f t="shared" si="263"/>
        <v>0</v>
      </c>
      <c r="FZ20" s="17">
        <f t="shared" ref="FZ20:GF20" si="264">FZ19*20</f>
        <v>0</v>
      </c>
      <c r="GA20" s="17">
        <f t="shared" si="264"/>
        <v>20</v>
      </c>
      <c r="GB20" s="17">
        <f t="shared" si="264"/>
        <v>20</v>
      </c>
      <c r="GC20" s="17">
        <f t="shared" si="264"/>
        <v>20</v>
      </c>
      <c r="GD20" s="17">
        <f t="shared" si="264"/>
        <v>20</v>
      </c>
      <c r="GE20" s="17">
        <f t="shared" si="264"/>
        <v>20</v>
      </c>
      <c r="GF20" s="17">
        <f t="shared" si="264"/>
        <v>20</v>
      </c>
      <c r="GG20" s="17">
        <f t="shared" ref="GG20:GK20" si="265">GG19*20</f>
        <v>20</v>
      </c>
      <c r="GH20" s="17">
        <f t="shared" si="265"/>
        <v>20</v>
      </c>
      <c r="GI20" s="17">
        <f t="shared" si="265"/>
        <v>20</v>
      </c>
      <c r="GJ20" s="17">
        <f t="shared" si="265"/>
        <v>20</v>
      </c>
      <c r="GK20" s="17">
        <f t="shared" si="265"/>
        <v>20</v>
      </c>
      <c r="GL20" s="17">
        <f t="shared" ref="GL20:GR20" si="266">GL19*20</f>
        <v>0</v>
      </c>
      <c r="GM20" s="17">
        <f t="shared" si="266"/>
        <v>0</v>
      </c>
      <c r="GN20" s="17">
        <f t="shared" si="266"/>
        <v>20</v>
      </c>
      <c r="GO20" s="17">
        <f t="shared" si="266"/>
        <v>20</v>
      </c>
      <c r="GP20" s="17">
        <f t="shared" si="266"/>
        <v>20</v>
      </c>
      <c r="GQ20" s="17">
        <f t="shared" si="266"/>
        <v>20</v>
      </c>
      <c r="GR20" s="17">
        <f t="shared" si="266"/>
        <v>40</v>
      </c>
      <c r="GS20" s="17">
        <f t="shared" ref="GS20:GT20" si="267">GS19*20</f>
        <v>20</v>
      </c>
      <c r="GT20" s="17">
        <f t="shared" si="267"/>
        <v>20</v>
      </c>
      <c r="GU20" s="17">
        <f t="shared" ref="GU20:GY20" si="268">GU19*20</f>
        <v>20</v>
      </c>
      <c r="GV20" s="17">
        <f t="shared" si="268"/>
        <v>20</v>
      </c>
      <c r="GW20" s="17">
        <f t="shared" si="268"/>
        <v>20</v>
      </c>
      <c r="GX20" s="17">
        <f t="shared" si="268"/>
        <v>20</v>
      </c>
      <c r="GY20" s="17">
        <f t="shared" si="268"/>
        <v>20</v>
      </c>
      <c r="GZ20" s="17">
        <f t="shared" ref="GZ20:HF20" si="269">GZ19*20</f>
        <v>20</v>
      </c>
      <c r="HA20" s="17">
        <f t="shared" si="269"/>
        <v>0</v>
      </c>
      <c r="HB20" s="17">
        <f t="shared" si="269"/>
        <v>0</v>
      </c>
      <c r="HC20" s="17">
        <f t="shared" si="269"/>
        <v>0</v>
      </c>
      <c r="HD20" s="17">
        <f t="shared" si="269"/>
        <v>0</v>
      </c>
      <c r="HE20" s="17">
        <f t="shared" si="269"/>
        <v>0</v>
      </c>
      <c r="HF20" s="17">
        <f t="shared" si="269"/>
        <v>0</v>
      </c>
      <c r="HG20" s="17">
        <f t="shared" ref="HG20:HM20" si="270">HG19*20</f>
        <v>20</v>
      </c>
      <c r="HH20" s="17">
        <f t="shared" si="270"/>
        <v>20</v>
      </c>
      <c r="HI20" s="17">
        <f t="shared" si="270"/>
        <v>20</v>
      </c>
      <c r="HJ20" s="17">
        <f t="shared" si="270"/>
        <v>20</v>
      </c>
      <c r="HK20" s="17">
        <f t="shared" si="270"/>
        <v>20</v>
      </c>
      <c r="HL20" s="17">
        <f t="shared" si="270"/>
        <v>20</v>
      </c>
      <c r="HM20" s="17">
        <f t="shared" si="270"/>
        <v>20</v>
      </c>
      <c r="HN20" s="17">
        <f t="shared" ref="HN20:HT20" si="271">HN19*20</f>
        <v>40</v>
      </c>
      <c r="HO20" s="17">
        <f t="shared" si="271"/>
        <v>60</v>
      </c>
      <c r="HP20" s="17">
        <f t="shared" si="271"/>
        <v>20</v>
      </c>
      <c r="HQ20" s="17">
        <f t="shared" si="271"/>
        <v>80</v>
      </c>
      <c r="HR20" s="17">
        <f t="shared" si="271"/>
        <v>80</v>
      </c>
      <c r="HS20" s="17">
        <f t="shared" si="271"/>
        <v>80</v>
      </c>
      <c r="HT20" s="17">
        <f t="shared" si="271"/>
        <v>80</v>
      </c>
      <c r="HU20" s="17">
        <f t="shared" ref="HU20:IC20" si="272">HU19*20</f>
        <v>80</v>
      </c>
      <c r="HV20" s="17">
        <f t="shared" si="272"/>
        <v>80</v>
      </c>
      <c r="HW20" s="17">
        <f t="shared" si="272"/>
        <v>20</v>
      </c>
      <c r="HX20" s="17">
        <f t="shared" si="272"/>
        <v>0</v>
      </c>
      <c r="HY20" s="17">
        <f t="shared" si="272"/>
        <v>0</v>
      </c>
      <c r="HZ20" s="17">
        <f t="shared" si="272"/>
        <v>0</v>
      </c>
      <c r="IA20" s="17">
        <f t="shared" si="272"/>
        <v>0</v>
      </c>
      <c r="IB20" s="17">
        <f t="shared" si="272"/>
        <v>40</v>
      </c>
      <c r="IC20" s="17">
        <f t="shared" si="272"/>
        <v>40</v>
      </c>
      <c r="ID20" s="17">
        <f t="shared" ref="ID20:IO20" si="273">ID19*20</f>
        <v>40</v>
      </c>
      <c r="IE20" s="17">
        <f t="shared" si="273"/>
        <v>40</v>
      </c>
      <c r="IF20" s="17">
        <f t="shared" si="273"/>
        <v>40</v>
      </c>
      <c r="IG20" s="17">
        <f t="shared" si="273"/>
        <v>40</v>
      </c>
      <c r="IH20" s="17">
        <f t="shared" si="273"/>
        <v>40</v>
      </c>
      <c r="II20" s="17">
        <f t="shared" si="273"/>
        <v>40</v>
      </c>
      <c r="IJ20" s="17">
        <f t="shared" si="273"/>
        <v>40</v>
      </c>
      <c r="IK20" s="17">
        <f t="shared" si="273"/>
        <v>40</v>
      </c>
      <c r="IL20" s="17">
        <f t="shared" si="273"/>
        <v>40</v>
      </c>
      <c r="IM20" s="17">
        <f t="shared" si="273"/>
        <v>40</v>
      </c>
      <c r="IN20" s="17">
        <f t="shared" si="273"/>
        <v>20</v>
      </c>
      <c r="IO20" s="17">
        <f t="shared" si="273"/>
        <v>0</v>
      </c>
      <c r="IP20" s="17">
        <f t="shared" ref="IP20:IV20" si="274">IP19*20</f>
        <v>20</v>
      </c>
      <c r="IQ20" s="17">
        <f t="shared" si="274"/>
        <v>20</v>
      </c>
      <c r="IR20" s="17">
        <f t="shared" si="274"/>
        <v>20</v>
      </c>
      <c r="IS20" s="17">
        <f t="shared" si="274"/>
        <v>20</v>
      </c>
      <c r="IT20" s="17">
        <f t="shared" si="274"/>
        <v>20</v>
      </c>
      <c r="IU20" s="17">
        <f t="shared" si="274"/>
        <v>20</v>
      </c>
      <c r="IV20" s="17">
        <f t="shared" si="274"/>
        <v>20</v>
      </c>
      <c r="IW20" s="17">
        <f t="shared" ref="IW20:JC20" si="275">IW19*20</f>
        <v>20</v>
      </c>
      <c r="IX20" s="17">
        <f t="shared" si="275"/>
        <v>20</v>
      </c>
      <c r="IY20" s="17">
        <f t="shared" si="275"/>
        <v>20</v>
      </c>
      <c r="IZ20" s="17">
        <f t="shared" si="275"/>
        <v>20</v>
      </c>
      <c r="JA20" s="17">
        <f t="shared" si="275"/>
        <v>20</v>
      </c>
      <c r="JB20" s="17">
        <f t="shared" si="275"/>
        <v>20</v>
      </c>
      <c r="JC20" s="17">
        <f t="shared" si="275"/>
        <v>20</v>
      </c>
      <c r="JD20" s="17">
        <f t="shared" ref="JD20:JJ20" si="276">JD19*20</f>
        <v>20</v>
      </c>
      <c r="JE20" s="17">
        <f t="shared" si="276"/>
        <v>20</v>
      </c>
      <c r="JF20" s="17">
        <f t="shared" si="276"/>
        <v>0</v>
      </c>
      <c r="JG20" s="17">
        <f t="shared" si="276"/>
        <v>0</v>
      </c>
      <c r="JH20" s="17">
        <f t="shared" si="276"/>
        <v>0</v>
      </c>
      <c r="JI20" s="17">
        <f t="shared" si="276"/>
        <v>0</v>
      </c>
      <c r="JJ20" s="17">
        <f t="shared" si="276"/>
        <v>0</v>
      </c>
      <c r="JK20" s="17">
        <f t="shared" ref="JK20:JT20" si="277">JK19*20</f>
        <v>0</v>
      </c>
      <c r="JL20" s="17">
        <f t="shared" si="277"/>
        <v>0</v>
      </c>
      <c r="JM20" s="17">
        <f t="shared" si="277"/>
        <v>0</v>
      </c>
      <c r="JN20" s="17">
        <f t="shared" si="277"/>
        <v>0</v>
      </c>
      <c r="JO20" s="17">
        <f t="shared" si="277"/>
        <v>0</v>
      </c>
      <c r="JP20" s="17">
        <f t="shared" si="277"/>
        <v>0</v>
      </c>
      <c r="JQ20" s="17">
        <f t="shared" si="277"/>
        <v>0</v>
      </c>
      <c r="JR20" s="17">
        <f t="shared" si="277"/>
        <v>0</v>
      </c>
      <c r="JS20" s="17">
        <f t="shared" si="277"/>
        <v>0</v>
      </c>
      <c r="JT20" s="17">
        <f t="shared" si="277"/>
        <v>0</v>
      </c>
    </row>
    <row r="21" spans="1:280" s="1" customFormat="1" x14ac:dyDescent="0.35">
      <c r="A21" s="1" t="s">
        <v>78</v>
      </c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>
        <v>1</v>
      </c>
      <c r="IC21" s="14">
        <v>1</v>
      </c>
      <c r="ID21" s="14">
        <v>1</v>
      </c>
      <c r="IE21" s="14">
        <v>1</v>
      </c>
      <c r="IF21" s="14">
        <v>1</v>
      </c>
      <c r="IG21" s="14">
        <v>1</v>
      </c>
      <c r="IH21" s="14">
        <v>1</v>
      </c>
      <c r="II21" s="14">
        <v>1</v>
      </c>
      <c r="IJ21" s="14">
        <v>1</v>
      </c>
      <c r="IK21" s="14">
        <v>1</v>
      </c>
      <c r="IL21" s="14">
        <v>1</v>
      </c>
      <c r="IM21" s="14">
        <v>1</v>
      </c>
      <c r="IN21" s="14">
        <v>1</v>
      </c>
      <c r="IO21" s="14">
        <v>1</v>
      </c>
      <c r="IP21" s="14">
        <v>1</v>
      </c>
      <c r="IQ21" s="14">
        <v>1</v>
      </c>
      <c r="IR21" s="14">
        <v>1</v>
      </c>
      <c r="IS21" s="14">
        <v>1</v>
      </c>
      <c r="IT21" s="14">
        <v>1</v>
      </c>
      <c r="IU21" s="14">
        <v>1</v>
      </c>
      <c r="IV21" s="14">
        <v>1</v>
      </c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</row>
    <row r="22" spans="1:280" s="2" customFormat="1" x14ac:dyDescent="0.35">
      <c r="A22" s="2" t="s">
        <v>41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>
        <f>HZ21*16.38</f>
        <v>0</v>
      </c>
      <c r="IA22" s="17">
        <f t="shared" ref="IA22:JJ22" si="278">IA21*16.38</f>
        <v>0</v>
      </c>
      <c r="IB22" s="17">
        <f t="shared" si="278"/>
        <v>16.38</v>
      </c>
      <c r="IC22" s="17">
        <f t="shared" si="278"/>
        <v>16.38</v>
      </c>
      <c r="ID22" s="17">
        <f t="shared" si="278"/>
        <v>16.38</v>
      </c>
      <c r="IE22" s="17">
        <f t="shared" si="278"/>
        <v>16.38</v>
      </c>
      <c r="IF22" s="17">
        <f t="shared" si="278"/>
        <v>16.38</v>
      </c>
      <c r="IG22" s="17">
        <f t="shared" si="278"/>
        <v>16.38</v>
      </c>
      <c r="IH22" s="17">
        <f t="shared" si="278"/>
        <v>16.38</v>
      </c>
      <c r="II22" s="17">
        <f t="shared" si="278"/>
        <v>16.38</v>
      </c>
      <c r="IJ22" s="17">
        <f t="shared" si="278"/>
        <v>16.38</v>
      </c>
      <c r="IK22" s="17">
        <f t="shared" si="278"/>
        <v>16.38</v>
      </c>
      <c r="IL22" s="17">
        <f t="shared" si="278"/>
        <v>16.38</v>
      </c>
      <c r="IM22" s="17">
        <f t="shared" si="278"/>
        <v>16.38</v>
      </c>
      <c r="IN22" s="17">
        <f t="shared" si="278"/>
        <v>16.38</v>
      </c>
      <c r="IO22" s="17">
        <f t="shared" si="278"/>
        <v>16.38</v>
      </c>
      <c r="IP22" s="17">
        <f t="shared" si="278"/>
        <v>16.38</v>
      </c>
      <c r="IQ22" s="17">
        <f t="shared" si="278"/>
        <v>16.38</v>
      </c>
      <c r="IR22" s="17">
        <f t="shared" si="278"/>
        <v>16.38</v>
      </c>
      <c r="IS22" s="17">
        <f t="shared" si="278"/>
        <v>16.38</v>
      </c>
      <c r="IT22" s="17">
        <f t="shared" si="278"/>
        <v>16.38</v>
      </c>
      <c r="IU22" s="17">
        <f t="shared" si="278"/>
        <v>16.38</v>
      </c>
      <c r="IV22" s="17">
        <f t="shared" si="278"/>
        <v>16.38</v>
      </c>
      <c r="IW22" s="17">
        <f t="shared" si="278"/>
        <v>0</v>
      </c>
      <c r="IX22" s="17">
        <f t="shared" si="278"/>
        <v>0</v>
      </c>
      <c r="IY22" s="17">
        <f t="shared" si="278"/>
        <v>0</v>
      </c>
      <c r="IZ22" s="17">
        <f t="shared" si="278"/>
        <v>0</v>
      </c>
      <c r="JA22" s="17">
        <f t="shared" si="278"/>
        <v>0</v>
      </c>
      <c r="JB22" s="17">
        <f t="shared" si="278"/>
        <v>0</v>
      </c>
      <c r="JC22" s="17">
        <f t="shared" si="278"/>
        <v>0</v>
      </c>
      <c r="JD22" s="17">
        <f t="shared" si="278"/>
        <v>0</v>
      </c>
      <c r="JE22" s="17">
        <f t="shared" si="278"/>
        <v>0</v>
      </c>
      <c r="JF22" s="17">
        <f t="shared" si="278"/>
        <v>0</v>
      </c>
      <c r="JG22" s="17">
        <f t="shared" si="278"/>
        <v>0</v>
      </c>
      <c r="JH22" s="17">
        <f t="shared" si="278"/>
        <v>0</v>
      </c>
      <c r="JI22" s="17">
        <f t="shared" si="278"/>
        <v>0</v>
      </c>
      <c r="JJ22" s="17">
        <f t="shared" si="278"/>
        <v>0</v>
      </c>
      <c r="JK22" s="17">
        <f t="shared" ref="JK22:JT22" si="279">JK21*16.38</f>
        <v>0</v>
      </c>
      <c r="JL22" s="17">
        <f t="shared" si="279"/>
        <v>0</v>
      </c>
      <c r="JM22" s="17">
        <f t="shared" si="279"/>
        <v>0</v>
      </c>
      <c r="JN22" s="17">
        <f t="shared" si="279"/>
        <v>0</v>
      </c>
      <c r="JO22" s="17">
        <f t="shared" si="279"/>
        <v>0</v>
      </c>
      <c r="JP22" s="17">
        <f t="shared" si="279"/>
        <v>0</v>
      </c>
      <c r="JQ22" s="17">
        <f t="shared" si="279"/>
        <v>0</v>
      </c>
      <c r="JR22" s="17">
        <f t="shared" si="279"/>
        <v>0</v>
      </c>
      <c r="JS22" s="17">
        <f t="shared" si="279"/>
        <v>0</v>
      </c>
      <c r="JT22" s="17">
        <f t="shared" si="279"/>
        <v>0</v>
      </c>
    </row>
    <row r="23" spans="1:280" s="10" customFormat="1" x14ac:dyDescent="0.35">
      <c r="A23" s="10" t="s">
        <v>55</v>
      </c>
      <c r="AD23" s="10">
        <f>SUM(AD15:AD19)*33.3</f>
        <v>99.899999999999991</v>
      </c>
      <c r="AE23" s="10">
        <f>SUM(AE15:AE19)*33.3</f>
        <v>99.899999999999991</v>
      </c>
      <c r="AG23" s="16">
        <f t="shared" ref="AG23:AR23" si="280">SUM(AG15:AG19)*33.3</f>
        <v>99.899999999999991</v>
      </c>
      <c r="AH23" s="16">
        <f t="shared" si="280"/>
        <v>99.899999999999991</v>
      </c>
      <c r="AI23" s="16">
        <f t="shared" si="280"/>
        <v>66.599999999999994</v>
      </c>
      <c r="AJ23" s="16">
        <f t="shared" si="280"/>
        <v>66.599999999999994</v>
      </c>
      <c r="AK23" s="16">
        <f t="shared" si="280"/>
        <v>66.599999999999994</v>
      </c>
      <c r="AL23" s="16">
        <f t="shared" si="280"/>
        <v>99.899999999999991</v>
      </c>
      <c r="AM23" s="16">
        <f t="shared" si="280"/>
        <v>99.899999999999991</v>
      </c>
      <c r="AN23" s="16">
        <f t="shared" si="280"/>
        <v>66.599999999999994</v>
      </c>
      <c r="AO23" s="16">
        <f t="shared" si="280"/>
        <v>66.599999999999994</v>
      </c>
      <c r="AP23" s="16">
        <f t="shared" si="280"/>
        <v>66.599999999999994</v>
      </c>
      <c r="AQ23" s="16">
        <f t="shared" si="280"/>
        <v>66.599999999999994</v>
      </c>
      <c r="AR23" s="16">
        <f t="shared" si="280"/>
        <v>66.599999999999994</v>
      </c>
      <c r="AS23" s="16">
        <f t="shared" ref="AS23:BM23" si="281">SUM(AS15:AS19)*20</f>
        <v>40</v>
      </c>
      <c r="AT23" s="16">
        <f t="shared" si="281"/>
        <v>40</v>
      </c>
      <c r="AU23" s="16">
        <f t="shared" si="281"/>
        <v>60</v>
      </c>
      <c r="AV23" s="16">
        <f t="shared" si="281"/>
        <v>60</v>
      </c>
      <c r="AW23" s="16">
        <f t="shared" si="281"/>
        <v>60</v>
      </c>
      <c r="AX23" s="16">
        <f t="shared" si="281"/>
        <v>60</v>
      </c>
      <c r="AY23" s="16">
        <f t="shared" si="281"/>
        <v>40</v>
      </c>
      <c r="AZ23" s="16">
        <f t="shared" si="281"/>
        <v>60</v>
      </c>
      <c r="BA23" s="16">
        <f t="shared" si="281"/>
        <v>100</v>
      </c>
      <c r="BB23" s="16">
        <f t="shared" si="281"/>
        <v>60</v>
      </c>
      <c r="BC23" s="16">
        <f t="shared" si="281"/>
        <v>60</v>
      </c>
      <c r="BD23" s="16">
        <f t="shared" si="281"/>
        <v>60</v>
      </c>
      <c r="BE23" s="16">
        <f t="shared" si="281"/>
        <v>60</v>
      </c>
      <c r="BF23" s="16">
        <f t="shared" si="281"/>
        <v>60</v>
      </c>
      <c r="BG23" s="16">
        <f t="shared" si="281"/>
        <v>120</v>
      </c>
      <c r="BH23" s="16">
        <f t="shared" si="281"/>
        <v>120</v>
      </c>
      <c r="BI23" s="16">
        <f t="shared" si="281"/>
        <v>140</v>
      </c>
      <c r="BJ23" s="16">
        <f t="shared" si="281"/>
        <v>140</v>
      </c>
      <c r="BK23" s="16">
        <f t="shared" si="281"/>
        <v>160</v>
      </c>
      <c r="BL23" s="16">
        <f t="shared" si="281"/>
        <v>160</v>
      </c>
      <c r="BM23" s="16">
        <f t="shared" si="281"/>
        <v>140</v>
      </c>
      <c r="BN23" s="16">
        <f t="shared" ref="BN23:CS23" si="282">SUM(BN16,BN18,BN20,)</f>
        <v>120</v>
      </c>
      <c r="BO23" s="16">
        <f t="shared" si="282"/>
        <v>160</v>
      </c>
      <c r="BP23" s="16">
        <f t="shared" si="282"/>
        <v>60</v>
      </c>
      <c r="BQ23" s="16">
        <f t="shared" si="282"/>
        <v>60</v>
      </c>
      <c r="BR23" s="16">
        <f t="shared" si="282"/>
        <v>60</v>
      </c>
      <c r="BS23" s="16">
        <f t="shared" si="282"/>
        <v>40</v>
      </c>
      <c r="BT23" s="16">
        <f t="shared" si="282"/>
        <v>20</v>
      </c>
      <c r="BU23" s="16">
        <f t="shared" si="282"/>
        <v>60</v>
      </c>
      <c r="BV23" s="16">
        <f t="shared" si="282"/>
        <v>60</v>
      </c>
      <c r="BW23" s="16">
        <f t="shared" si="282"/>
        <v>40</v>
      </c>
      <c r="BX23" s="16">
        <f t="shared" si="282"/>
        <v>40</v>
      </c>
      <c r="BY23" s="16">
        <f t="shared" si="282"/>
        <v>40</v>
      </c>
      <c r="BZ23" s="16">
        <f t="shared" si="282"/>
        <v>40</v>
      </c>
      <c r="CA23" s="16">
        <f t="shared" si="282"/>
        <v>0</v>
      </c>
      <c r="CB23" s="16">
        <f t="shared" si="282"/>
        <v>20</v>
      </c>
      <c r="CC23" s="16">
        <f t="shared" si="282"/>
        <v>20</v>
      </c>
      <c r="CD23" s="16">
        <f t="shared" si="282"/>
        <v>0</v>
      </c>
      <c r="CE23" s="16">
        <f t="shared" si="282"/>
        <v>0</v>
      </c>
      <c r="CF23" s="16">
        <f t="shared" si="282"/>
        <v>0</v>
      </c>
      <c r="CG23" s="16">
        <f t="shared" si="282"/>
        <v>0</v>
      </c>
      <c r="CH23" s="16">
        <f t="shared" si="282"/>
        <v>0</v>
      </c>
      <c r="CI23" s="16">
        <f t="shared" si="282"/>
        <v>0</v>
      </c>
      <c r="CJ23" s="16">
        <f t="shared" si="282"/>
        <v>0</v>
      </c>
      <c r="CK23" s="16">
        <f t="shared" si="282"/>
        <v>0</v>
      </c>
      <c r="CL23" s="16">
        <f t="shared" si="282"/>
        <v>0</v>
      </c>
      <c r="CM23" s="16">
        <f t="shared" si="282"/>
        <v>0</v>
      </c>
      <c r="CN23" s="16">
        <f t="shared" si="282"/>
        <v>0</v>
      </c>
      <c r="CO23" s="16">
        <f t="shared" si="282"/>
        <v>60</v>
      </c>
      <c r="CP23" s="16">
        <f t="shared" si="282"/>
        <v>60</v>
      </c>
      <c r="CQ23" s="16">
        <f t="shared" si="282"/>
        <v>60</v>
      </c>
      <c r="CR23" s="16">
        <f t="shared" si="282"/>
        <v>20</v>
      </c>
      <c r="CS23" s="16">
        <f t="shared" si="282"/>
        <v>20</v>
      </c>
      <c r="CT23" s="16">
        <f t="shared" ref="CT23:DY23" si="283">SUM(CT16,CT18,CT20,)</f>
        <v>20</v>
      </c>
      <c r="CU23" s="16">
        <f t="shared" si="283"/>
        <v>20</v>
      </c>
      <c r="CV23" s="16">
        <f t="shared" si="283"/>
        <v>20</v>
      </c>
      <c r="CW23" s="16">
        <f t="shared" si="283"/>
        <v>20</v>
      </c>
      <c r="CX23" s="16">
        <f t="shared" si="283"/>
        <v>20</v>
      </c>
      <c r="CY23" s="16">
        <f t="shared" si="283"/>
        <v>60</v>
      </c>
      <c r="CZ23" s="16">
        <f t="shared" si="283"/>
        <v>60</v>
      </c>
      <c r="DA23" s="16">
        <f t="shared" si="283"/>
        <v>40</v>
      </c>
      <c r="DB23" s="16">
        <f t="shared" si="283"/>
        <v>40</v>
      </c>
      <c r="DC23" s="16">
        <f t="shared" si="283"/>
        <v>40</v>
      </c>
      <c r="DD23" s="16">
        <f t="shared" si="283"/>
        <v>20</v>
      </c>
      <c r="DE23" s="16">
        <f t="shared" si="283"/>
        <v>20</v>
      </c>
      <c r="DF23" s="16">
        <f t="shared" si="283"/>
        <v>40</v>
      </c>
      <c r="DG23" s="16">
        <f t="shared" si="283"/>
        <v>40</v>
      </c>
      <c r="DH23" s="16">
        <f t="shared" si="283"/>
        <v>40</v>
      </c>
      <c r="DI23" s="16">
        <f t="shared" si="283"/>
        <v>40</v>
      </c>
      <c r="DJ23" s="16">
        <f t="shared" si="283"/>
        <v>40</v>
      </c>
      <c r="DK23" s="16">
        <f t="shared" si="283"/>
        <v>0</v>
      </c>
      <c r="DL23" s="16">
        <f t="shared" si="283"/>
        <v>0</v>
      </c>
      <c r="DM23" s="16">
        <f t="shared" si="283"/>
        <v>20</v>
      </c>
      <c r="DN23" s="16">
        <f t="shared" si="283"/>
        <v>20</v>
      </c>
      <c r="DO23" s="16">
        <f t="shared" si="283"/>
        <v>20</v>
      </c>
      <c r="DP23" s="16">
        <f t="shared" si="283"/>
        <v>20</v>
      </c>
      <c r="DQ23" s="16">
        <f t="shared" si="283"/>
        <v>20</v>
      </c>
      <c r="DR23" s="16">
        <f t="shared" si="283"/>
        <v>0</v>
      </c>
      <c r="DS23" s="16">
        <f t="shared" si="283"/>
        <v>0</v>
      </c>
      <c r="DT23" s="16">
        <f t="shared" si="283"/>
        <v>40</v>
      </c>
      <c r="DU23" s="16">
        <f t="shared" si="283"/>
        <v>40</v>
      </c>
      <c r="DV23" s="16">
        <f t="shared" si="283"/>
        <v>40</v>
      </c>
      <c r="DW23" s="16">
        <f t="shared" si="283"/>
        <v>40</v>
      </c>
      <c r="DX23" s="16">
        <f t="shared" si="283"/>
        <v>40</v>
      </c>
      <c r="DY23" s="16">
        <f t="shared" si="283"/>
        <v>40</v>
      </c>
      <c r="DZ23" s="16">
        <f t="shared" ref="DZ23:FE23" si="284">SUM(DZ16,DZ18,DZ20,)</f>
        <v>40</v>
      </c>
      <c r="EA23" s="16">
        <f t="shared" si="284"/>
        <v>0</v>
      </c>
      <c r="EB23" s="16">
        <f t="shared" si="284"/>
        <v>0</v>
      </c>
      <c r="EC23" s="16">
        <f t="shared" si="284"/>
        <v>0</v>
      </c>
      <c r="ED23" s="16">
        <f t="shared" si="284"/>
        <v>40</v>
      </c>
      <c r="EE23" s="16">
        <f t="shared" si="284"/>
        <v>40</v>
      </c>
      <c r="EF23" s="16">
        <f t="shared" si="284"/>
        <v>40</v>
      </c>
      <c r="EG23" s="16">
        <f t="shared" si="284"/>
        <v>40</v>
      </c>
      <c r="EH23" s="16">
        <f t="shared" si="284"/>
        <v>60</v>
      </c>
      <c r="EI23" s="16">
        <f t="shared" si="284"/>
        <v>60</v>
      </c>
      <c r="EJ23" s="16">
        <f t="shared" si="284"/>
        <v>60</v>
      </c>
      <c r="EK23" s="16">
        <f t="shared" si="284"/>
        <v>60</v>
      </c>
      <c r="EL23" s="16">
        <f t="shared" si="284"/>
        <v>60</v>
      </c>
      <c r="EM23" s="16">
        <f t="shared" si="284"/>
        <v>80</v>
      </c>
      <c r="EN23" s="16">
        <f t="shared" si="284"/>
        <v>40</v>
      </c>
      <c r="EO23" s="16">
        <f t="shared" si="284"/>
        <v>80</v>
      </c>
      <c r="EP23" s="16">
        <f t="shared" si="284"/>
        <v>80</v>
      </c>
      <c r="EQ23" s="16">
        <f t="shared" si="284"/>
        <v>80</v>
      </c>
      <c r="ER23" s="16">
        <f t="shared" si="284"/>
        <v>80</v>
      </c>
      <c r="ES23" s="16">
        <f t="shared" si="284"/>
        <v>80</v>
      </c>
      <c r="ET23" s="16">
        <f t="shared" si="284"/>
        <v>80</v>
      </c>
      <c r="EU23" s="16">
        <f t="shared" si="284"/>
        <v>80</v>
      </c>
      <c r="EV23" s="16">
        <f t="shared" si="284"/>
        <v>20</v>
      </c>
      <c r="EW23" s="16">
        <f t="shared" si="284"/>
        <v>20</v>
      </c>
      <c r="EX23" s="16">
        <f t="shared" si="284"/>
        <v>60</v>
      </c>
      <c r="EY23" s="16">
        <f t="shared" si="284"/>
        <v>60</v>
      </c>
      <c r="EZ23" s="16">
        <f t="shared" si="284"/>
        <v>60</v>
      </c>
      <c r="FA23" s="16">
        <f t="shared" si="284"/>
        <v>60</v>
      </c>
      <c r="FB23" s="16">
        <f t="shared" si="284"/>
        <v>40</v>
      </c>
      <c r="FC23" s="16">
        <f t="shared" si="284"/>
        <v>0</v>
      </c>
      <c r="FD23" s="16">
        <f t="shared" si="284"/>
        <v>0</v>
      </c>
      <c r="FE23" s="16">
        <f t="shared" si="284"/>
        <v>0</v>
      </c>
      <c r="FF23" s="16">
        <f t="shared" ref="FF23:GK23" si="285">SUM(FF16,FF18,FF20,)</f>
        <v>0</v>
      </c>
      <c r="FG23" s="16">
        <f t="shared" si="285"/>
        <v>0</v>
      </c>
      <c r="FH23" s="16">
        <f t="shared" si="285"/>
        <v>0</v>
      </c>
      <c r="FI23" s="16">
        <f t="shared" si="285"/>
        <v>0</v>
      </c>
      <c r="FJ23" s="16">
        <f t="shared" si="285"/>
        <v>40</v>
      </c>
      <c r="FK23" s="16">
        <f t="shared" si="285"/>
        <v>40</v>
      </c>
      <c r="FL23" s="16">
        <f t="shared" si="285"/>
        <v>40</v>
      </c>
      <c r="FM23" s="16">
        <f t="shared" si="285"/>
        <v>40</v>
      </c>
      <c r="FN23" s="16">
        <f t="shared" si="285"/>
        <v>40</v>
      </c>
      <c r="FO23" s="16">
        <f t="shared" si="285"/>
        <v>40</v>
      </c>
      <c r="FP23" s="16">
        <f t="shared" si="285"/>
        <v>40</v>
      </c>
      <c r="FQ23" s="16">
        <f t="shared" si="285"/>
        <v>60</v>
      </c>
      <c r="FR23" s="16">
        <f t="shared" si="285"/>
        <v>60</v>
      </c>
      <c r="FS23" s="16">
        <f t="shared" si="285"/>
        <v>0</v>
      </c>
      <c r="FT23" s="16">
        <f t="shared" si="285"/>
        <v>0</v>
      </c>
      <c r="FU23" s="16">
        <f t="shared" si="285"/>
        <v>0</v>
      </c>
      <c r="FV23" s="16">
        <f t="shared" si="285"/>
        <v>0</v>
      </c>
      <c r="FW23" s="16">
        <f t="shared" si="285"/>
        <v>0</v>
      </c>
      <c r="FX23" s="16">
        <f t="shared" si="285"/>
        <v>20</v>
      </c>
      <c r="FY23" s="16">
        <f t="shared" si="285"/>
        <v>20</v>
      </c>
      <c r="FZ23" s="16">
        <f t="shared" si="285"/>
        <v>20</v>
      </c>
      <c r="GA23" s="16">
        <f t="shared" si="285"/>
        <v>20</v>
      </c>
      <c r="GB23" s="16">
        <f t="shared" si="285"/>
        <v>20</v>
      </c>
      <c r="GC23" s="16">
        <f t="shared" si="285"/>
        <v>20</v>
      </c>
      <c r="GD23" s="16">
        <f t="shared" si="285"/>
        <v>20</v>
      </c>
      <c r="GE23" s="16">
        <f t="shared" si="285"/>
        <v>20</v>
      </c>
      <c r="GF23" s="16">
        <f t="shared" si="285"/>
        <v>20</v>
      </c>
      <c r="GG23" s="16">
        <f t="shared" si="285"/>
        <v>20</v>
      </c>
      <c r="GH23" s="16">
        <f t="shared" si="285"/>
        <v>20</v>
      </c>
      <c r="GI23" s="16">
        <f t="shared" si="285"/>
        <v>20</v>
      </c>
      <c r="GJ23" s="16">
        <f t="shared" si="285"/>
        <v>20</v>
      </c>
      <c r="GK23" s="16">
        <f t="shared" si="285"/>
        <v>20</v>
      </c>
      <c r="GL23" s="16">
        <f t="shared" ref="GL23:HQ23" si="286">SUM(GL16,GL18,GL20,)</f>
        <v>0</v>
      </c>
      <c r="GM23" s="16">
        <f t="shared" si="286"/>
        <v>0</v>
      </c>
      <c r="GN23" s="16">
        <f t="shared" si="286"/>
        <v>40</v>
      </c>
      <c r="GO23" s="16">
        <f t="shared" si="286"/>
        <v>40</v>
      </c>
      <c r="GP23" s="16">
        <f t="shared" si="286"/>
        <v>40</v>
      </c>
      <c r="GQ23" s="16">
        <f t="shared" si="286"/>
        <v>60</v>
      </c>
      <c r="GR23" s="16">
        <f t="shared" si="286"/>
        <v>60</v>
      </c>
      <c r="GS23" s="16">
        <f t="shared" si="286"/>
        <v>60</v>
      </c>
      <c r="GT23" s="16">
        <f t="shared" si="286"/>
        <v>40</v>
      </c>
      <c r="GU23" s="16">
        <f t="shared" si="286"/>
        <v>40</v>
      </c>
      <c r="GV23" s="16">
        <f t="shared" si="286"/>
        <v>40</v>
      </c>
      <c r="GW23" s="16">
        <f t="shared" si="286"/>
        <v>40</v>
      </c>
      <c r="GX23" s="16">
        <f t="shared" si="286"/>
        <v>120</v>
      </c>
      <c r="GY23" s="16">
        <f t="shared" si="286"/>
        <v>120</v>
      </c>
      <c r="GZ23" s="16">
        <f t="shared" si="286"/>
        <v>60</v>
      </c>
      <c r="HA23" s="16">
        <f t="shared" si="286"/>
        <v>40</v>
      </c>
      <c r="HB23" s="16">
        <f t="shared" si="286"/>
        <v>40</v>
      </c>
      <c r="HC23" s="16">
        <f t="shared" si="286"/>
        <v>40</v>
      </c>
      <c r="HD23" s="16">
        <f t="shared" si="286"/>
        <v>20</v>
      </c>
      <c r="HE23" s="16">
        <f t="shared" si="286"/>
        <v>0</v>
      </c>
      <c r="HF23" s="16">
        <f t="shared" si="286"/>
        <v>0</v>
      </c>
      <c r="HG23" s="16">
        <f t="shared" si="286"/>
        <v>60</v>
      </c>
      <c r="HH23" s="16">
        <f t="shared" si="286"/>
        <v>60</v>
      </c>
      <c r="HI23" s="16">
        <f t="shared" si="286"/>
        <v>60</v>
      </c>
      <c r="HJ23" s="16">
        <f t="shared" si="286"/>
        <v>20</v>
      </c>
      <c r="HK23" s="16">
        <f t="shared" si="286"/>
        <v>20</v>
      </c>
      <c r="HL23" s="16">
        <f t="shared" si="286"/>
        <v>20</v>
      </c>
      <c r="HM23" s="16">
        <f t="shared" si="286"/>
        <v>20</v>
      </c>
      <c r="HN23" s="16">
        <f t="shared" si="286"/>
        <v>60</v>
      </c>
      <c r="HO23" s="16">
        <f t="shared" si="286"/>
        <v>60</v>
      </c>
      <c r="HP23" s="16">
        <f t="shared" si="286"/>
        <v>20</v>
      </c>
      <c r="HQ23" s="16">
        <f t="shared" si="286"/>
        <v>120</v>
      </c>
      <c r="HR23" s="16">
        <f t="shared" ref="HR23:IA23" si="287">SUM(HR16,HR18,HR20,)</f>
        <v>120</v>
      </c>
      <c r="HS23" s="16">
        <f t="shared" si="287"/>
        <v>120</v>
      </c>
      <c r="HT23" s="16">
        <f t="shared" si="287"/>
        <v>120</v>
      </c>
      <c r="HU23" s="16">
        <f t="shared" si="287"/>
        <v>80</v>
      </c>
      <c r="HV23" s="16">
        <f t="shared" si="287"/>
        <v>80</v>
      </c>
      <c r="HW23" s="16">
        <f t="shared" si="287"/>
        <v>40</v>
      </c>
      <c r="HX23" s="16">
        <f t="shared" si="287"/>
        <v>40</v>
      </c>
      <c r="HY23" s="16">
        <f t="shared" si="287"/>
        <v>40</v>
      </c>
      <c r="HZ23" s="16">
        <f t="shared" si="287"/>
        <v>40</v>
      </c>
      <c r="IA23" s="16">
        <f t="shared" si="287"/>
        <v>40</v>
      </c>
      <c r="IB23" s="16">
        <f>SUM(IB16,IB18,IB20,IB22)</f>
        <v>96.38</v>
      </c>
      <c r="IC23" s="16">
        <f t="shared" ref="IC23:IP23" si="288">SUM(IC16,IC18,IC20,IC22)</f>
        <v>96.38</v>
      </c>
      <c r="ID23" s="16">
        <f t="shared" si="288"/>
        <v>96.38</v>
      </c>
      <c r="IE23" s="16">
        <f t="shared" si="288"/>
        <v>96.38</v>
      </c>
      <c r="IF23" s="16">
        <f t="shared" si="288"/>
        <v>76.38</v>
      </c>
      <c r="IG23" s="16">
        <f t="shared" si="288"/>
        <v>96.38</v>
      </c>
      <c r="IH23" s="16">
        <f t="shared" si="288"/>
        <v>96.38</v>
      </c>
      <c r="II23" s="16">
        <f t="shared" si="288"/>
        <v>116.38</v>
      </c>
      <c r="IJ23" s="16">
        <f t="shared" si="288"/>
        <v>116.38</v>
      </c>
      <c r="IK23" s="16">
        <f t="shared" si="288"/>
        <v>116.38</v>
      </c>
      <c r="IL23" s="16">
        <f t="shared" si="288"/>
        <v>116.38</v>
      </c>
      <c r="IM23" s="16">
        <f t="shared" si="288"/>
        <v>116.38</v>
      </c>
      <c r="IN23" s="16">
        <f t="shared" si="288"/>
        <v>76.38</v>
      </c>
      <c r="IO23" s="16">
        <f t="shared" si="288"/>
        <v>76.38</v>
      </c>
      <c r="IP23" s="16">
        <f t="shared" si="288"/>
        <v>76.38</v>
      </c>
      <c r="IQ23" s="16">
        <f>SUM(IQ16,IQ18,IQ20,IQ22)</f>
        <v>76.38</v>
      </c>
      <c r="IR23" s="16">
        <f t="shared" ref="IR23" si="289">SUM(IR16,IR18,IR20,IR22)</f>
        <v>76.38</v>
      </c>
      <c r="IS23" s="16">
        <f t="shared" ref="IS23" si="290">SUM(IS16,IS18,IS20,IS22)</f>
        <v>76.38</v>
      </c>
      <c r="IT23" s="16">
        <f t="shared" ref="IT23" si="291">SUM(IT16,IT18,IT20,IT22)</f>
        <v>76.38</v>
      </c>
      <c r="IU23" s="16">
        <f t="shared" ref="IU23" si="292">SUM(IU16,IU18,IU20,IU22)</f>
        <v>76.38</v>
      </c>
      <c r="IV23" s="16">
        <f t="shared" ref="IV23:JC23" si="293">SUM(IV16,IV18,IV20,IV22)</f>
        <v>76.38</v>
      </c>
      <c r="IW23" s="16">
        <f t="shared" si="293"/>
        <v>60</v>
      </c>
      <c r="IX23" s="16">
        <f t="shared" si="293"/>
        <v>60</v>
      </c>
      <c r="IY23" s="16">
        <f t="shared" si="293"/>
        <v>60</v>
      </c>
      <c r="IZ23" s="16">
        <f t="shared" si="293"/>
        <v>60</v>
      </c>
      <c r="JA23" s="16">
        <f t="shared" si="293"/>
        <v>60</v>
      </c>
      <c r="JB23" s="16">
        <f t="shared" si="293"/>
        <v>60</v>
      </c>
      <c r="JC23" s="16">
        <f t="shared" si="293"/>
        <v>60</v>
      </c>
      <c r="JD23" s="16">
        <f t="shared" ref="JD23:JJ23" si="294">SUM(JD16,JD18,JD20,JD22)</f>
        <v>60</v>
      </c>
      <c r="JE23" s="16">
        <f t="shared" si="294"/>
        <v>60</v>
      </c>
      <c r="JF23" s="16">
        <f t="shared" si="294"/>
        <v>0</v>
      </c>
      <c r="JG23" s="16">
        <f t="shared" si="294"/>
        <v>0</v>
      </c>
      <c r="JH23" s="16">
        <f t="shared" si="294"/>
        <v>0</v>
      </c>
      <c r="JI23" s="16">
        <f t="shared" si="294"/>
        <v>0</v>
      </c>
      <c r="JJ23" s="16">
        <f t="shared" si="294"/>
        <v>0</v>
      </c>
      <c r="JK23" s="16">
        <f t="shared" ref="JK23:JT23" si="295">SUM(JK16,JK18,JK20,JK22)</f>
        <v>0</v>
      </c>
      <c r="JL23" s="16">
        <f t="shared" si="295"/>
        <v>0</v>
      </c>
      <c r="JM23" s="16">
        <f t="shared" si="295"/>
        <v>0</v>
      </c>
      <c r="JN23" s="16">
        <f t="shared" si="295"/>
        <v>0</v>
      </c>
      <c r="JO23" s="16">
        <f t="shared" si="295"/>
        <v>0</v>
      </c>
      <c r="JP23" s="16">
        <f t="shared" si="295"/>
        <v>0</v>
      </c>
      <c r="JQ23" s="16">
        <f t="shared" si="295"/>
        <v>0</v>
      </c>
      <c r="JR23" s="16">
        <f t="shared" si="295"/>
        <v>0</v>
      </c>
      <c r="JS23" s="16">
        <f t="shared" si="295"/>
        <v>0</v>
      </c>
      <c r="JT23" s="16">
        <f t="shared" si="295"/>
        <v>0</v>
      </c>
    </row>
    <row r="24" spans="1:280" s="1" customFormat="1" x14ac:dyDescent="0.35">
      <c r="A24" s="1" t="s">
        <v>72</v>
      </c>
      <c r="AD24" s="1">
        <v>1</v>
      </c>
      <c r="AE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2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2</v>
      </c>
      <c r="BH24" s="1">
        <v>2</v>
      </c>
      <c r="BK24" s="1">
        <v>1</v>
      </c>
      <c r="BL24" s="1">
        <v>1</v>
      </c>
      <c r="BM24" s="1">
        <v>1</v>
      </c>
      <c r="BO24" s="1">
        <v>1</v>
      </c>
      <c r="BP24" s="1">
        <v>1</v>
      </c>
      <c r="BQ24" s="1">
        <v>1</v>
      </c>
      <c r="BR24" s="1">
        <v>1</v>
      </c>
      <c r="BS24" s="14">
        <v>1</v>
      </c>
      <c r="BT24" s="14">
        <v>1</v>
      </c>
      <c r="BU24" s="14">
        <v>1</v>
      </c>
      <c r="BV24" s="14">
        <v>1</v>
      </c>
      <c r="BW24" s="14">
        <v>1</v>
      </c>
      <c r="BX24" s="14">
        <v>1</v>
      </c>
      <c r="BY24" s="14">
        <v>1</v>
      </c>
      <c r="BZ24" s="14">
        <v>1</v>
      </c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>
        <v>1</v>
      </c>
      <c r="CP24" s="14">
        <v>1</v>
      </c>
      <c r="CQ24" s="14">
        <v>1</v>
      </c>
      <c r="CR24" s="14"/>
      <c r="CS24" s="14"/>
      <c r="CT24" s="14"/>
      <c r="CU24" s="14"/>
      <c r="CV24" s="14"/>
      <c r="CW24" s="14">
        <v>1</v>
      </c>
      <c r="CX24" s="14">
        <v>1</v>
      </c>
      <c r="CY24" s="14">
        <v>1</v>
      </c>
      <c r="CZ24" s="14">
        <v>1</v>
      </c>
      <c r="DA24" s="14">
        <v>1</v>
      </c>
      <c r="DB24" s="14">
        <v>1</v>
      </c>
      <c r="DC24" s="14">
        <v>1</v>
      </c>
      <c r="DD24" s="14">
        <v>1</v>
      </c>
      <c r="DE24" s="14">
        <v>1</v>
      </c>
      <c r="DF24" s="14">
        <v>1</v>
      </c>
      <c r="DG24" s="14">
        <v>1</v>
      </c>
      <c r="DH24" s="14">
        <v>1</v>
      </c>
      <c r="DI24" s="14">
        <v>1</v>
      </c>
      <c r="DJ24" s="14">
        <v>1</v>
      </c>
      <c r="DK24" s="14"/>
      <c r="DL24" s="14"/>
      <c r="DM24" s="14">
        <v>1</v>
      </c>
      <c r="DN24" s="14">
        <v>1</v>
      </c>
      <c r="DO24" s="14">
        <v>1</v>
      </c>
      <c r="DP24" s="14">
        <v>1</v>
      </c>
      <c r="DQ24" s="14">
        <v>1</v>
      </c>
      <c r="DR24" s="14"/>
      <c r="DS24" s="14"/>
      <c r="DT24" s="14">
        <v>1</v>
      </c>
      <c r="DU24" s="14">
        <v>1</v>
      </c>
      <c r="DV24" s="14">
        <v>1</v>
      </c>
      <c r="DW24" s="14">
        <v>1</v>
      </c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>
        <v>1</v>
      </c>
      <c r="EK24" s="14">
        <v>1</v>
      </c>
      <c r="EL24" s="14"/>
      <c r="EM24" s="14"/>
      <c r="EN24" s="14"/>
      <c r="EO24" s="14">
        <v>1</v>
      </c>
      <c r="EP24" s="14">
        <v>1</v>
      </c>
      <c r="EQ24" s="14">
        <v>1</v>
      </c>
      <c r="ER24" s="14">
        <v>1</v>
      </c>
      <c r="ES24" s="14">
        <v>1</v>
      </c>
      <c r="ET24" s="14"/>
      <c r="EU24" s="14"/>
      <c r="EV24" s="14"/>
      <c r="EW24" s="14"/>
      <c r="EX24" s="14">
        <v>1</v>
      </c>
      <c r="EY24" s="14">
        <v>1</v>
      </c>
      <c r="EZ24" s="14">
        <v>1</v>
      </c>
      <c r="FA24" s="14">
        <v>1</v>
      </c>
      <c r="FB24" s="14">
        <v>1</v>
      </c>
      <c r="FC24" s="14"/>
      <c r="FD24" s="14"/>
      <c r="FE24" s="14"/>
      <c r="FF24" s="14"/>
      <c r="FG24" s="14"/>
      <c r="FH24" s="14"/>
      <c r="FI24" s="14"/>
      <c r="FJ24" s="14"/>
      <c r="FK24" s="14"/>
      <c r="FL24" s="14">
        <v>1</v>
      </c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>
        <v>4</v>
      </c>
      <c r="GY24" s="14">
        <v>4</v>
      </c>
      <c r="GZ24" s="14">
        <v>2</v>
      </c>
      <c r="HA24" s="14">
        <v>1</v>
      </c>
      <c r="HB24" s="14">
        <v>1</v>
      </c>
      <c r="HC24" s="14">
        <v>1</v>
      </c>
      <c r="HD24" s="14"/>
      <c r="HE24" s="14"/>
      <c r="HF24" s="14"/>
      <c r="HG24" s="14">
        <v>1</v>
      </c>
      <c r="HH24" s="14">
        <v>1</v>
      </c>
      <c r="HI24" s="14">
        <v>1</v>
      </c>
      <c r="HJ24" s="14"/>
      <c r="HK24" s="14"/>
      <c r="HL24" s="14"/>
      <c r="HM24" s="14"/>
      <c r="HN24" s="14"/>
      <c r="HO24" s="14"/>
      <c r="HP24" s="14"/>
      <c r="HQ24" s="14">
        <v>1</v>
      </c>
      <c r="HR24" s="14">
        <v>1</v>
      </c>
      <c r="HS24" s="14">
        <v>1</v>
      </c>
      <c r="HT24" s="14"/>
      <c r="HU24" s="14"/>
      <c r="HV24" s="14"/>
      <c r="HW24" s="14"/>
      <c r="HX24" s="14">
        <v>1</v>
      </c>
      <c r="HY24" s="14">
        <v>1</v>
      </c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</row>
    <row r="25" spans="1:280" s="2" customFormat="1" x14ac:dyDescent="0.35">
      <c r="A25" s="2" t="s">
        <v>41</v>
      </c>
      <c r="BN25" s="2">
        <f>BN24*20</f>
        <v>0</v>
      </c>
      <c r="BO25" s="2">
        <f>BO24*20</f>
        <v>20</v>
      </c>
      <c r="BP25" s="2">
        <f t="shared" ref="BP25:EA25" si="296">BP24*20</f>
        <v>20</v>
      </c>
      <c r="BQ25" s="2">
        <f t="shared" si="296"/>
        <v>20</v>
      </c>
      <c r="BR25" s="2">
        <f t="shared" si="296"/>
        <v>20</v>
      </c>
      <c r="BS25" s="17">
        <f t="shared" si="296"/>
        <v>20</v>
      </c>
      <c r="BT25" s="17">
        <f t="shared" si="296"/>
        <v>20</v>
      </c>
      <c r="BU25" s="17">
        <f t="shared" si="296"/>
        <v>20</v>
      </c>
      <c r="BV25" s="17">
        <f t="shared" si="296"/>
        <v>20</v>
      </c>
      <c r="BW25" s="17">
        <f t="shared" si="296"/>
        <v>20</v>
      </c>
      <c r="BX25" s="17">
        <f t="shared" si="296"/>
        <v>20</v>
      </c>
      <c r="BY25" s="17">
        <f t="shared" si="296"/>
        <v>20</v>
      </c>
      <c r="BZ25" s="17">
        <f t="shared" si="296"/>
        <v>20</v>
      </c>
      <c r="CA25" s="17">
        <f t="shared" si="296"/>
        <v>0</v>
      </c>
      <c r="CB25" s="17">
        <f t="shared" si="296"/>
        <v>0</v>
      </c>
      <c r="CC25" s="17">
        <f t="shared" si="296"/>
        <v>0</v>
      </c>
      <c r="CD25" s="17">
        <f t="shared" si="296"/>
        <v>0</v>
      </c>
      <c r="CE25" s="17">
        <f t="shared" si="296"/>
        <v>0</v>
      </c>
      <c r="CF25" s="17">
        <f t="shared" si="296"/>
        <v>0</v>
      </c>
      <c r="CG25" s="17">
        <f t="shared" si="296"/>
        <v>0</v>
      </c>
      <c r="CH25" s="17">
        <f t="shared" si="296"/>
        <v>0</v>
      </c>
      <c r="CI25" s="17">
        <f t="shared" si="296"/>
        <v>0</v>
      </c>
      <c r="CJ25" s="17">
        <f t="shared" si="296"/>
        <v>0</v>
      </c>
      <c r="CK25" s="17">
        <f t="shared" si="296"/>
        <v>0</v>
      </c>
      <c r="CL25" s="17">
        <f t="shared" si="296"/>
        <v>0</v>
      </c>
      <c r="CM25" s="17">
        <f t="shared" si="296"/>
        <v>0</v>
      </c>
      <c r="CN25" s="17">
        <f t="shared" si="296"/>
        <v>0</v>
      </c>
      <c r="CO25" s="17">
        <f t="shared" si="296"/>
        <v>20</v>
      </c>
      <c r="CP25" s="17">
        <f t="shared" si="296"/>
        <v>20</v>
      </c>
      <c r="CQ25" s="17">
        <f t="shared" si="296"/>
        <v>20</v>
      </c>
      <c r="CR25" s="17">
        <f t="shared" si="296"/>
        <v>0</v>
      </c>
      <c r="CS25" s="17">
        <f t="shared" si="296"/>
        <v>0</v>
      </c>
      <c r="CT25" s="17">
        <f t="shared" si="296"/>
        <v>0</v>
      </c>
      <c r="CU25" s="17">
        <f t="shared" si="296"/>
        <v>0</v>
      </c>
      <c r="CV25" s="17">
        <f t="shared" si="296"/>
        <v>0</v>
      </c>
      <c r="CW25" s="17">
        <f t="shared" si="296"/>
        <v>20</v>
      </c>
      <c r="CX25" s="17">
        <f t="shared" si="296"/>
        <v>20</v>
      </c>
      <c r="CY25" s="17">
        <f t="shared" si="296"/>
        <v>20</v>
      </c>
      <c r="CZ25" s="17">
        <f t="shared" si="296"/>
        <v>20</v>
      </c>
      <c r="DA25" s="17">
        <f t="shared" si="296"/>
        <v>20</v>
      </c>
      <c r="DB25" s="17">
        <f t="shared" si="296"/>
        <v>20</v>
      </c>
      <c r="DC25" s="17">
        <f t="shared" si="296"/>
        <v>20</v>
      </c>
      <c r="DD25" s="17">
        <f t="shared" si="296"/>
        <v>20</v>
      </c>
      <c r="DE25" s="17">
        <f t="shared" si="296"/>
        <v>20</v>
      </c>
      <c r="DF25" s="17">
        <f t="shared" si="296"/>
        <v>20</v>
      </c>
      <c r="DG25" s="17">
        <f t="shared" si="296"/>
        <v>20</v>
      </c>
      <c r="DH25" s="17">
        <f t="shared" si="296"/>
        <v>20</v>
      </c>
      <c r="DI25" s="17">
        <f t="shared" si="296"/>
        <v>20</v>
      </c>
      <c r="DJ25" s="17">
        <f t="shared" si="296"/>
        <v>20</v>
      </c>
      <c r="DK25" s="17">
        <f t="shared" si="296"/>
        <v>0</v>
      </c>
      <c r="DL25" s="17">
        <f t="shared" si="296"/>
        <v>0</v>
      </c>
      <c r="DM25" s="17">
        <f t="shared" si="296"/>
        <v>20</v>
      </c>
      <c r="DN25" s="17">
        <f t="shared" si="296"/>
        <v>20</v>
      </c>
      <c r="DO25" s="17">
        <f t="shared" si="296"/>
        <v>20</v>
      </c>
      <c r="DP25" s="17">
        <f t="shared" si="296"/>
        <v>20</v>
      </c>
      <c r="DQ25" s="17">
        <f t="shared" si="296"/>
        <v>20</v>
      </c>
      <c r="DR25" s="17">
        <f t="shared" si="296"/>
        <v>0</v>
      </c>
      <c r="DS25" s="17">
        <f t="shared" si="296"/>
        <v>0</v>
      </c>
      <c r="DT25" s="17">
        <f t="shared" si="296"/>
        <v>20</v>
      </c>
      <c r="DU25" s="17">
        <f t="shared" si="296"/>
        <v>20</v>
      </c>
      <c r="DV25" s="17">
        <f t="shared" si="296"/>
        <v>20</v>
      </c>
      <c r="DW25" s="17">
        <f t="shared" si="296"/>
        <v>20</v>
      </c>
      <c r="DX25" s="17">
        <f t="shared" si="296"/>
        <v>0</v>
      </c>
      <c r="DY25" s="17">
        <f t="shared" si="296"/>
        <v>0</v>
      </c>
      <c r="DZ25" s="17">
        <f t="shared" si="296"/>
        <v>0</v>
      </c>
      <c r="EA25" s="17">
        <f t="shared" si="296"/>
        <v>0</v>
      </c>
      <c r="EB25" s="17">
        <f t="shared" ref="EB25:GM25" si="297">EB24*20</f>
        <v>0</v>
      </c>
      <c r="EC25" s="17">
        <f t="shared" si="297"/>
        <v>0</v>
      </c>
      <c r="ED25" s="17">
        <f t="shared" si="297"/>
        <v>0</v>
      </c>
      <c r="EE25" s="17">
        <f t="shared" si="297"/>
        <v>0</v>
      </c>
      <c r="EF25" s="17">
        <f t="shared" si="297"/>
        <v>0</v>
      </c>
      <c r="EG25" s="17">
        <f t="shared" si="297"/>
        <v>0</v>
      </c>
      <c r="EH25" s="17">
        <f t="shared" si="297"/>
        <v>0</v>
      </c>
      <c r="EI25" s="17">
        <f t="shared" si="297"/>
        <v>0</v>
      </c>
      <c r="EJ25" s="17">
        <f t="shared" si="297"/>
        <v>20</v>
      </c>
      <c r="EK25" s="17">
        <f t="shared" si="297"/>
        <v>20</v>
      </c>
      <c r="EL25" s="17">
        <f t="shared" si="297"/>
        <v>0</v>
      </c>
      <c r="EM25" s="17">
        <f t="shared" si="297"/>
        <v>0</v>
      </c>
      <c r="EN25" s="17">
        <f t="shared" si="297"/>
        <v>0</v>
      </c>
      <c r="EO25" s="17">
        <f t="shared" si="297"/>
        <v>20</v>
      </c>
      <c r="EP25" s="17">
        <f t="shared" si="297"/>
        <v>20</v>
      </c>
      <c r="EQ25" s="17">
        <f t="shared" si="297"/>
        <v>20</v>
      </c>
      <c r="ER25" s="17">
        <f t="shared" si="297"/>
        <v>20</v>
      </c>
      <c r="ES25" s="17">
        <f t="shared" si="297"/>
        <v>20</v>
      </c>
      <c r="ET25" s="17">
        <f t="shared" si="297"/>
        <v>0</v>
      </c>
      <c r="EU25" s="17">
        <f t="shared" si="297"/>
        <v>0</v>
      </c>
      <c r="EV25" s="17">
        <f t="shared" si="297"/>
        <v>0</v>
      </c>
      <c r="EW25" s="17">
        <f t="shared" si="297"/>
        <v>0</v>
      </c>
      <c r="EX25" s="17">
        <f t="shared" si="297"/>
        <v>20</v>
      </c>
      <c r="EY25" s="17">
        <f t="shared" si="297"/>
        <v>20</v>
      </c>
      <c r="EZ25" s="17">
        <f t="shared" si="297"/>
        <v>20</v>
      </c>
      <c r="FA25" s="17">
        <f t="shared" si="297"/>
        <v>20</v>
      </c>
      <c r="FB25" s="17">
        <f t="shared" si="297"/>
        <v>20</v>
      </c>
      <c r="FC25" s="17">
        <f t="shared" si="297"/>
        <v>0</v>
      </c>
      <c r="FD25" s="17">
        <f t="shared" si="297"/>
        <v>0</v>
      </c>
      <c r="FE25" s="17">
        <f t="shared" si="297"/>
        <v>0</v>
      </c>
      <c r="FF25" s="17">
        <f t="shared" si="297"/>
        <v>0</v>
      </c>
      <c r="FG25" s="17">
        <f t="shared" si="297"/>
        <v>0</v>
      </c>
      <c r="FH25" s="17">
        <f t="shared" si="297"/>
        <v>0</v>
      </c>
      <c r="FI25" s="17">
        <f t="shared" si="297"/>
        <v>0</v>
      </c>
      <c r="FJ25" s="17">
        <f t="shared" si="297"/>
        <v>0</v>
      </c>
      <c r="FK25" s="17">
        <f t="shared" si="297"/>
        <v>0</v>
      </c>
      <c r="FL25" s="17">
        <f t="shared" si="297"/>
        <v>20</v>
      </c>
      <c r="FM25" s="17">
        <f t="shared" si="297"/>
        <v>0</v>
      </c>
      <c r="FN25" s="17">
        <f t="shared" si="297"/>
        <v>0</v>
      </c>
      <c r="FO25" s="17">
        <f t="shared" si="297"/>
        <v>0</v>
      </c>
      <c r="FP25" s="17">
        <f t="shared" si="297"/>
        <v>0</v>
      </c>
      <c r="FQ25" s="17">
        <f t="shared" si="297"/>
        <v>0</v>
      </c>
      <c r="FR25" s="17">
        <f t="shared" si="297"/>
        <v>0</v>
      </c>
      <c r="FS25" s="17">
        <f t="shared" si="297"/>
        <v>0</v>
      </c>
      <c r="FT25" s="17">
        <f t="shared" si="297"/>
        <v>0</v>
      </c>
      <c r="FU25" s="17">
        <f t="shared" si="297"/>
        <v>0</v>
      </c>
      <c r="FV25" s="17">
        <f t="shared" si="297"/>
        <v>0</v>
      </c>
      <c r="FW25" s="17">
        <f t="shared" si="297"/>
        <v>0</v>
      </c>
      <c r="FX25" s="17">
        <f t="shared" si="297"/>
        <v>0</v>
      </c>
      <c r="FY25" s="17">
        <f t="shared" si="297"/>
        <v>0</v>
      </c>
      <c r="FZ25" s="17">
        <f t="shared" si="297"/>
        <v>0</v>
      </c>
      <c r="GA25" s="17">
        <f t="shared" si="297"/>
        <v>0</v>
      </c>
      <c r="GB25" s="17">
        <f t="shared" si="297"/>
        <v>0</v>
      </c>
      <c r="GC25" s="17">
        <f t="shared" si="297"/>
        <v>0</v>
      </c>
      <c r="GD25" s="17">
        <f t="shared" si="297"/>
        <v>0</v>
      </c>
      <c r="GE25" s="17">
        <f t="shared" si="297"/>
        <v>0</v>
      </c>
      <c r="GF25" s="17">
        <f t="shared" si="297"/>
        <v>0</v>
      </c>
      <c r="GG25" s="17">
        <f t="shared" si="297"/>
        <v>0</v>
      </c>
      <c r="GH25" s="17">
        <f t="shared" si="297"/>
        <v>0</v>
      </c>
      <c r="GI25" s="17">
        <f t="shared" si="297"/>
        <v>0</v>
      </c>
      <c r="GJ25" s="17">
        <f t="shared" si="297"/>
        <v>0</v>
      </c>
      <c r="GK25" s="17">
        <f t="shared" si="297"/>
        <v>0</v>
      </c>
      <c r="GL25" s="17">
        <f t="shared" si="297"/>
        <v>0</v>
      </c>
      <c r="GM25" s="17">
        <f t="shared" si="297"/>
        <v>0</v>
      </c>
      <c r="GN25" s="17">
        <f t="shared" ref="GN25:HY25" si="298">GN24*20</f>
        <v>0</v>
      </c>
      <c r="GO25" s="17">
        <f t="shared" si="298"/>
        <v>0</v>
      </c>
      <c r="GP25" s="17">
        <f t="shared" si="298"/>
        <v>0</v>
      </c>
      <c r="GQ25" s="17">
        <f t="shared" si="298"/>
        <v>0</v>
      </c>
      <c r="GR25" s="17">
        <f t="shared" si="298"/>
        <v>0</v>
      </c>
      <c r="GS25" s="17">
        <f t="shared" si="298"/>
        <v>0</v>
      </c>
      <c r="GT25" s="17">
        <f t="shared" si="298"/>
        <v>0</v>
      </c>
      <c r="GU25" s="17">
        <f t="shared" si="298"/>
        <v>0</v>
      </c>
      <c r="GV25" s="17">
        <f t="shared" si="298"/>
        <v>0</v>
      </c>
      <c r="GW25" s="17">
        <f t="shared" si="298"/>
        <v>0</v>
      </c>
      <c r="GX25" s="17">
        <f t="shared" si="298"/>
        <v>80</v>
      </c>
      <c r="GY25" s="17">
        <f t="shared" si="298"/>
        <v>80</v>
      </c>
      <c r="GZ25" s="17">
        <f t="shared" si="298"/>
        <v>40</v>
      </c>
      <c r="HA25" s="17">
        <f t="shared" si="298"/>
        <v>20</v>
      </c>
      <c r="HB25" s="17">
        <f t="shared" si="298"/>
        <v>20</v>
      </c>
      <c r="HC25" s="17">
        <f t="shared" si="298"/>
        <v>20</v>
      </c>
      <c r="HD25" s="17">
        <f t="shared" si="298"/>
        <v>0</v>
      </c>
      <c r="HE25" s="17">
        <f t="shared" si="298"/>
        <v>0</v>
      </c>
      <c r="HF25" s="17">
        <f t="shared" si="298"/>
        <v>0</v>
      </c>
      <c r="HG25" s="17">
        <f t="shared" si="298"/>
        <v>20</v>
      </c>
      <c r="HH25" s="17">
        <f t="shared" si="298"/>
        <v>20</v>
      </c>
      <c r="HI25" s="17">
        <f t="shared" si="298"/>
        <v>20</v>
      </c>
      <c r="HJ25" s="17">
        <f t="shared" si="298"/>
        <v>0</v>
      </c>
      <c r="HK25" s="17">
        <f t="shared" si="298"/>
        <v>0</v>
      </c>
      <c r="HL25" s="17">
        <f t="shared" si="298"/>
        <v>0</v>
      </c>
      <c r="HM25" s="17">
        <f t="shared" si="298"/>
        <v>0</v>
      </c>
      <c r="HN25" s="17">
        <f t="shared" si="298"/>
        <v>0</v>
      </c>
      <c r="HO25" s="17">
        <f t="shared" si="298"/>
        <v>0</v>
      </c>
      <c r="HP25" s="17">
        <f t="shared" si="298"/>
        <v>0</v>
      </c>
      <c r="HQ25" s="17">
        <f t="shared" si="298"/>
        <v>20</v>
      </c>
      <c r="HR25" s="17">
        <f t="shared" si="298"/>
        <v>20</v>
      </c>
      <c r="HS25" s="17">
        <f t="shared" si="298"/>
        <v>20</v>
      </c>
      <c r="HT25" s="17">
        <f t="shared" si="298"/>
        <v>0</v>
      </c>
      <c r="HU25" s="17">
        <f t="shared" si="298"/>
        <v>0</v>
      </c>
      <c r="HV25" s="17">
        <f t="shared" si="298"/>
        <v>0</v>
      </c>
      <c r="HW25" s="17">
        <f t="shared" si="298"/>
        <v>0</v>
      </c>
      <c r="HX25" s="17">
        <f t="shared" si="298"/>
        <v>20</v>
      </c>
      <c r="HY25" s="17">
        <f t="shared" si="298"/>
        <v>20</v>
      </c>
      <c r="HZ25" s="17">
        <f>HZ24*16.38</f>
        <v>0</v>
      </c>
      <c r="IA25" s="17">
        <f t="shared" ref="IA25:IV25" si="299">IA24*16.38</f>
        <v>0</v>
      </c>
      <c r="IB25" s="17">
        <f t="shared" si="299"/>
        <v>0</v>
      </c>
      <c r="IC25" s="17">
        <f t="shared" si="299"/>
        <v>0</v>
      </c>
      <c r="ID25" s="17">
        <f t="shared" si="299"/>
        <v>0</v>
      </c>
      <c r="IE25" s="17">
        <f t="shared" si="299"/>
        <v>0</v>
      </c>
      <c r="IF25" s="17">
        <f t="shared" si="299"/>
        <v>0</v>
      </c>
      <c r="IG25" s="17">
        <f t="shared" si="299"/>
        <v>0</v>
      </c>
      <c r="IH25" s="17">
        <f t="shared" si="299"/>
        <v>0</v>
      </c>
      <c r="II25" s="17">
        <f t="shared" si="299"/>
        <v>0</v>
      </c>
      <c r="IJ25" s="17">
        <f t="shared" si="299"/>
        <v>0</v>
      </c>
      <c r="IK25" s="17">
        <f t="shared" si="299"/>
        <v>0</v>
      </c>
      <c r="IL25" s="17">
        <f t="shared" si="299"/>
        <v>0</v>
      </c>
      <c r="IM25" s="17">
        <f t="shared" si="299"/>
        <v>0</v>
      </c>
      <c r="IN25" s="17">
        <f t="shared" si="299"/>
        <v>0</v>
      </c>
      <c r="IO25" s="17">
        <f t="shared" si="299"/>
        <v>0</v>
      </c>
      <c r="IP25" s="17">
        <f t="shared" si="299"/>
        <v>0</v>
      </c>
      <c r="IQ25" s="17">
        <f t="shared" si="299"/>
        <v>0</v>
      </c>
      <c r="IR25" s="17">
        <f t="shared" si="299"/>
        <v>0</v>
      </c>
      <c r="IS25" s="17">
        <f t="shared" si="299"/>
        <v>0</v>
      </c>
      <c r="IT25" s="17">
        <f t="shared" si="299"/>
        <v>0</v>
      </c>
      <c r="IU25" s="17">
        <f t="shared" si="299"/>
        <v>0</v>
      </c>
      <c r="IV25" s="17">
        <f t="shared" si="299"/>
        <v>0</v>
      </c>
      <c r="IW25" s="17">
        <f t="shared" ref="IW25:JC25" si="300">IW24*16.38</f>
        <v>0</v>
      </c>
      <c r="IX25" s="17">
        <f t="shared" si="300"/>
        <v>0</v>
      </c>
      <c r="IY25" s="17">
        <f t="shared" si="300"/>
        <v>0</v>
      </c>
      <c r="IZ25" s="17">
        <f t="shared" si="300"/>
        <v>0</v>
      </c>
      <c r="JA25" s="17">
        <f t="shared" si="300"/>
        <v>0</v>
      </c>
      <c r="JB25" s="17">
        <f t="shared" si="300"/>
        <v>0</v>
      </c>
      <c r="JC25" s="17">
        <f t="shared" si="300"/>
        <v>0</v>
      </c>
      <c r="JD25" s="17">
        <f t="shared" ref="JD25:JJ25" si="301">JD24*16.38</f>
        <v>0</v>
      </c>
      <c r="JE25" s="17">
        <f t="shared" si="301"/>
        <v>0</v>
      </c>
      <c r="JF25" s="17">
        <f t="shared" si="301"/>
        <v>0</v>
      </c>
      <c r="JG25" s="17">
        <f t="shared" si="301"/>
        <v>0</v>
      </c>
      <c r="JH25" s="17">
        <f t="shared" si="301"/>
        <v>0</v>
      </c>
      <c r="JI25" s="17">
        <f t="shared" si="301"/>
        <v>0</v>
      </c>
      <c r="JJ25" s="17">
        <f t="shared" si="301"/>
        <v>0</v>
      </c>
      <c r="JK25" s="17">
        <f t="shared" ref="JK25:JT25" si="302">JK24*16.38</f>
        <v>0</v>
      </c>
      <c r="JL25" s="17">
        <f t="shared" si="302"/>
        <v>0</v>
      </c>
      <c r="JM25" s="17">
        <f t="shared" si="302"/>
        <v>0</v>
      </c>
      <c r="JN25" s="17">
        <f t="shared" si="302"/>
        <v>0</v>
      </c>
      <c r="JO25" s="17">
        <f t="shared" si="302"/>
        <v>0</v>
      </c>
      <c r="JP25" s="17">
        <f t="shared" si="302"/>
        <v>0</v>
      </c>
      <c r="JQ25" s="17">
        <f t="shared" si="302"/>
        <v>0</v>
      </c>
      <c r="JR25" s="17">
        <f t="shared" si="302"/>
        <v>0</v>
      </c>
      <c r="JS25" s="17">
        <f t="shared" si="302"/>
        <v>0</v>
      </c>
      <c r="JT25" s="17">
        <f t="shared" si="302"/>
        <v>0</v>
      </c>
    </row>
    <row r="26" spans="1:280" s="1" customFormat="1" x14ac:dyDescent="0.35">
      <c r="A26" s="1" t="s">
        <v>71</v>
      </c>
      <c r="AD26" s="1">
        <v>1</v>
      </c>
      <c r="AE26" s="1">
        <v>1</v>
      </c>
      <c r="AG26" s="1">
        <v>2</v>
      </c>
      <c r="AH26" s="1">
        <v>2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Z26" s="1">
        <v>1</v>
      </c>
      <c r="BA26" s="1">
        <v>1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4</v>
      </c>
      <c r="BH26" s="1">
        <v>4</v>
      </c>
      <c r="BI26" s="1">
        <v>6</v>
      </c>
      <c r="BJ26" s="1">
        <v>6</v>
      </c>
      <c r="BK26" s="1">
        <v>6</v>
      </c>
      <c r="BL26" s="1">
        <v>6</v>
      </c>
      <c r="BM26" s="1">
        <v>6</v>
      </c>
      <c r="BN26" s="1">
        <v>6</v>
      </c>
      <c r="BO26" s="1">
        <v>6</v>
      </c>
      <c r="BP26" s="1">
        <v>1</v>
      </c>
      <c r="BQ26" s="1">
        <v>1</v>
      </c>
      <c r="BR26" s="1">
        <v>2</v>
      </c>
      <c r="BS26" s="14">
        <v>1</v>
      </c>
      <c r="BT26" s="14">
        <v>0</v>
      </c>
      <c r="BU26" s="14">
        <v>2</v>
      </c>
      <c r="BV26" s="14">
        <v>2</v>
      </c>
      <c r="BW26" s="14">
        <v>1</v>
      </c>
      <c r="BX26" s="14">
        <v>1</v>
      </c>
      <c r="BY26" s="14">
        <v>1</v>
      </c>
      <c r="BZ26" s="14">
        <v>1</v>
      </c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>
        <v>1</v>
      </c>
      <c r="CP26" s="14">
        <v>1</v>
      </c>
      <c r="CQ26" s="14">
        <v>1</v>
      </c>
      <c r="CR26" s="14">
        <v>1</v>
      </c>
      <c r="CS26" s="14">
        <v>1</v>
      </c>
      <c r="CT26" s="14">
        <v>1</v>
      </c>
      <c r="CU26" s="14">
        <v>1</v>
      </c>
      <c r="CV26" s="14">
        <v>1</v>
      </c>
      <c r="CW26" s="14"/>
      <c r="CX26" s="14"/>
      <c r="CY26" s="14"/>
      <c r="CZ26" s="14"/>
      <c r="DA26" s="14"/>
      <c r="DB26" s="14"/>
      <c r="DC26" s="14"/>
      <c r="DD26" s="14"/>
      <c r="DE26" s="14"/>
      <c r="DF26" s="14">
        <v>1</v>
      </c>
      <c r="DG26" s="14">
        <v>1</v>
      </c>
      <c r="DH26" s="14">
        <v>1</v>
      </c>
      <c r="DI26" s="14">
        <v>1</v>
      </c>
      <c r="DJ26" s="14">
        <v>1</v>
      </c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>
        <v>1</v>
      </c>
      <c r="DY26" s="14">
        <v>1</v>
      </c>
      <c r="DZ26" s="14">
        <v>1</v>
      </c>
      <c r="EA26" s="14"/>
      <c r="EB26" s="14"/>
      <c r="EC26" s="14"/>
      <c r="ED26" s="14">
        <v>1</v>
      </c>
      <c r="EE26" s="14">
        <v>1</v>
      </c>
      <c r="EF26" s="14">
        <v>1</v>
      </c>
      <c r="EG26" s="14">
        <v>1</v>
      </c>
      <c r="EH26" s="14">
        <v>2</v>
      </c>
      <c r="EI26" s="14">
        <v>2</v>
      </c>
      <c r="EJ26" s="14">
        <v>2</v>
      </c>
      <c r="EK26" s="14">
        <v>2</v>
      </c>
      <c r="EL26" s="14">
        <v>3</v>
      </c>
      <c r="EM26" s="14">
        <v>4</v>
      </c>
      <c r="EN26" s="14">
        <v>2</v>
      </c>
      <c r="EO26" s="14">
        <v>2</v>
      </c>
      <c r="EP26" s="14">
        <v>2</v>
      </c>
      <c r="EQ26" s="14">
        <v>2</v>
      </c>
      <c r="ER26" s="14">
        <v>2</v>
      </c>
      <c r="ES26" s="14">
        <v>2</v>
      </c>
      <c r="ET26" s="14">
        <v>2</v>
      </c>
      <c r="EU26" s="14">
        <v>2</v>
      </c>
      <c r="EV26" s="14">
        <v>1</v>
      </c>
      <c r="EW26" s="14">
        <v>1</v>
      </c>
      <c r="EX26" s="14">
        <v>1</v>
      </c>
      <c r="EY26" s="14">
        <v>1</v>
      </c>
      <c r="EZ26" s="14">
        <v>1</v>
      </c>
      <c r="FA26" s="14">
        <v>1</v>
      </c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>
        <v>1</v>
      </c>
      <c r="FR26" s="14">
        <v>2</v>
      </c>
      <c r="FS26" s="14"/>
      <c r="FT26" s="14"/>
      <c r="FU26" s="14"/>
      <c r="FV26" s="14"/>
      <c r="FW26" s="14"/>
      <c r="FX26" s="14"/>
      <c r="FY26" s="14"/>
      <c r="FZ26" s="14"/>
      <c r="GA26" s="14">
        <v>1</v>
      </c>
      <c r="GB26" s="14">
        <v>1</v>
      </c>
      <c r="GC26" s="14">
        <v>1</v>
      </c>
      <c r="GD26" s="14">
        <v>1</v>
      </c>
      <c r="GE26" s="14">
        <v>1</v>
      </c>
      <c r="GF26" s="14">
        <v>1</v>
      </c>
      <c r="GG26" s="14">
        <v>1</v>
      </c>
      <c r="GH26" s="14">
        <v>1</v>
      </c>
      <c r="GI26" s="14">
        <v>1</v>
      </c>
      <c r="GJ26" s="14">
        <v>1</v>
      </c>
      <c r="GK26" s="14">
        <v>1</v>
      </c>
      <c r="GL26" s="14"/>
      <c r="GM26" s="14"/>
      <c r="GN26" s="14">
        <v>1</v>
      </c>
      <c r="GO26" s="14">
        <v>1</v>
      </c>
      <c r="GP26" s="14">
        <v>1</v>
      </c>
      <c r="GQ26" s="14">
        <v>1</v>
      </c>
      <c r="GR26" s="14">
        <v>2</v>
      </c>
      <c r="GS26" s="14">
        <v>1</v>
      </c>
      <c r="GT26" s="14">
        <v>1</v>
      </c>
      <c r="GU26" s="14">
        <v>1</v>
      </c>
      <c r="GV26" s="14">
        <v>1</v>
      </c>
      <c r="GW26" s="14">
        <v>1</v>
      </c>
      <c r="GX26" s="14">
        <v>1</v>
      </c>
      <c r="GY26" s="14">
        <v>1</v>
      </c>
      <c r="GZ26" s="14">
        <v>1</v>
      </c>
      <c r="HA26" s="14"/>
      <c r="HB26" s="14"/>
      <c r="HC26" s="14"/>
      <c r="HD26" s="14"/>
      <c r="HE26" s="14"/>
      <c r="HF26" s="14"/>
      <c r="HG26" s="14">
        <v>1</v>
      </c>
      <c r="HH26" s="14">
        <v>1</v>
      </c>
      <c r="HI26" s="14">
        <v>1</v>
      </c>
      <c r="HJ26" s="14">
        <v>1</v>
      </c>
      <c r="HK26" s="14">
        <v>1</v>
      </c>
      <c r="HL26" s="14">
        <v>1</v>
      </c>
      <c r="HM26" s="14">
        <v>1</v>
      </c>
      <c r="HN26" s="14">
        <v>2</v>
      </c>
      <c r="HO26" s="14">
        <v>3</v>
      </c>
      <c r="HP26" s="14">
        <v>1</v>
      </c>
      <c r="HQ26" s="14">
        <v>4</v>
      </c>
      <c r="HR26" s="14">
        <v>4</v>
      </c>
      <c r="HS26" s="14">
        <v>4</v>
      </c>
      <c r="HT26" s="14">
        <v>4</v>
      </c>
      <c r="HU26" s="14">
        <v>4</v>
      </c>
      <c r="HV26" s="14">
        <v>4</v>
      </c>
      <c r="HW26" s="14">
        <v>1</v>
      </c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</row>
    <row r="27" spans="1:280" s="2" customFormat="1" x14ac:dyDescent="0.35">
      <c r="A27" s="2" t="s">
        <v>41</v>
      </c>
      <c r="BN27" s="2">
        <f>BN26*20</f>
        <v>120</v>
      </c>
      <c r="BO27" s="2">
        <f>BO26*20</f>
        <v>120</v>
      </c>
      <c r="BP27" s="2">
        <f t="shared" ref="BP27:EA27" si="303">BP26*20</f>
        <v>20</v>
      </c>
      <c r="BQ27" s="2">
        <f t="shared" si="303"/>
        <v>20</v>
      </c>
      <c r="BR27" s="2">
        <f t="shared" si="303"/>
        <v>40</v>
      </c>
      <c r="BS27" s="17">
        <f t="shared" si="303"/>
        <v>20</v>
      </c>
      <c r="BT27" s="17">
        <f t="shared" si="303"/>
        <v>0</v>
      </c>
      <c r="BU27" s="17">
        <f t="shared" si="303"/>
        <v>40</v>
      </c>
      <c r="BV27" s="17">
        <f t="shared" si="303"/>
        <v>40</v>
      </c>
      <c r="BW27" s="17">
        <f t="shared" si="303"/>
        <v>20</v>
      </c>
      <c r="BX27" s="17">
        <f t="shared" si="303"/>
        <v>20</v>
      </c>
      <c r="BY27" s="17">
        <f t="shared" si="303"/>
        <v>20</v>
      </c>
      <c r="BZ27" s="17">
        <f t="shared" si="303"/>
        <v>20</v>
      </c>
      <c r="CA27" s="17">
        <f t="shared" si="303"/>
        <v>0</v>
      </c>
      <c r="CB27" s="17">
        <f t="shared" si="303"/>
        <v>0</v>
      </c>
      <c r="CC27" s="17">
        <f t="shared" si="303"/>
        <v>0</v>
      </c>
      <c r="CD27" s="17">
        <f t="shared" si="303"/>
        <v>0</v>
      </c>
      <c r="CE27" s="17">
        <f t="shared" si="303"/>
        <v>0</v>
      </c>
      <c r="CF27" s="17">
        <f t="shared" si="303"/>
        <v>0</v>
      </c>
      <c r="CG27" s="17">
        <f t="shared" si="303"/>
        <v>0</v>
      </c>
      <c r="CH27" s="17">
        <f t="shared" si="303"/>
        <v>0</v>
      </c>
      <c r="CI27" s="17">
        <f t="shared" si="303"/>
        <v>0</v>
      </c>
      <c r="CJ27" s="17">
        <f t="shared" si="303"/>
        <v>0</v>
      </c>
      <c r="CK27" s="17">
        <f t="shared" si="303"/>
        <v>0</v>
      </c>
      <c r="CL27" s="17">
        <f t="shared" si="303"/>
        <v>0</v>
      </c>
      <c r="CM27" s="17">
        <f t="shared" si="303"/>
        <v>0</v>
      </c>
      <c r="CN27" s="17">
        <f t="shared" si="303"/>
        <v>0</v>
      </c>
      <c r="CO27" s="17">
        <f t="shared" si="303"/>
        <v>20</v>
      </c>
      <c r="CP27" s="17">
        <f t="shared" si="303"/>
        <v>20</v>
      </c>
      <c r="CQ27" s="17">
        <f t="shared" si="303"/>
        <v>20</v>
      </c>
      <c r="CR27" s="17">
        <f t="shared" si="303"/>
        <v>20</v>
      </c>
      <c r="CS27" s="17">
        <f t="shared" si="303"/>
        <v>20</v>
      </c>
      <c r="CT27" s="17">
        <f t="shared" si="303"/>
        <v>20</v>
      </c>
      <c r="CU27" s="17">
        <f t="shared" si="303"/>
        <v>20</v>
      </c>
      <c r="CV27" s="17">
        <f t="shared" si="303"/>
        <v>20</v>
      </c>
      <c r="CW27" s="17">
        <f t="shared" si="303"/>
        <v>0</v>
      </c>
      <c r="CX27" s="17">
        <f t="shared" si="303"/>
        <v>0</v>
      </c>
      <c r="CY27" s="17">
        <f t="shared" si="303"/>
        <v>0</v>
      </c>
      <c r="CZ27" s="17">
        <f t="shared" si="303"/>
        <v>0</v>
      </c>
      <c r="DA27" s="17">
        <f t="shared" si="303"/>
        <v>0</v>
      </c>
      <c r="DB27" s="17">
        <f t="shared" si="303"/>
        <v>0</v>
      </c>
      <c r="DC27" s="17">
        <f t="shared" si="303"/>
        <v>0</v>
      </c>
      <c r="DD27" s="17">
        <f t="shared" si="303"/>
        <v>0</v>
      </c>
      <c r="DE27" s="17">
        <f t="shared" si="303"/>
        <v>0</v>
      </c>
      <c r="DF27" s="17">
        <f t="shared" si="303"/>
        <v>20</v>
      </c>
      <c r="DG27" s="17">
        <f t="shared" si="303"/>
        <v>20</v>
      </c>
      <c r="DH27" s="17">
        <f t="shared" si="303"/>
        <v>20</v>
      </c>
      <c r="DI27" s="17">
        <f t="shared" si="303"/>
        <v>20</v>
      </c>
      <c r="DJ27" s="17">
        <f t="shared" si="303"/>
        <v>20</v>
      </c>
      <c r="DK27" s="17">
        <f t="shared" si="303"/>
        <v>0</v>
      </c>
      <c r="DL27" s="17">
        <f t="shared" si="303"/>
        <v>0</v>
      </c>
      <c r="DM27" s="17">
        <f t="shared" si="303"/>
        <v>0</v>
      </c>
      <c r="DN27" s="17">
        <f t="shared" si="303"/>
        <v>0</v>
      </c>
      <c r="DO27" s="17">
        <f t="shared" si="303"/>
        <v>0</v>
      </c>
      <c r="DP27" s="17">
        <f t="shared" si="303"/>
        <v>0</v>
      </c>
      <c r="DQ27" s="17">
        <f t="shared" si="303"/>
        <v>0</v>
      </c>
      <c r="DR27" s="17">
        <f t="shared" si="303"/>
        <v>0</v>
      </c>
      <c r="DS27" s="17">
        <f t="shared" si="303"/>
        <v>0</v>
      </c>
      <c r="DT27" s="17">
        <f t="shared" si="303"/>
        <v>0</v>
      </c>
      <c r="DU27" s="17">
        <f t="shared" si="303"/>
        <v>0</v>
      </c>
      <c r="DV27" s="17">
        <f t="shared" si="303"/>
        <v>0</v>
      </c>
      <c r="DW27" s="17">
        <f t="shared" si="303"/>
        <v>0</v>
      </c>
      <c r="DX27" s="17">
        <f t="shared" si="303"/>
        <v>20</v>
      </c>
      <c r="DY27" s="17">
        <f t="shared" si="303"/>
        <v>20</v>
      </c>
      <c r="DZ27" s="17">
        <f t="shared" si="303"/>
        <v>20</v>
      </c>
      <c r="EA27" s="17">
        <f t="shared" si="303"/>
        <v>0</v>
      </c>
      <c r="EB27" s="17">
        <f t="shared" ref="EB27:GM27" si="304">EB26*20</f>
        <v>0</v>
      </c>
      <c r="EC27" s="17">
        <f t="shared" si="304"/>
        <v>0</v>
      </c>
      <c r="ED27" s="17">
        <f t="shared" si="304"/>
        <v>20</v>
      </c>
      <c r="EE27" s="17">
        <f t="shared" si="304"/>
        <v>20</v>
      </c>
      <c r="EF27" s="17">
        <f t="shared" si="304"/>
        <v>20</v>
      </c>
      <c r="EG27" s="17">
        <f t="shared" si="304"/>
        <v>20</v>
      </c>
      <c r="EH27" s="17">
        <f t="shared" si="304"/>
        <v>40</v>
      </c>
      <c r="EI27" s="17">
        <f t="shared" si="304"/>
        <v>40</v>
      </c>
      <c r="EJ27" s="17">
        <f t="shared" si="304"/>
        <v>40</v>
      </c>
      <c r="EK27" s="17">
        <f t="shared" si="304"/>
        <v>40</v>
      </c>
      <c r="EL27" s="17">
        <f t="shared" si="304"/>
        <v>60</v>
      </c>
      <c r="EM27" s="17">
        <f t="shared" si="304"/>
        <v>80</v>
      </c>
      <c r="EN27" s="17">
        <f t="shared" si="304"/>
        <v>40</v>
      </c>
      <c r="EO27" s="17">
        <f t="shared" si="304"/>
        <v>40</v>
      </c>
      <c r="EP27" s="17">
        <f t="shared" si="304"/>
        <v>40</v>
      </c>
      <c r="EQ27" s="17">
        <f t="shared" si="304"/>
        <v>40</v>
      </c>
      <c r="ER27" s="17">
        <f t="shared" si="304"/>
        <v>40</v>
      </c>
      <c r="ES27" s="17">
        <f t="shared" si="304"/>
        <v>40</v>
      </c>
      <c r="ET27" s="17">
        <f t="shared" si="304"/>
        <v>40</v>
      </c>
      <c r="EU27" s="17">
        <f t="shared" si="304"/>
        <v>40</v>
      </c>
      <c r="EV27" s="17">
        <f t="shared" si="304"/>
        <v>20</v>
      </c>
      <c r="EW27" s="17">
        <f t="shared" si="304"/>
        <v>20</v>
      </c>
      <c r="EX27" s="17">
        <f t="shared" si="304"/>
        <v>20</v>
      </c>
      <c r="EY27" s="17">
        <f t="shared" si="304"/>
        <v>20</v>
      </c>
      <c r="EZ27" s="17">
        <f t="shared" si="304"/>
        <v>20</v>
      </c>
      <c r="FA27" s="17">
        <f t="shared" si="304"/>
        <v>20</v>
      </c>
      <c r="FB27" s="17">
        <f t="shared" si="304"/>
        <v>0</v>
      </c>
      <c r="FC27" s="17">
        <f t="shared" si="304"/>
        <v>0</v>
      </c>
      <c r="FD27" s="17">
        <f t="shared" si="304"/>
        <v>0</v>
      </c>
      <c r="FE27" s="17">
        <f t="shared" si="304"/>
        <v>0</v>
      </c>
      <c r="FF27" s="17">
        <f t="shared" si="304"/>
        <v>0</v>
      </c>
      <c r="FG27" s="17">
        <f t="shared" si="304"/>
        <v>0</v>
      </c>
      <c r="FH27" s="17">
        <f t="shared" si="304"/>
        <v>0</v>
      </c>
      <c r="FI27" s="17">
        <f t="shared" si="304"/>
        <v>0</v>
      </c>
      <c r="FJ27" s="17">
        <f t="shared" si="304"/>
        <v>0</v>
      </c>
      <c r="FK27" s="17">
        <f t="shared" si="304"/>
        <v>0</v>
      </c>
      <c r="FL27" s="17">
        <f t="shared" si="304"/>
        <v>0</v>
      </c>
      <c r="FM27" s="17">
        <f t="shared" si="304"/>
        <v>0</v>
      </c>
      <c r="FN27" s="17">
        <f t="shared" si="304"/>
        <v>0</v>
      </c>
      <c r="FO27" s="17">
        <f t="shared" si="304"/>
        <v>0</v>
      </c>
      <c r="FP27" s="17">
        <f t="shared" si="304"/>
        <v>0</v>
      </c>
      <c r="FQ27" s="17">
        <f t="shared" si="304"/>
        <v>20</v>
      </c>
      <c r="FR27" s="17">
        <f t="shared" si="304"/>
        <v>40</v>
      </c>
      <c r="FS27" s="17">
        <f t="shared" si="304"/>
        <v>0</v>
      </c>
      <c r="FT27" s="17">
        <f t="shared" si="304"/>
        <v>0</v>
      </c>
      <c r="FU27" s="17">
        <f t="shared" si="304"/>
        <v>0</v>
      </c>
      <c r="FV27" s="17">
        <f t="shared" si="304"/>
        <v>0</v>
      </c>
      <c r="FW27" s="17">
        <f t="shared" si="304"/>
        <v>0</v>
      </c>
      <c r="FX27" s="17">
        <f t="shared" si="304"/>
        <v>0</v>
      </c>
      <c r="FY27" s="17">
        <f t="shared" si="304"/>
        <v>0</v>
      </c>
      <c r="FZ27" s="17">
        <f t="shared" si="304"/>
        <v>0</v>
      </c>
      <c r="GA27" s="17">
        <f t="shared" si="304"/>
        <v>20</v>
      </c>
      <c r="GB27" s="17">
        <f t="shared" si="304"/>
        <v>20</v>
      </c>
      <c r="GC27" s="17">
        <f t="shared" si="304"/>
        <v>20</v>
      </c>
      <c r="GD27" s="17">
        <f t="shared" si="304"/>
        <v>20</v>
      </c>
      <c r="GE27" s="17">
        <f t="shared" si="304"/>
        <v>20</v>
      </c>
      <c r="GF27" s="17">
        <f t="shared" si="304"/>
        <v>20</v>
      </c>
      <c r="GG27" s="17">
        <f t="shared" si="304"/>
        <v>20</v>
      </c>
      <c r="GH27" s="17">
        <f t="shared" si="304"/>
        <v>20</v>
      </c>
      <c r="GI27" s="17">
        <f t="shared" si="304"/>
        <v>20</v>
      </c>
      <c r="GJ27" s="17">
        <f t="shared" si="304"/>
        <v>20</v>
      </c>
      <c r="GK27" s="17">
        <f t="shared" si="304"/>
        <v>20</v>
      </c>
      <c r="GL27" s="17">
        <f t="shared" si="304"/>
        <v>0</v>
      </c>
      <c r="GM27" s="17">
        <f t="shared" si="304"/>
        <v>0</v>
      </c>
      <c r="GN27" s="17">
        <f t="shared" ref="GN27:HY27" si="305">GN26*20</f>
        <v>20</v>
      </c>
      <c r="GO27" s="17">
        <f t="shared" si="305"/>
        <v>20</v>
      </c>
      <c r="GP27" s="17">
        <f t="shared" si="305"/>
        <v>20</v>
      </c>
      <c r="GQ27" s="17">
        <f t="shared" si="305"/>
        <v>20</v>
      </c>
      <c r="GR27" s="17">
        <f t="shared" si="305"/>
        <v>40</v>
      </c>
      <c r="GS27" s="17">
        <f t="shared" si="305"/>
        <v>20</v>
      </c>
      <c r="GT27" s="17">
        <f t="shared" si="305"/>
        <v>20</v>
      </c>
      <c r="GU27" s="17">
        <f t="shared" si="305"/>
        <v>20</v>
      </c>
      <c r="GV27" s="17">
        <f t="shared" si="305"/>
        <v>20</v>
      </c>
      <c r="GW27" s="17">
        <f t="shared" si="305"/>
        <v>20</v>
      </c>
      <c r="GX27" s="17">
        <f t="shared" si="305"/>
        <v>20</v>
      </c>
      <c r="GY27" s="17">
        <f t="shared" si="305"/>
        <v>20</v>
      </c>
      <c r="GZ27" s="17">
        <f t="shared" si="305"/>
        <v>20</v>
      </c>
      <c r="HA27" s="17">
        <f t="shared" si="305"/>
        <v>0</v>
      </c>
      <c r="HB27" s="17">
        <f t="shared" si="305"/>
        <v>0</v>
      </c>
      <c r="HC27" s="17">
        <f t="shared" si="305"/>
        <v>0</v>
      </c>
      <c r="HD27" s="17">
        <f t="shared" si="305"/>
        <v>0</v>
      </c>
      <c r="HE27" s="17">
        <f t="shared" si="305"/>
        <v>0</v>
      </c>
      <c r="HF27" s="17">
        <f t="shared" si="305"/>
        <v>0</v>
      </c>
      <c r="HG27" s="17">
        <f t="shared" si="305"/>
        <v>20</v>
      </c>
      <c r="HH27" s="17">
        <f t="shared" si="305"/>
        <v>20</v>
      </c>
      <c r="HI27" s="17">
        <f t="shared" si="305"/>
        <v>20</v>
      </c>
      <c r="HJ27" s="17">
        <f t="shared" si="305"/>
        <v>20</v>
      </c>
      <c r="HK27" s="17">
        <f t="shared" si="305"/>
        <v>20</v>
      </c>
      <c r="HL27" s="17">
        <f t="shared" si="305"/>
        <v>20</v>
      </c>
      <c r="HM27" s="17">
        <f t="shared" si="305"/>
        <v>20</v>
      </c>
      <c r="HN27" s="17">
        <f t="shared" si="305"/>
        <v>40</v>
      </c>
      <c r="HO27" s="17">
        <f t="shared" si="305"/>
        <v>60</v>
      </c>
      <c r="HP27" s="17">
        <f t="shared" si="305"/>
        <v>20</v>
      </c>
      <c r="HQ27" s="17">
        <f t="shared" si="305"/>
        <v>80</v>
      </c>
      <c r="HR27" s="17">
        <f t="shared" si="305"/>
        <v>80</v>
      </c>
      <c r="HS27" s="17">
        <f t="shared" si="305"/>
        <v>80</v>
      </c>
      <c r="HT27" s="17">
        <f t="shared" si="305"/>
        <v>80</v>
      </c>
      <c r="HU27" s="17">
        <f t="shared" si="305"/>
        <v>80</v>
      </c>
      <c r="HV27" s="17">
        <f t="shared" si="305"/>
        <v>80</v>
      </c>
      <c r="HW27" s="17">
        <f t="shared" si="305"/>
        <v>20</v>
      </c>
      <c r="HX27" s="17">
        <f t="shared" si="305"/>
        <v>0</v>
      </c>
      <c r="HY27" s="17">
        <f t="shared" si="305"/>
        <v>0</v>
      </c>
      <c r="HZ27" s="17">
        <f>HZ26*16.38</f>
        <v>0</v>
      </c>
      <c r="IA27" s="17">
        <f t="shared" ref="IA27:IV27" si="306">IA26*16.38</f>
        <v>0</v>
      </c>
      <c r="IB27" s="17">
        <f t="shared" si="306"/>
        <v>0</v>
      </c>
      <c r="IC27" s="17">
        <f t="shared" si="306"/>
        <v>0</v>
      </c>
      <c r="ID27" s="17">
        <f t="shared" si="306"/>
        <v>0</v>
      </c>
      <c r="IE27" s="17">
        <f t="shared" si="306"/>
        <v>0</v>
      </c>
      <c r="IF27" s="17">
        <f t="shared" si="306"/>
        <v>0</v>
      </c>
      <c r="IG27" s="17">
        <f t="shared" si="306"/>
        <v>0</v>
      </c>
      <c r="IH27" s="17">
        <f t="shared" si="306"/>
        <v>0</v>
      </c>
      <c r="II27" s="17">
        <f t="shared" si="306"/>
        <v>0</v>
      </c>
      <c r="IJ27" s="17">
        <f t="shared" si="306"/>
        <v>0</v>
      </c>
      <c r="IK27" s="17">
        <f t="shared" si="306"/>
        <v>0</v>
      </c>
      <c r="IL27" s="17">
        <f t="shared" si="306"/>
        <v>0</v>
      </c>
      <c r="IM27" s="17">
        <f t="shared" si="306"/>
        <v>0</v>
      </c>
      <c r="IN27" s="17">
        <f t="shared" si="306"/>
        <v>0</v>
      </c>
      <c r="IO27" s="17">
        <f t="shared" si="306"/>
        <v>0</v>
      </c>
      <c r="IP27" s="17">
        <f t="shared" si="306"/>
        <v>0</v>
      </c>
      <c r="IQ27" s="17">
        <f t="shared" si="306"/>
        <v>0</v>
      </c>
      <c r="IR27" s="17">
        <f t="shared" si="306"/>
        <v>0</v>
      </c>
      <c r="IS27" s="17">
        <f t="shared" si="306"/>
        <v>0</v>
      </c>
      <c r="IT27" s="17">
        <f t="shared" si="306"/>
        <v>0</v>
      </c>
      <c r="IU27" s="17">
        <f t="shared" si="306"/>
        <v>0</v>
      </c>
      <c r="IV27" s="17">
        <f t="shared" si="306"/>
        <v>0</v>
      </c>
      <c r="IW27" s="17">
        <f t="shared" ref="IW27:JC27" si="307">IW26*16.38</f>
        <v>0</v>
      </c>
      <c r="IX27" s="17">
        <f t="shared" si="307"/>
        <v>0</v>
      </c>
      <c r="IY27" s="17">
        <f t="shared" si="307"/>
        <v>0</v>
      </c>
      <c r="IZ27" s="17">
        <f t="shared" si="307"/>
        <v>0</v>
      </c>
      <c r="JA27" s="17">
        <f t="shared" si="307"/>
        <v>0</v>
      </c>
      <c r="JB27" s="17">
        <f t="shared" si="307"/>
        <v>0</v>
      </c>
      <c r="JC27" s="17">
        <f t="shared" si="307"/>
        <v>0</v>
      </c>
      <c r="JD27" s="17">
        <f t="shared" ref="JD27:JJ27" si="308">JD26*16.38</f>
        <v>0</v>
      </c>
      <c r="JE27" s="17">
        <f t="shared" si="308"/>
        <v>0</v>
      </c>
      <c r="JF27" s="17">
        <f t="shared" si="308"/>
        <v>0</v>
      </c>
      <c r="JG27" s="17">
        <f t="shared" si="308"/>
        <v>0</v>
      </c>
      <c r="JH27" s="17">
        <f t="shared" si="308"/>
        <v>0</v>
      </c>
      <c r="JI27" s="17">
        <f t="shared" si="308"/>
        <v>0</v>
      </c>
      <c r="JJ27" s="17">
        <f t="shared" si="308"/>
        <v>0</v>
      </c>
      <c r="JK27" s="17">
        <f t="shared" ref="JK27:JT27" si="309">JK26*16.38</f>
        <v>0</v>
      </c>
      <c r="JL27" s="17">
        <f t="shared" si="309"/>
        <v>0</v>
      </c>
      <c r="JM27" s="17">
        <f t="shared" si="309"/>
        <v>0</v>
      </c>
      <c r="JN27" s="17">
        <f t="shared" si="309"/>
        <v>0</v>
      </c>
      <c r="JO27" s="17">
        <f t="shared" si="309"/>
        <v>0</v>
      </c>
      <c r="JP27" s="17">
        <f t="shared" si="309"/>
        <v>0</v>
      </c>
      <c r="JQ27" s="17">
        <f t="shared" si="309"/>
        <v>0</v>
      </c>
      <c r="JR27" s="17">
        <f t="shared" si="309"/>
        <v>0</v>
      </c>
      <c r="JS27" s="17">
        <f t="shared" si="309"/>
        <v>0</v>
      </c>
      <c r="JT27" s="17">
        <f t="shared" si="309"/>
        <v>0</v>
      </c>
    </row>
    <row r="28" spans="1:280" s="1" customFormat="1" x14ac:dyDescent="0.35">
      <c r="A28" s="1" t="s">
        <v>126</v>
      </c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</row>
    <row r="29" spans="1:280" s="2" customFormat="1" x14ac:dyDescent="0.35">
      <c r="A29" s="2" t="s">
        <v>41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>
        <f>HZ28*16.38</f>
        <v>0</v>
      </c>
      <c r="IA29" s="17">
        <f t="shared" ref="IA29:IV29" si="310">IA28*16.38</f>
        <v>0</v>
      </c>
      <c r="IB29" s="17">
        <f t="shared" si="310"/>
        <v>0</v>
      </c>
      <c r="IC29" s="17">
        <f t="shared" si="310"/>
        <v>0</v>
      </c>
      <c r="ID29" s="17">
        <f t="shared" si="310"/>
        <v>0</v>
      </c>
      <c r="IE29" s="17">
        <f t="shared" si="310"/>
        <v>0</v>
      </c>
      <c r="IF29" s="17">
        <f t="shared" si="310"/>
        <v>0</v>
      </c>
      <c r="IG29" s="17">
        <f t="shared" si="310"/>
        <v>0</v>
      </c>
      <c r="IH29" s="17">
        <f t="shared" si="310"/>
        <v>0</v>
      </c>
      <c r="II29" s="17">
        <f t="shared" si="310"/>
        <v>0</v>
      </c>
      <c r="IJ29" s="17">
        <f t="shared" si="310"/>
        <v>0</v>
      </c>
      <c r="IK29" s="17">
        <f t="shared" si="310"/>
        <v>0</v>
      </c>
      <c r="IL29" s="17">
        <f t="shared" si="310"/>
        <v>0</v>
      </c>
      <c r="IM29" s="17">
        <f t="shared" si="310"/>
        <v>0</v>
      </c>
      <c r="IN29" s="17">
        <f t="shared" si="310"/>
        <v>0</v>
      </c>
      <c r="IO29" s="17">
        <f t="shared" si="310"/>
        <v>0</v>
      </c>
      <c r="IP29" s="17">
        <f t="shared" si="310"/>
        <v>0</v>
      </c>
      <c r="IQ29" s="17">
        <f t="shared" si="310"/>
        <v>0</v>
      </c>
      <c r="IR29" s="17">
        <f t="shared" si="310"/>
        <v>0</v>
      </c>
      <c r="IS29" s="17">
        <f t="shared" si="310"/>
        <v>0</v>
      </c>
      <c r="IT29" s="17">
        <f t="shared" si="310"/>
        <v>0</v>
      </c>
      <c r="IU29" s="17">
        <f t="shared" si="310"/>
        <v>0</v>
      </c>
      <c r="IV29" s="17">
        <f t="shared" si="310"/>
        <v>0</v>
      </c>
      <c r="IW29" s="17">
        <f t="shared" ref="IW29:JC29" si="311">IW28*16.38</f>
        <v>0</v>
      </c>
      <c r="IX29" s="17">
        <f t="shared" si="311"/>
        <v>0</v>
      </c>
      <c r="IY29" s="17">
        <f t="shared" si="311"/>
        <v>0</v>
      </c>
      <c r="IZ29" s="17">
        <f t="shared" si="311"/>
        <v>0</v>
      </c>
      <c r="JA29" s="17">
        <f t="shared" si="311"/>
        <v>0</v>
      </c>
      <c r="JB29" s="17">
        <f t="shared" si="311"/>
        <v>0</v>
      </c>
      <c r="JC29" s="17">
        <f t="shared" si="311"/>
        <v>0</v>
      </c>
      <c r="JD29" s="17">
        <f t="shared" ref="JD29:JJ29" si="312">JD28*16.38</f>
        <v>0</v>
      </c>
      <c r="JE29" s="17">
        <f t="shared" si="312"/>
        <v>0</v>
      </c>
      <c r="JF29" s="17">
        <f t="shared" si="312"/>
        <v>0</v>
      </c>
      <c r="JG29" s="17">
        <f t="shared" si="312"/>
        <v>0</v>
      </c>
      <c r="JH29" s="17">
        <f t="shared" si="312"/>
        <v>0</v>
      </c>
      <c r="JI29" s="17">
        <f t="shared" si="312"/>
        <v>0</v>
      </c>
      <c r="JJ29" s="17">
        <f t="shared" si="312"/>
        <v>0</v>
      </c>
      <c r="JK29" s="17">
        <f t="shared" ref="JK29:JT29" si="313">JK28*16.38</f>
        <v>0</v>
      </c>
      <c r="JL29" s="17">
        <f t="shared" si="313"/>
        <v>0</v>
      </c>
      <c r="JM29" s="17">
        <f t="shared" si="313"/>
        <v>0</v>
      </c>
      <c r="JN29" s="17">
        <f t="shared" si="313"/>
        <v>0</v>
      </c>
      <c r="JO29" s="17">
        <f t="shared" si="313"/>
        <v>0</v>
      </c>
      <c r="JP29" s="17">
        <f t="shared" si="313"/>
        <v>0</v>
      </c>
      <c r="JQ29" s="17">
        <f t="shared" si="313"/>
        <v>0</v>
      </c>
      <c r="JR29" s="17">
        <f t="shared" si="313"/>
        <v>0</v>
      </c>
      <c r="JS29" s="17">
        <f t="shared" si="313"/>
        <v>0</v>
      </c>
      <c r="JT29" s="17">
        <f t="shared" si="313"/>
        <v>0</v>
      </c>
    </row>
    <row r="30" spans="1:280" s="10" customFormat="1" x14ac:dyDescent="0.35">
      <c r="A30" s="10" t="s">
        <v>125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>
        <f>SUM(HZ27,HZ25,HZ29,)</f>
        <v>0</v>
      </c>
      <c r="IA30" s="16">
        <f t="shared" ref="IA30:IV30" si="314">SUM(IA27,IA25,IA29,)</f>
        <v>0</v>
      </c>
      <c r="IB30" s="16">
        <f t="shared" si="314"/>
        <v>0</v>
      </c>
      <c r="IC30" s="16">
        <f t="shared" si="314"/>
        <v>0</v>
      </c>
      <c r="ID30" s="16">
        <f t="shared" si="314"/>
        <v>0</v>
      </c>
      <c r="IE30" s="16">
        <f t="shared" si="314"/>
        <v>0</v>
      </c>
      <c r="IF30" s="16">
        <f t="shared" si="314"/>
        <v>0</v>
      </c>
      <c r="IG30" s="16">
        <f t="shared" si="314"/>
        <v>0</v>
      </c>
      <c r="IH30" s="16">
        <f t="shared" si="314"/>
        <v>0</v>
      </c>
      <c r="II30" s="16">
        <f t="shared" si="314"/>
        <v>0</v>
      </c>
      <c r="IJ30" s="16">
        <f t="shared" si="314"/>
        <v>0</v>
      </c>
      <c r="IK30" s="16">
        <f t="shared" si="314"/>
        <v>0</v>
      </c>
      <c r="IL30" s="16">
        <f t="shared" si="314"/>
        <v>0</v>
      </c>
      <c r="IM30" s="16">
        <f t="shared" si="314"/>
        <v>0</v>
      </c>
      <c r="IN30" s="16">
        <f t="shared" si="314"/>
        <v>0</v>
      </c>
      <c r="IO30" s="16">
        <f t="shared" si="314"/>
        <v>0</v>
      </c>
      <c r="IP30" s="16">
        <f t="shared" si="314"/>
        <v>0</v>
      </c>
      <c r="IQ30" s="16">
        <f t="shared" si="314"/>
        <v>0</v>
      </c>
      <c r="IR30" s="16">
        <f t="shared" si="314"/>
        <v>0</v>
      </c>
      <c r="IS30" s="16">
        <f t="shared" si="314"/>
        <v>0</v>
      </c>
      <c r="IT30" s="16">
        <f t="shared" si="314"/>
        <v>0</v>
      </c>
      <c r="IU30" s="16">
        <f t="shared" si="314"/>
        <v>0</v>
      </c>
      <c r="IV30" s="16">
        <f t="shared" si="314"/>
        <v>0</v>
      </c>
      <c r="IW30" s="16">
        <f t="shared" ref="IW30:JC30" si="315">SUM(IW27,IW25,IW29,)</f>
        <v>0</v>
      </c>
      <c r="IX30" s="16">
        <f t="shared" si="315"/>
        <v>0</v>
      </c>
      <c r="IY30" s="16">
        <f t="shared" si="315"/>
        <v>0</v>
      </c>
      <c r="IZ30" s="16">
        <f t="shared" si="315"/>
        <v>0</v>
      </c>
      <c r="JA30" s="16">
        <f t="shared" si="315"/>
        <v>0</v>
      </c>
      <c r="JB30" s="16">
        <f t="shared" si="315"/>
        <v>0</v>
      </c>
      <c r="JC30" s="16">
        <f t="shared" si="315"/>
        <v>0</v>
      </c>
      <c r="JD30" s="16">
        <f t="shared" ref="JD30:JJ30" si="316">SUM(JD27,JD25,JD29,)</f>
        <v>0</v>
      </c>
      <c r="JE30" s="16">
        <f t="shared" si="316"/>
        <v>0</v>
      </c>
      <c r="JF30" s="16">
        <f t="shared" si="316"/>
        <v>0</v>
      </c>
      <c r="JG30" s="16">
        <f t="shared" si="316"/>
        <v>0</v>
      </c>
      <c r="JH30" s="16">
        <f t="shared" si="316"/>
        <v>0</v>
      </c>
      <c r="JI30" s="16">
        <f t="shared" si="316"/>
        <v>0</v>
      </c>
      <c r="JJ30" s="16">
        <f t="shared" si="316"/>
        <v>0</v>
      </c>
      <c r="JK30" s="16">
        <f t="shared" ref="JK30:JT30" si="317">SUM(JK27,JK25,JK29,)</f>
        <v>0</v>
      </c>
      <c r="JL30" s="16">
        <f t="shared" si="317"/>
        <v>0</v>
      </c>
      <c r="JM30" s="16">
        <f t="shared" si="317"/>
        <v>0</v>
      </c>
      <c r="JN30" s="16">
        <f t="shared" si="317"/>
        <v>0</v>
      </c>
      <c r="JO30" s="16">
        <f t="shared" si="317"/>
        <v>0</v>
      </c>
      <c r="JP30" s="16">
        <f t="shared" si="317"/>
        <v>0</v>
      </c>
      <c r="JQ30" s="16">
        <f t="shared" si="317"/>
        <v>0</v>
      </c>
      <c r="JR30" s="16">
        <f t="shared" si="317"/>
        <v>0</v>
      </c>
      <c r="JS30" s="16">
        <f t="shared" si="317"/>
        <v>0</v>
      </c>
      <c r="JT30" s="16">
        <f t="shared" si="317"/>
        <v>0</v>
      </c>
    </row>
    <row r="31" spans="1:280" s="11" customFormat="1" x14ac:dyDescent="0.35">
      <c r="A31" s="11" t="s">
        <v>56</v>
      </c>
      <c r="AD31" s="11" t="e">
        <f>AD14+AD46+AD23</f>
        <v>#REF!</v>
      </c>
      <c r="AE31" s="11" t="e">
        <f>AE14+AE46+AE23</f>
        <v>#REF!</v>
      </c>
      <c r="AG31" s="13" t="e">
        <f t="shared" ref="AG31:CR31" si="318">AG14+AG46+AG23</f>
        <v>#REF!</v>
      </c>
      <c r="AH31" s="13" t="e">
        <f t="shared" si="318"/>
        <v>#REF!</v>
      </c>
      <c r="AI31" s="13" t="e">
        <f t="shared" si="318"/>
        <v>#REF!</v>
      </c>
      <c r="AJ31" s="13" t="e">
        <f t="shared" si="318"/>
        <v>#REF!</v>
      </c>
      <c r="AK31" s="13" t="e">
        <f t="shared" si="318"/>
        <v>#REF!</v>
      </c>
      <c r="AL31" s="13" t="e">
        <f t="shared" si="318"/>
        <v>#REF!</v>
      </c>
      <c r="AM31" s="13" t="e">
        <f t="shared" si="318"/>
        <v>#REF!</v>
      </c>
      <c r="AN31" s="13" t="e">
        <f t="shared" si="318"/>
        <v>#REF!</v>
      </c>
      <c r="AO31" s="13" t="e">
        <f t="shared" si="318"/>
        <v>#REF!</v>
      </c>
      <c r="AP31" s="13" t="e">
        <f t="shared" si="318"/>
        <v>#REF!</v>
      </c>
      <c r="AQ31" s="13" t="e">
        <f t="shared" si="318"/>
        <v>#REF!</v>
      </c>
      <c r="AR31" s="13" t="e">
        <f t="shared" si="318"/>
        <v>#REF!</v>
      </c>
      <c r="AS31" s="13" t="e">
        <f t="shared" si="318"/>
        <v>#REF!</v>
      </c>
      <c r="AT31" s="13" t="e">
        <f t="shared" si="318"/>
        <v>#REF!</v>
      </c>
      <c r="AU31" s="13" t="e">
        <f t="shared" si="318"/>
        <v>#REF!</v>
      </c>
      <c r="AV31" s="13" t="e">
        <f t="shared" si="318"/>
        <v>#REF!</v>
      </c>
      <c r="AW31" s="13" t="e">
        <f t="shared" si="318"/>
        <v>#REF!</v>
      </c>
      <c r="AX31" s="13" t="e">
        <f t="shared" si="318"/>
        <v>#REF!</v>
      </c>
      <c r="AY31" s="13" t="e">
        <f t="shared" si="318"/>
        <v>#REF!</v>
      </c>
      <c r="AZ31" s="13" t="e">
        <f t="shared" si="318"/>
        <v>#REF!</v>
      </c>
      <c r="BA31" s="13" t="e">
        <f t="shared" si="318"/>
        <v>#REF!</v>
      </c>
      <c r="BB31" s="13" t="e">
        <f t="shared" si="318"/>
        <v>#REF!</v>
      </c>
      <c r="BC31" s="13" t="e">
        <f t="shared" si="318"/>
        <v>#REF!</v>
      </c>
      <c r="BD31" s="13" t="e">
        <f t="shared" si="318"/>
        <v>#REF!</v>
      </c>
      <c r="BE31" s="13" t="e">
        <f t="shared" si="318"/>
        <v>#REF!</v>
      </c>
      <c r="BF31" s="13" t="e">
        <f t="shared" si="318"/>
        <v>#REF!</v>
      </c>
      <c r="BG31" s="13" t="e">
        <f t="shared" si="318"/>
        <v>#REF!</v>
      </c>
      <c r="BH31" s="13" t="e">
        <f t="shared" si="318"/>
        <v>#REF!</v>
      </c>
      <c r="BI31" s="13" t="e">
        <f t="shared" si="318"/>
        <v>#REF!</v>
      </c>
      <c r="BJ31" s="13" t="e">
        <f t="shared" si="318"/>
        <v>#REF!</v>
      </c>
      <c r="BK31" s="13" t="e">
        <f t="shared" si="318"/>
        <v>#REF!</v>
      </c>
      <c r="BL31" s="13" t="e">
        <f t="shared" si="318"/>
        <v>#REF!</v>
      </c>
      <c r="BM31" s="13" t="e">
        <f t="shared" si="318"/>
        <v>#REF!</v>
      </c>
      <c r="BN31" s="13">
        <f t="shared" si="318"/>
        <v>1020.1800000000001</v>
      </c>
      <c r="BO31" s="13">
        <f t="shared" si="318"/>
        <v>1064.1400000000001</v>
      </c>
      <c r="BP31" s="13">
        <f t="shared" si="318"/>
        <v>1062.42</v>
      </c>
      <c r="BQ31" s="13">
        <f t="shared" si="318"/>
        <v>1062.42</v>
      </c>
      <c r="BR31" s="13">
        <f t="shared" si="318"/>
        <v>1062.42</v>
      </c>
      <c r="BS31" s="13">
        <f t="shared" si="318"/>
        <v>1096.5999999999999</v>
      </c>
      <c r="BT31" s="13">
        <f t="shared" si="318"/>
        <v>1072.6400000000001</v>
      </c>
      <c r="BU31" s="13">
        <f t="shared" si="318"/>
        <v>1096.26</v>
      </c>
      <c r="BV31" s="13">
        <f t="shared" si="318"/>
        <v>1125.06</v>
      </c>
      <c r="BW31" s="13">
        <f t="shared" si="318"/>
        <v>1084.72</v>
      </c>
      <c r="BX31" s="13">
        <f t="shared" si="318"/>
        <v>1084.72</v>
      </c>
      <c r="BY31" s="13">
        <f t="shared" si="318"/>
        <v>1019.2</v>
      </c>
      <c r="BZ31" s="13">
        <f t="shared" si="318"/>
        <v>1019.2</v>
      </c>
      <c r="CA31" s="13">
        <f t="shared" si="318"/>
        <v>1008</v>
      </c>
      <c r="CB31" s="13">
        <f t="shared" si="318"/>
        <v>846.74</v>
      </c>
      <c r="CC31" s="13">
        <f t="shared" si="318"/>
        <v>846.74</v>
      </c>
      <c r="CD31" s="13">
        <f t="shared" si="318"/>
        <v>843.12</v>
      </c>
      <c r="CE31" s="13">
        <f t="shared" si="318"/>
        <v>843.12</v>
      </c>
      <c r="CF31" s="13">
        <f t="shared" si="318"/>
        <v>843.12</v>
      </c>
      <c r="CG31" s="13">
        <f t="shared" si="318"/>
        <v>843.12</v>
      </c>
      <c r="CH31" s="13">
        <f t="shared" si="318"/>
        <v>843.12</v>
      </c>
      <c r="CI31" s="13">
        <f t="shared" si="318"/>
        <v>843.12</v>
      </c>
      <c r="CJ31" s="13">
        <f t="shared" si="318"/>
        <v>843.12</v>
      </c>
      <c r="CK31" s="13">
        <f t="shared" si="318"/>
        <v>843.12</v>
      </c>
      <c r="CL31" s="13">
        <f t="shared" si="318"/>
        <v>843.12</v>
      </c>
      <c r="CM31" s="13">
        <f t="shared" si="318"/>
        <v>843.12</v>
      </c>
      <c r="CN31" s="13">
        <f t="shared" si="318"/>
        <v>843.12</v>
      </c>
      <c r="CO31" s="13">
        <f t="shared" si="318"/>
        <v>701.52</v>
      </c>
      <c r="CP31" s="13">
        <f t="shared" si="318"/>
        <v>701.52</v>
      </c>
      <c r="CQ31" s="13">
        <f t="shared" si="318"/>
        <v>701.52</v>
      </c>
      <c r="CR31" s="13">
        <f t="shared" si="318"/>
        <v>719.12</v>
      </c>
      <c r="CS31" s="13">
        <f t="shared" ref="CS31:FD31" si="319">CS14+CS46+CS23</f>
        <v>719.12</v>
      </c>
      <c r="CT31" s="13">
        <f t="shared" si="319"/>
        <v>719.12</v>
      </c>
      <c r="CU31" s="13">
        <f t="shared" si="319"/>
        <v>719.12</v>
      </c>
      <c r="CV31" s="13">
        <f t="shared" si="319"/>
        <v>719.12</v>
      </c>
      <c r="CW31" s="13">
        <f t="shared" si="319"/>
        <v>661.52</v>
      </c>
      <c r="CX31" s="13">
        <f t="shared" si="319"/>
        <v>719.12</v>
      </c>
      <c r="CY31" s="13">
        <f t="shared" si="319"/>
        <v>845.5200000000001</v>
      </c>
      <c r="CZ31" s="13">
        <f t="shared" si="319"/>
        <v>845.5200000000001</v>
      </c>
      <c r="DA31" s="13">
        <f t="shared" si="319"/>
        <v>825.52</v>
      </c>
      <c r="DB31" s="13">
        <f t="shared" si="319"/>
        <v>883.12</v>
      </c>
      <c r="DC31" s="13">
        <f t="shared" si="319"/>
        <v>652.72</v>
      </c>
      <c r="DD31" s="13">
        <f t="shared" si="319"/>
        <v>632.72</v>
      </c>
      <c r="DE31" s="13">
        <f t="shared" si="319"/>
        <v>632.72</v>
      </c>
      <c r="DF31" s="13">
        <f t="shared" si="319"/>
        <v>636.34</v>
      </c>
      <c r="DG31" s="13">
        <f t="shared" si="319"/>
        <v>636.34</v>
      </c>
      <c r="DH31" s="13">
        <f t="shared" si="319"/>
        <v>636.34</v>
      </c>
      <c r="DI31" s="13">
        <f t="shared" si="319"/>
        <v>636.34</v>
      </c>
      <c r="DJ31" s="13">
        <f t="shared" si="319"/>
        <v>636.34</v>
      </c>
      <c r="DK31" s="13">
        <f t="shared" si="319"/>
        <v>653.94000000000005</v>
      </c>
      <c r="DL31" s="13">
        <f t="shared" si="319"/>
        <v>653.94000000000005</v>
      </c>
      <c r="DM31" s="13">
        <f t="shared" si="319"/>
        <v>682.40000000000009</v>
      </c>
      <c r="DN31" s="13">
        <f t="shared" si="319"/>
        <v>682.40000000000009</v>
      </c>
      <c r="DO31" s="13">
        <f t="shared" si="319"/>
        <v>682.40000000000009</v>
      </c>
      <c r="DP31" s="13">
        <f t="shared" si="319"/>
        <v>682.40000000000009</v>
      </c>
      <c r="DQ31" s="13">
        <f t="shared" si="319"/>
        <v>682.40000000000009</v>
      </c>
      <c r="DR31" s="13">
        <f t="shared" si="319"/>
        <v>691.2</v>
      </c>
      <c r="DS31" s="13">
        <f t="shared" si="319"/>
        <v>691.2</v>
      </c>
      <c r="DT31" s="13">
        <f t="shared" si="319"/>
        <v>879.16000000000008</v>
      </c>
      <c r="DU31" s="13">
        <f t="shared" si="319"/>
        <v>879.16000000000008</v>
      </c>
      <c r="DV31" s="13">
        <f t="shared" si="319"/>
        <v>879.16000000000008</v>
      </c>
      <c r="DW31" s="13">
        <f t="shared" si="319"/>
        <v>879.16000000000008</v>
      </c>
      <c r="DX31" s="13">
        <f t="shared" si="319"/>
        <v>879.16000000000008</v>
      </c>
      <c r="DY31" s="13">
        <f t="shared" si="319"/>
        <v>883.12000000000012</v>
      </c>
      <c r="DZ31" s="13">
        <f t="shared" si="319"/>
        <v>883.12000000000012</v>
      </c>
      <c r="EA31" s="13">
        <f t="shared" si="319"/>
        <v>0</v>
      </c>
      <c r="EB31" s="13">
        <f t="shared" si="319"/>
        <v>0</v>
      </c>
      <c r="EC31" s="13">
        <f t="shared" si="319"/>
        <v>0</v>
      </c>
      <c r="ED31" s="13">
        <f t="shared" si="319"/>
        <v>879.16000000000008</v>
      </c>
      <c r="EE31" s="13">
        <f t="shared" si="319"/>
        <v>879.16000000000008</v>
      </c>
      <c r="EF31" s="13">
        <f t="shared" si="319"/>
        <v>879.16000000000008</v>
      </c>
      <c r="EG31" s="13">
        <f t="shared" si="319"/>
        <v>879.16000000000008</v>
      </c>
      <c r="EH31" s="13">
        <f t="shared" si="319"/>
        <v>895.19999999999993</v>
      </c>
      <c r="EI31" s="13">
        <f t="shared" si="319"/>
        <v>895.19999999999993</v>
      </c>
      <c r="EJ31" s="13">
        <f t="shared" si="319"/>
        <v>895.2</v>
      </c>
      <c r="EK31" s="13">
        <f t="shared" si="319"/>
        <v>895.2</v>
      </c>
      <c r="EL31" s="13">
        <f t="shared" si="319"/>
        <v>895.2</v>
      </c>
      <c r="EM31" s="13">
        <f t="shared" si="319"/>
        <v>886.4</v>
      </c>
      <c r="EN31" s="13">
        <f t="shared" si="319"/>
        <v>846.4</v>
      </c>
      <c r="EO31" s="13">
        <f t="shared" si="319"/>
        <v>857.59999999999991</v>
      </c>
      <c r="EP31" s="13">
        <f t="shared" si="319"/>
        <v>857.59999999999991</v>
      </c>
      <c r="EQ31" s="13">
        <f t="shared" si="319"/>
        <v>857.6</v>
      </c>
      <c r="ER31" s="13">
        <f t="shared" si="319"/>
        <v>857.6</v>
      </c>
      <c r="ES31" s="13">
        <f t="shared" si="319"/>
        <v>857.6</v>
      </c>
      <c r="ET31" s="13">
        <f t="shared" si="319"/>
        <v>857.59999999999991</v>
      </c>
      <c r="EU31" s="13">
        <f t="shared" si="319"/>
        <v>857.59999999999991</v>
      </c>
      <c r="EV31" s="13">
        <f t="shared" si="319"/>
        <v>830.36</v>
      </c>
      <c r="EW31" s="13">
        <f t="shared" si="319"/>
        <v>830.36</v>
      </c>
      <c r="EX31" s="13">
        <f t="shared" si="319"/>
        <v>841.56</v>
      </c>
      <c r="EY31" s="13">
        <f t="shared" si="319"/>
        <v>812.76</v>
      </c>
      <c r="EZ31" s="13">
        <f t="shared" si="319"/>
        <v>812.76</v>
      </c>
      <c r="FA31" s="13">
        <f t="shared" si="319"/>
        <v>812.76</v>
      </c>
      <c r="FB31" s="13">
        <f t="shared" si="319"/>
        <v>792.76</v>
      </c>
      <c r="FC31" s="13">
        <f t="shared" si="319"/>
        <v>723.96</v>
      </c>
      <c r="FD31" s="13">
        <f t="shared" si="319"/>
        <v>723.96</v>
      </c>
      <c r="FE31" s="13">
        <f t="shared" ref="FE31:HP31" si="320">FE14+FE46+FE23</f>
        <v>781.56</v>
      </c>
      <c r="FF31" s="13">
        <f t="shared" si="320"/>
        <v>839.16000000000008</v>
      </c>
      <c r="FG31" s="13">
        <f t="shared" si="320"/>
        <v>896.76</v>
      </c>
      <c r="FH31" s="13">
        <f t="shared" si="320"/>
        <v>954.3599999999999</v>
      </c>
      <c r="FI31" s="13">
        <f t="shared" si="320"/>
        <v>1011.96</v>
      </c>
      <c r="FJ31" s="13">
        <f t="shared" si="320"/>
        <v>854.32</v>
      </c>
      <c r="FK31" s="13">
        <f t="shared" si="320"/>
        <v>854.31999999999994</v>
      </c>
      <c r="FL31" s="13">
        <f t="shared" si="320"/>
        <v>854.31999999999994</v>
      </c>
      <c r="FM31" s="13">
        <f t="shared" si="320"/>
        <v>854.32</v>
      </c>
      <c r="FN31" s="13">
        <f t="shared" si="320"/>
        <v>854.32</v>
      </c>
      <c r="FO31" s="13">
        <f t="shared" si="320"/>
        <v>854.32</v>
      </c>
      <c r="FP31" s="13">
        <f t="shared" si="320"/>
        <v>854.31999999999994</v>
      </c>
      <c r="FQ31" s="13">
        <f t="shared" si="320"/>
        <v>829.14</v>
      </c>
      <c r="FR31" s="13">
        <f t="shared" si="320"/>
        <v>829.14</v>
      </c>
      <c r="FS31" s="13">
        <f t="shared" si="320"/>
        <v>625.14</v>
      </c>
      <c r="FT31" s="13">
        <f t="shared" si="320"/>
        <v>625.14</v>
      </c>
      <c r="FU31" s="13">
        <f t="shared" si="320"/>
        <v>625.14</v>
      </c>
      <c r="FV31" s="13">
        <f t="shared" si="320"/>
        <v>653.94000000000005</v>
      </c>
      <c r="FW31" s="13">
        <f t="shared" si="320"/>
        <v>653.94000000000005</v>
      </c>
      <c r="FX31" s="13">
        <f t="shared" si="320"/>
        <v>645.1400000000001</v>
      </c>
      <c r="FY31" s="13">
        <f t="shared" si="320"/>
        <v>645.1400000000001</v>
      </c>
      <c r="FZ31" s="13">
        <f t="shared" si="320"/>
        <v>645.1400000000001</v>
      </c>
      <c r="GA31" s="13">
        <f t="shared" si="320"/>
        <v>645.1400000000001</v>
      </c>
      <c r="GB31" s="13">
        <f t="shared" si="320"/>
        <v>645.1400000000001</v>
      </c>
      <c r="GC31" s="13">
        <f t="shared" si="320"/>
        <v>645.1400000000001</v>
      </c>
      <c r="GD31" s="13">
        <f t="shared" si="320"/>
        <v>645.1400000000001</v>
      </c>
      <c r="GE31" s="13">
        <f t="shared" si="320"/>
        <v>657.56</v>
      </c>
      <c r="GF31" s="13">
        <f t="shared" si="320"/>
        <v>657.56</v>
      </c>
      <c r="GG31" s="13">
        <f t="shared" si="320"/>
        <v>657.56</v>
      </c>
      <c r="GH31" s="13">
        <f t="shared" si="320"/>
        <v>657.56</v>
      </c>
      <c r="GI31" s="13">
        <f t="shared" si="320"/>
        <v>657.56</v>
      </c>
      <c r="GJ31" s="13">
        <f t="shared" si="320"/>
        <v>657.56</v>
      </c>
      <c r="GK31" s="13">
        <f t="shared" si="320"/>
        <v>657.56</v>
      </c>
      <c r="GL31" s="13">
        <f t="shared" si="320"/>
        <v>604.80000000000007</v>
      </c>
      <c r="GM31" s="13">
        <f t="shared" si="320"/>
        <v>604.80000000000007</v>
      </c>
      <c r="GN31" s="13">
        <f t="shared" si="320"/>
        <v>405.94</v>
      </c>
      <c r="GO31" s="13">
        <f t="shared" si="320"/>
        <v>434.74</v>
      </c>
      <c r="GP31" s="13">
        <f t="shared" si="320"/>
        <v>434.74</v>
      </c>
      <c r="GQ31" s="13">
        <f t="shared" si="320"/>
        <v>425.94</v>
      </c>
      <c r="GR31" s="13">
        <f t="shared" si="320"/>
        <v>425.94</v>
      </c>
      <c r="GS31" s="13">
        <f t="shared" si="320"/>
        <v>524.76</v>
      </c>
      <c r="GT31" s="13">
        <f t="shared" si="320"/>
        <v>504.76000000000005</v>
      </c>
      <c r="GU31" s="13">
        <f t="shared" si="320"/>
        <v>504.76000000000005</v>
      </c>
      <c r="GV31" s="13">
        <f t="shared" si="320"/>
        <v>533.55999999999995</v>
      </c>
      <c r="GW31" s="13">
        <f t="shared" si="320"/>
        <v>533.55999999999995</v>
      </c>
      <c r="GX31" s="13">
        <f t="shared" si="320"/>
        <v>629.94000000000005</v>
      </c>
      <c r="GY31" s="13">
        <f t="shared" si="320"/>
        <v>629.94000000000005</v>
      </c>
      <c r="GZ31" s="13">
        <f t="shared" si="320"/>
        <v>816.72</v>
      </c>
      <c r="HA31" s="13">
        <f t="shared" si="320"/>
        <v>796.72</v>
      </c>
      <c r="HB31" s="13">
        <f t="shared" si="320"/>
        <v>796.72</v>
      </c>
      <c r="HC31" s="13">
        <f t="shared" si="320"/>
        <v>883.12</v>
      </c>
      <c r="HD31" s="13">
        <f t="shared" si="320"/>
        <v>863.12</v>
      </c>
      <c r="HE31" s="13">
        <f t="shared" si="320"/>
        <v>826.74</v>
      </c>
      <c r="HF31" s="13">
        <f t="shared" si="320"/>
        <v>797.94</v>
      </c>
      <c r="HG31" s="13">
        <f t="shared" si="320"/>
        <v>730.31999999999994</v>
      </c>
      <c r="HH31" s="13">
        <f t="shared" si="320"/>
        <v>759.12</v>
      </c>
      <c r="HI31" s="13">
        <f t="shared" si="320"/>
        <v>759.12</v>
      </c>
      <c r="HJ31" s="13">
        <f t="shared" si="320"/>
        <v>891.92000000000007</v>
      </c>
      <c r="HK31" s="13">
        <f t="shared" si="320"/>
        <v>891.92000000000007</v>
      </c>
      <c r="HL31" s="13">
        <f t="shared" si="320"/>
        <v>891.92000000000007</v>
      </c>
      <c r="HM31" s="13">
        <f t="shared" si="320"/>
        <v>891.92000000000007</v>
      </c>
      <c r="HN31" s="13">
        <f t="shared" si="320"/>
        <v>874.32</v>
      </c>
      <c r="HO31" s="13">
        <f t="shared" si="320"/>
        <v>874.32</v>
      </c>
      <c r="HP31" s="13">
        <f t="shared" si="320"/>
        <v>863.12</v>
      </c>
      <c r="HQ31" s="13">
        <f t="shared" ref="HQ31:HY31" si="321">HQ14+HQ46+HQ23</f>
        <v>646.32000000000005</v>
      </c>
      <c r="HR31" s="13">
        <f t="shared" si="321"/>
        <v>646.32000000000005</v>
      </c>
      <c r="HS31" s="13">
        <f t="shared" si="321"/>
        <v>629.94000000000005</v>
      </c>
      <c r="HT31" s="13">
        <f t="shared" si="321"/>
        <v>629.94000000000005</v>
      </c>
      <c r="HU31" s="13">
        <f t="shared" si="321"/>
        <v>663.92000000000007</v>
      </c>
      <c r="HV31" s="13">
        <f t="shared" si="321"/>
        <v>663.92000000000007</v>
      </c>
      <c r="HW31" s="13">
        <f t="shared" si="321"/>
        <v>652.72</v>
      </c>
      <c r="HX31" s="13">
        <f t="shared" si="321"/>
        <v>652.72</v>
      </c>
      <c r="HY31" s="13">
        <f t="shared" si="321"/>
        <v>652.72</v>
      </c>
      <c r="HZ31" s="13">
        <f>HZ14+HZ46+HZ23+HZ30</f>
        <v>652.72</v>
      </c>
      <c r="IA31" s="13">
        <f t="shared" ref="IA31:IV31" si="322">IA14+IA46+IA23+IA30</f>
        <v>652.72</v>
      </c>
      <c r="IB31" s="13">
        <f t="shared" si="322"/>
        <v>651.5</v>
      </c>
      <c r="IC31" s="13">
        <f t="shared" si="322"/>
        <v>651.5</v>
      </c>
      <c r="ID31" s="13">
        <f t="shared" si="322"/>
        <v>651.5</v>
      </c>
      <c r="IE31" s="13">
        <f t="shared" si="322"/>
        <v>651.5</v>
      </c>
      <c r="IF31" s="13">
        <f t="shared" si="322"/>
        <v>631.5</v>
      </c>
      <c r="IG31" s="13">
        <f t="shared" si="322"/>
        <v>651.5</v>
      </c>
      <c r="IH31" s="13">
        <f t="shared" si="322"/>
        <v>651.5</v>
      </c>
      <c r="II31" s="13">
        <f t="shared" si="322"/>
        <v>659.08</v>
      </c>
      <c r="IJ31" s="13">
        <f t="shared" si="322"/>
        <v>659.08</v>
      </c>
      <c r="IK31" s="13">
        <f t="shared" si="322"/>
        <v>831.88</v>
      </c>
      <c r="IL31" s="13">
        <f t="shared" si="322"/>
        <v>831.88</v>
      </c>
      <c r="IM31" s="13">
        <f t="shared" si="322"/>
        <v>831.88</v>
      </c>
      <c r="IN31" s="13">
        <f t="shared" si="322"/>
        <v>791.88</v>
      </c>
      <c r="IO31" s="13">
        <f t="shared" si="322"/>
        <v>791.88</v>
      </c>
      <c r="IP31" s="13">
        <f t="shared" si="322"/>
        <v>820.68</v>
      </c>
      <c r="IQ31" s="13">
        <f t="shared" si="322"/>
        <v>820.68</v>
      </c>
      <c r="IR31" s="13">
        <f t="shared" si="322"/>
        <v>820.68</v>
      </c>
      <c r="IS31" s="13">
        <f t="shared" si="322"/>
        <v>647.88</v>
      </c>
      <c r="IT31" s="13">
        <f t="shared" si="322"/>
        <v>619.08000000000004</v>
      </c>
      <c r="IU31" s="13">
        <f t="shared" si="322"/>
        <v>619.08000000000004</v>
      </c>
      <c r="IV31" s="13">
        <f t="shared" si="322"/>
        <v>820.68000000000006</v>
      </c>
      <c r="IW31" s="13">
        <f t="shared" ref="IW31:JC31" si="323">IW14+IW46+IW23+IW30</f>
        <v>861.90000000000009</v>
      </c>
      <c r="IX31" s="13">
        <f t="shared" si="323"/>
        <v>861.90000000000009</v>
      </c>
      <c r="IY31" s="13">
        <f t="shared" si="323"/>
        <v>861.90000000000009</v>
      </c>
      <c r="IZ31" s="13">
        <f t="shared" si="323"/>
        <v>861.90000000000009</v>
      </c>
      <c r="JA31" s="13">
        <f t="shared" si="323"/>
        <v>833.1</v>
      </c>
      <c r="JB31" s="13">
        <f t="shared" si="323"/>
        <v>833.1</v>
      </c>
      <c r="JC31" s="13">
        <f t="shared" si="323"/>
        <v>833.1</v>
      </c>
      <c r="JD31" s="13">
        <f t="shared" ref="JD31:JJ31" si="324">JD14+JD46+JD23+JD30</f>
        <v>631.5</v>
      </c>
      <c r="JE31" s="13">
        <f t="shared" si="324"/>
        <v>602.70000000000005</v>
      </c>
      <c r="JF31" s="13">
        <f t="shared" si="324"/>
        <v>542.70000000000005</v>
      </c>
      <c r="JG31" s="13">
        <f t="shared" si="324"/>
        <v>460.8</v>
      </c>
      <c r="JH31" s="13">
        <f t="shared" si="324"/>
        <v>460.8</v>
      </c>
      <c r="JI31" s="13">
        <f t="shared" si="324"/>
        <v>460.8</v>
      </c>
      <c r="JJ31" s="13">
        <f t="shared" si="324"/>
        <v>460.8</v>
      </c>
      <c r="JK31" s="13">
        <f t="shared" ref="JK31:JT31" si="325">JK14+JK46+JK23+JK30</f>
        <v>460.8</v>
      </c>
      <c r="JL31" s="13">
        <f t="shared" si="325"/>
        <v>460.8</v>
      </c>
      <c r="JM31" s="13">
        <f t="shared" si="325"/>
        <v>460.8</v>
      </c>
      <c r="JN31" s="13">
        <f t="shared" si="325"/>
        <v>460.8</v>
      </c>
      <c r="JO31" s="13">
        <f t="shared" si="325"/>
        <v>604.80000000000007</v>
      </c>
      <c r="JP31" s="13">
        <f t="shared" si="325"/>
        <v>633.6</v>
      </c>
      <c r="JQ31" s="13">
        <f t="shared" si="325"/>
        <v>662.4</v>
      </c>
      <c r="JR31" s="13">
        <f t="shared" si="325"/>
        <v>691.2</v>
      </c>
      <c r="JS31" s="13">
        <f t="shared" si="325"/>
        <v>720</v>
      </c>
      <c r="JT31" s="13">
        <f t="shared" si="325"/>
        <v>748.80000000000007</v>
      </c>
    </row>
    <row r="32" spans="1:280" s="39" customFormat="1" ht="10.5" x14ac:dyDescent="0.25"/>
    <row r="33" spans="1:257" s="39" customFormat="1" ht="18" customHeight="1" x14ac:dyDescent="0.35">
      <c r="A33" t="s">
        <v>50</v>
      </c>
      <c r="HZ33"/>
      <c r="IA33"/>
      <c r="IB33">
        <v>4</v>
      </c>
      <c r="IC33"/>
      <c r="ID33"/>
      <c r="IE33"/>
      <c r="IF33"/>
      <c r="IG33">
        <v>2</v>
      </c>
      <c r="IH33"/>
      <c r="II33"/>
      <c r="IJ33"/>
      <c r="IK33"/>
      <c r="IL33"/>
      <c r="IM33"/>
      <c r="IN33"/>
      <c r="IO33"/>
    </row>
    <row r="34" spans="1:257" s="39" customFormat="1" x14ac:dyDescent="0.35">
      <c r="A34" t="s">
        <v>49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>
        <v>7</v>
      </c>
      <c r="HV34"/>
      <c r="HW34">
        <v>7</v>
      </c>
      <c r="HX34"/>
      <c r="HY34"/>
      <c r="HZ34"/>
      <c r="IA34"/>
      <c r="IB34">
        <v>2</v>
      </c>
      <c r="IC34">
        <v>5</v>
      </c>
      <c r="ID34">
        <v>5</v>
      </c>
      <c r="IE34">
        <v>5</v>
      </c>
      <c r="IF34"/>
      <c r="IG34">
        <v>4</v>
      </c>
      <c r="IH34">
        <v>7</v>
      </c>
      <c r="II34"/>
      <c r="IJ34"/>
      <c r="IK34"/>
      <c r="IL34"/>
      <c r="IM34"/>
      <c r="IN34"/>
      <c r="IO34"/>
      <c r="IP34"/>
      <c r="IQ34"/>
      <c r="IR34"/>
      <c r="IS34"/>
      <c r="IT34">
        <v>4</v>
      </c>
      <c r="IU34">
        <v>6</v>
      </c>
      <c r="IV34"/>
    </row>
    <row r="35" spans="1:257" s="39" customFormat="1" x14ac:dyDescent="0.35">
      <c r="A35" t="s">
        <v>123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>
        <v>7</v>
      </c>
      <c r="HW35"/>
      <c r="HX35">
        <v>7</v>
      </c>
      <c r="HY35">
        <v>7</v>
      </c>
      <c r="HZ35"/>
      <c r="IA35"/>
      <c r="IE35"/>
      <c r="IF35">
        <v>6</v>
      </c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</row>
    <row r="36" spans="1:257" x14ac:dyDescent="0.35">
      <c r="A36" t="s">
        <v>124</v>
      </c>
      <c r="AZ36">
        <f t="shared" ref="AZ36:BM36" si="326">AZ19*20</f>
        <v>20</v>
      </c>
      <c r="BA36">
        <f t="shared" si="326"/>
        <v>20</v>
      </c>
      <c r="BB36">
        <f t="shared" si="326"/>
        <v>40</v>
      </c>
      <c r="BC36">
        <f t="shared" si="326"/>
        <v>40</v>
      </c>
      <c r="BD36">
        <f t="shared" si="326"/>
        <v>40</v>
      </c>
      <c r="BE36">
        <f t="shared" si="326"/>
        <v>40</v>
      </c>
      <c r="BF36">
        <f t="shared" si="326"/>
        <v>40</v>
      </c>
      <c r="BG36">
        <f t="shared" si="326"/>
        <v>80</v>
      </c>
      <c r="BH36">
        <f t="shared" si="326"/>
        <v>80</v>
      </c>
      <c r="BI36">
        <f t="shared" si="326"/>
        <v>120</v>
      </c>
      <c r="BJ36">
        <f t="shared" si="326"/>
        <v>120</v>
      </c>
      <c r="BK36">
        <f t="shared" si="326"/>
        <v>120</v>
      </c>
      <c r="BL36">
        <f t="shared" si="326"/>
        <v>120</v>
      </c>
      <c r="BM36">
        <f t="shared" si="326"/>
        <v>120</v>
      </c>
      <c r="BS36"/>
      <c r="BT36"/>
      <c r="BU36"/>
      <c r="BV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HZ36">
        <v>7</v>
      </c>
      <c r="IA36">
        <v>7</v>
      </c>
      <c r="IB36" s="39"/>
      <c r="II36">
        <v>6</v>
      </c>
      <c r="IJ36">
        <v>6</v>
      </c>
      <c r="IR36" s="39"/>
      <c r="IS36">
        <v>6</v>
      </c>
      <c r="IT36">
        <v>2</v>
      </c>
    </row>
    <row r="37" spans="1:257" x14ac:dyDescent="0.35">
      <c r="BS37"/>
      <c r="BT37"/>
      <c r="BU37"/>
      <c r="BV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</row>
    <row r="38" spans="1:257" x14ac:dyDescent="0.35">
      <c r="A38" s="38" t="s">
        <v>120</v>
      </c>
    </row>
    <row r="39" spans="1:257" x14ac:dyDescent="0.35">
      <c r="A39" s="38" t="s">
        <v>57</v>
      </c>
      <c r="HL39">
        <v>5</v>
      </c>
      <c r="HM39">
        <v>5</v>
      </c>
      <c r="HN39">
        <v>8</v>
      </c>
      <c r="HO39">
        <v>8</v>
      </c>
      <c r="HP39">
        <v>8</v>
      </c>
      <c r="HQ39">
        <v>8</v>
      </c>
    </row>
    <row r="40" spans="1:257" x14ac:dyDescent="0.35">
      <c r="A40" t="s">
        <v>50</v>
      </c>
      <c r="HL40">
        <v>3</v>
      </c>
      <c r="HM40">
        <v>3</v>
      </c>
      <c r="HN40">
        <v>3</v>
      </c>
      <c r="HO40">
        <v>3</v>
      </c>
      <c r="HP40">
        <v>3</v>
      </c>
      <c r="HQ40">
        <v>3</v>
      </c>
    </row>
    <row r="42" spans="1:257" x14ac:dyDescent="0.35">
      <c r="A42" t="s">
        <v>48</v>
      </c>
      <c r="AF42" t="s">
        <v>43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 spans="1:257" s="18" customFormat="1" x14ac:dyDescent="0.35">
      <c r="A43" t="s">
        <v>49</v>
      </c>
      <c r="I43" s="18">
        <v>3</v>
      </c>
      <c r="J43" s="18">
        <v>3</v>
      </c>
      <c r="P43" s="18">
        <v>4</v>
      </c>
      <c r="Q43" s="18">
        <v>3</v>
      </c>
      <c r="R43" s="18">
        <v>6</v>
      </c>
      <c r="S43" s="18">
        <v>5</v>
      </c>
      <c r="T43" s="18">
        <v>6</v>
      </c>
    </row>
    <row r="44" spans="1:257" s="18" customFormat="1" x14ac:dyDescent="0.35">
      <c r="A44" t="s">
        <v>50</v>
      </c>
      <c r="K44" s="18">
        <v>3</v>
      </c>
      <c r="L44" s="18">
        <v>3</v>
      </c>
      <c r="M44" s="18">
        <v>3</v>
      </c>
      <c r="N44" s="18">
        <v>3</v>
      </c>
      <c r="O44" s="18">
        <v>3</v>
      </c>
      <c r="P44" s="18">
        <v>2</v>
      </c>
      <c r="Q44" s="18">
        <v>3</v>
      </c>
      <c r="U44" s="18">
        <v>6</v>
      </c>
      <c r="V44" s="18">
        <v>6</v>
      </c>
      <c r="W44" s="18">
        <v>7</v>
      </c>
    </row>
    <row r="45" spans="1:257" s="18" customFormat="1" x14ac:dyDescent="0.35">
      <c r="A45" t="s">
        <v>35</v>
      </c>
    </row>
    <row r="46" spans="1:257" s="18" customFormat="1" x14ac:dyDescent="0.35">
      <c r="A46" s="16" t="s">
        <v>51</v>
      </c>
      <c r="G46" s="18">
        <f>33.3*G43+G44*33.3</f>
        <v>0</v>
      </c>
      <c r="H46" s="18">
        <f>33.3*H43+H44*33.3</f>
        <v>0</v>
      </c>
      <c r="I46" s="18">
        <v>99.899999999999991</v>
      </c>
      <c r="J46" s="18">
        <v>99.899999999999991</v>
      </c>
      <c r="K46" s="18">
        <v>99.899999999999991</v>
      </c>
      <c r="L46" s="18">
        <v>99.899999999999991</v>
      </c>
      <c r="M46" s="18">
        <v>99.899999999999991</v>
      </c>
      <c r="N46" s="18">
        <v>99.899999999999991</v>
      </c>
      <c r="O46" s="18">
        <v>99.899999999999991</v>
      </c>
      <c r="P46" s="18">
        <f t="shared" ref="P46:AE46" si="327">33.3*P43+P44*33.3</f>
        <v>199.79999999999998</v>
      </c>
      <c r="Q46" s="18">
        <f t="shared" si="327"/>
        <v>199.79999999999998</v>
      </c>
      <c r="R46" s="18">
        <f t="shared" si="327"/>
        <v>199.79999999999998</v>
      </c>
      <c r="S46" s="18">
        <f t="shared" si="327"/>
        <v>166.5</v>
      </c>
      <c r="T46" s="18">
        <f t="shared" si="327"/>
        <v>199.79999999999998</v>
      </c>
      <c r="U46" s="18">
        <f t="shared" si="327"/>
        <v>199.79999999999998</v>
      </c>
      <c r="V46" s="18">
        <f t="shared" si="327"/>
        <v>199.79999999999998</v>
      </c>
      <c r="W46" s="18">
        <f t="shared" si="327"/>
        <v>233.09999999999997</v>
      </c>
      <c r="X46" s="18">
        <f t="shared" si="327"/>
        <v>0</v>
      </c>
      <c r="Y46" s="18">
        <f t="shared" si="327"/>
        <v>0</v>
      </c>
      <c r="Z46" s="18">
        <f t="shared" si="327"/>
        <v>0</v>
      </c>
      <c r="AA46" s="18">
        <f t="shared" si="327"/>
        <v>0</v>
      </c>
      <c r="AB46" s="18">
        <f t="shared" si="327"/>
        <v>0</v>
      </c>
      <c r="AC46" s="18">
        <f t="shared" si="327"/>
        <v>0</v>
      </c>
      <c r="AD46" s="18">
        <f t="shared" si="327"/>
        <v>0</v>
      </c>
      <c r="AE46" s="18">
        <f t="shared" si="327"/>
        <v>0</v>
      </c>
      <c r="AG46" s="18">
        <f t="shared" ref="AG46:AT46" si="328">33.3*AG43+AG44*33.3</f>
        <v>0</v>
      </c>
      <c r="AH46" s="18">
        <f t="shared" si="328"/>
        <v>0</v>
      </c>
      <c r="AI46" s="18">
        <f t="shared" si="328"/>
        <v>0</v>
      </c>
      <c r="AJ46" s="18">
        <f t="shared" si="328"/>
        <v>0</v>
      </c>
      <c r="AK46" s="18">
        <f t="shared" si="328"/>
        <v>0</v>
      </c>
      <c r="AL46" s="18">
        <f t="shared" si="328"/>
        <v>0</v>
      </c>
      <c r="AM46" s="18">
        <f t="shared" si="328"/>
        <v>0</v>
      </c>
      <c r="AN46" s="18">
        <f t="shared" si="328"/>
        <v>0</v>
      </c>
      <c r="AO46" s="18">
        <f t="shared" si="328"/>
        <v>0</v>
      </c>
      <c r="AP46" s="18">
        <f t="shared" si="328"/>
        <v>0</v>
      </c>
      <c r="AQ46" s="18">
        <f t="shared" si="328"/>
        <v>0</v>
      </c>
      <c r="AR46" s="18">
        <f t="shared" si="328"/>
        <v>0</v>
      </c>
      <c r="AS46" s="18">
        <f t="shared" si="328"/>
        <v>0</v>
      </c>
      <c r="AT46" s="18">
        <f t="shared" si="328"/>
        <v>0</v>
      </c>
    </row>
    <row r="47" spans="1:257" s="18" customFormat="1" x14ac:dyDescent="0.35"/>
    <row r="48" spans="1:257" s="18" customFormat="1" x14ac:dyDescent="0.35">
      <c r="A48" t="s">
        <v>92</v>
      </c>
      <c r="AF48" s="18" t="s">
        <v>93</v>
      </c>
      <c r="BG48" s="18">
        <v>46044</v>
      </c>
      <c r="BH48" s="18">
        <v>46045</v>
      </c>
      <c r="BI48" s="16">
        <v>46046</v>
      </c>
      <c r="BJ48" s="16">
        <v>46047</v>
      </c>
      <c r="BK48" s="18">
        <v>46048</v>
      </c>
      <c r="BL48" s="18">
        <v>46049</v>
      </c>
      <c r="BM48" s="18">
        <v>46050</v>
      </c>
      <c r="BN48" s="18">
        <v>46051</v>
      </c>
      <c r="BO48" s="18">
        <v>46052</v>
      </c>
      <c r="BP48" s="16">
        <v>46053</v>
      </c>
      <c r="CD48" s="18" t="s">
        <v>73</v>
      </c>
      <c r="DK48" s="18">
        <v>3</v>
      </c>
      <c r="DL48" s="18">
        <v>3</v>
      </c>
      <c r="DM48" s="18">
        <v>3</v>
      </c>
      <c r="DN48" s="18">
        <v>3</v>
      </c>
      <c r="DO48" s="18">
        <v>3</v>
      </c>
      <c r="DP48" s="18">
        <v>3</v>
      </c>
      <c r="DQ48" s="18">
        <v>3</v>
      </c>
      <c r="DR48" s="18">
        <v>3</v>
      </c>
      <c r="DS48" s="18">
        <v>3</v>
      </c>
    </row>
    <row r="49" spans="1:256" s="18" customFormat="1" x14ac:dyDescent="0.35">
      <c r="A49" t="s">
        <v>57</v>
      </c>
      <c r="G49" s="18">
        <v>3</v>
      </c>
      <c r="H49" s="18">
        <v>3</v>
      </c>
      <c r="I49" s="31">
        <v>3</v>
      </c>
      <c r="J49" s="31">
        <v>3</v>
      </c>
      <c r="K49" s="31">
        <v>3</v>
      </c>
      <c r="L49" s="31">
        <v>2</v>
      </c>
      <c r="M49" s="31">
        <v>2</v>
      </c>
      <c r="N49" s="31">
        <v>2</v>
      </c>
      <c r="O49" s="31">
        <v>2</v>
      </c>
      <c r="T49" s="18">
        <v>3</v>
      </c>
      <c r="U49" s="18">
        <v>3</v>
      </c>
      <c r="V49" s="18">
        <v>3</v>
      </c>
      <c r="AQ49" s="18">
        <v>5</v>
      </c>
      <c r="AR49" s="18">
        <v>6</v>
      </c>
      <c r="BG49" s="18">
        <v>1</v>
      </c>
      <c r="BH49" s="18">
        <v>2</v>
      </c>
      <c r="CD49" s="18">
        <v>5</v>
      </c>
      <c r="CE49" s="18">
        <v>5</v>
      </c>
      <c r="CF49" s="18">
        <v>6</v>
      </c>
      <c r="CG49" s="18">
        <v>4</v>
      </c>
      <c r="DD49" s="18">
        <v>4</v>
      </c>
      <c r="DE49" s="18">
        <v>2</v>
      </c>
    </row>
    <row r="50" spans="1:256" s="18" customFormat="1" x14ac:dyDescent="0.35">
      <c r="A50" t="s">
        <v>58</v>
      </c>
      <c r="I50" s="31"/>
      <c r="J50" s="31"/>
      <c r="K50" s="31"/>
      <c r="L50" s="31"/>
      <c r="M50" s="31"/>
      <c r="N50" s="31"/>
      <c r="O50" s="31"/>
      <c r="P50" s="18">
        <v>1</v>
      </c>
      <c r="Q50" s="18">
        <v>1</v>
      </c>
      <c r="R50" s="18">
        <v>1</v>
      </c>
      <c r="S50" s="18">
        <v>2</v>
      </c>
      <c r="U50" s="18">
        <v>1</v>
      </c>
      <c r="V50" s="18">
        <v>1</v>
      </c>
    </row>
    <row r="51" spans="1:256" s="18" customFormat="1" x14ac:dyDescent="0.35">
      <c r="A51" t="s">
        <v>59</v>
      </c>
      <c r="G51" s="18">
        <v>1</v>
      </c>
      <c r="H51" s="18">
        <v>1</v>
      </c>
      <c r="L51" s="18">
        <v>1</v>
      </c>
      <c r="M51" s="18">
        <v>1</v>
      </c>
      <c r="N51" s="18">
        <v>1</v>
      </c>
      <c r="O51" s="18">
        <v>1</v>
      </c>
    </row>
    <row r="52" spans="1:256" s="18" customFormat="1" x14ac:dyDescent="0.35">
      <c r="A52" t="s">
        <v>60</v>
      </c>
      <c r="G52" s="18">
        <v>2</v>
      </c>
      <c r="H52" s="18">
        <v>2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S52" s="18">
        <v>3</v>
      </c>
      <c r="T52" s="18">
        <v>2</v>
      </c>
      <c r="U52" s="18">
        <v>3</v>
      </c>
      <c r="V52" s="18">
        <v>3</v>
      </c>
      <c r="AQ52" s="18">
        <v>2</v>
      </c>
      <c r="AR52" s="18">
        <v>1</v>
      </c>
      <c r="BH52" s="18">
        <v>1</v>
      </c>
      <c r="DE52" s="18">
        <v>2</v>
      </c>
    </row>
    <row r="53" spans="1:256" s="18" customFormat="1" x14ac:dyDescent="0.35"/>
    <row r="54" spans="1:256" s="18" customFormat="1" x14ac:dyDescent="0.35">
      <c r="S54" s="18">
        <f>SUM(S49:S52)*33.3</f>
        <v>166.5</v>
      </c>
      <c r="T54" s="18">
        <f>SUM(T49:T52)*33.3</f>
        <v>166.5</v>
      </c>
      <c r="U54" s="18">
        <f>SUM(U49:U52)*33.3</f>
        <v>233.09999999999997</v>
      </c>
      <c r="V54" s="18">
        <f>SUM(V49:V52)*33.3</f>
        <v>233.09999999999997</v>
      </c>
      <c r="CR54" s="16">
        <v>46081</v>
      </c>
      <c r="CS54" s="16">
        <v>46082</v>
      </c>
      <c r="CT54" s="18">
        <v>46083</v>
      </c>
      <c r="CU54" s="18">
        <v>46084</v>
      </c>
      <c r="CV54" s="18">
        <v>46085</v>
      </c>
      <c r="CW54" s="18">
        <v>46086</v>
      </c>
      <c r="CX54" s="18">
        <v>46087</v>
      </c>
      <c r="CY54" s="16">
        <v>46088</v>
      </c>
      <c r="CZ54" s="16">
        <v>46089</v>
      </c>
      <c r="DA54" s="18">
        <v>46090</v>
      </c>
      <c r="DB54" s="18">
        <v>46091</v>
      </c>
      <c r="DC54" s="18">
        <v>46092</v>
      </c>
      <c r="DD54" s="18">
        <v>46093</v>
      </c>
      <c r="DE54" s="18">
        <v>46094</v>
      </c>
      <c r="DF54" s="16">
        <v>46095</v>
      </c>
      <c r="DG54" s="16">
        <v>46096</v>
      </c>
      <c r="DH54" s="18">
        <v>46097</v>
      </c>
      <c r="DI54" s="18">
        <v>46098</v>
      </c>
      <c r="DJ54" s="18">
        <v>46099</v>
      </c>
      <c r="DK54" s="18">
        <v>46100</v>
      </c>
      <c r="DL54" s="18">
        <v>46101</v>
      </c>
      <c r="DM54" s="16">
        <v>46102</v>
      </c>
      <c r="DN54" s="16">
        <v>46103</v>
      </c>
      <c r="DO54" s="18">
        <v>46104</v>
      </c>
      <c r="DP54" s="18">
        <v>46105</v>
      </c>
      <c r="DQ54" s="18">
        <v>46106</v>
      </c>
      <c r="DR54" s="18">
        <v>46107</v>
      </c>
      <c r="DS54" s="18">
        <v>46108</v>
      </c>
      <c r="DT54" s="16">
        <v>46109</v>
      </c>
      <c r="DU54" s="16">
        <v>46110</v>
      </c>
      <c r="DV54" s="18">
        <v>46111</v>
      </c>
      <c r="DW54" s="18">
        <v>46112</v>
      </c>
      <c r="DX54" s="18">
        <v>46113</v>
      </c>
      <c r="DY54" s="18">
        <v>46114</v>
      </c>
      <c r="DZ54" s="18">
        <v>46115</v>
      </c>
      <c r="EA54" s="16">
        <v>46116</v>
      </c>
      <c r="EB54" s="16">
        <v>46117</v>
      </c>
      <c r="EC54" s="18">
        <v>46118</v>
      </c>
      <c r="ED54" s="18">
        <v>46119</v>
      </c>
      <c r="EE54" s="18">
        <v>46120</v>
      </c>
      <c r="EF54" s="18">
        <v>46121</v>
      </c>
      <c r="EG54" s="18">
        <v>46122</v>
      </c>
    </row>
    <row r="55" spans="1:256" s="18" customFormat="1" x14ac:dyDescent="0.35">
      <c r="A55" s="18" t="s">
        <v>89</v>
      </c>
      <c r="G55" s="18">
        <f t="shared" ref="G55:O55" si="329">SUM(G49:G51)*33</f>
        <v>132</v>
      </c>
      <c r="H55" s="18">
        <f t="shared" si="329"/>
        <v>132</v>
      </c>
      <c r="I55" s="18">
        <f t="shared" si="329"/>
        <v>99</v>
      </c>
      <c r="J55" s="18">
        <f t="shared" si="329"/>
        <v>99</v>
      </c>
      <c r="K55" s="18">
        <f t="shared" si="329"/>
        <v>99</v>
      </c>
      <c r="L55" s="18">
        <f t="shared" si="329"/>
        <v>99</v>
      </c>
      <c r="M55" s="18">
        <f t="shared" si="329"/>
        <v>99</v>
      </c>
      <c r="N55" s="18">
        <f t="shared" si="329"/>
        <v>99</v>
      </c>
      <c r="O55" s="18">
        <f t="shared" si="329"/>
        <v>99</v>
      </c>
    </row>
    <row r="56" spans="1:256" s="18" customFormat="1" x14ac:dyDescent="0.35">
      <c r="A56" t="s">
        <v>53</v>
      </c>
      <c r="P56" s="18">
        <v>1</v>
      </c>
      <c r="Q56" s="18">
        <v>1</v>
      </c>
      <c r="R56" s="18">
        <v>1</v>
      </c>
      <c r="AF56" s="18" t="s">
        <v>90</v>
      </c>
      <c r="CY56" s="18">
        <v>1</v>
      </c>
      <c r="CZ56" s="18">
        <v>1</v>
      </c>
      <c r="DA56" s="18">
        <v>1</v>
      </c>
      <c r="DB56" s="18">
        <v>1</v>
      </c>
      <c r="DC56" s="18">
        <v>1</v>
      </c>
      <c r="DD56" s="18">
        <v>1</v>
      </c>
      <c r="DE56" s="18">
        <v>1</v>
      </c>
    </row>
    <row r="57" spans="1:256" s="18" customFormat="1" x14ac:dyDescent="0.35">
      <c r="A57" t="s">
        <v>91</v>
      </c>
      <c r="AF57" s="18" t="s">
        <v>90</v>
      </c>
      <c r="CY57" s="18">
        <v>1</v>
      </c>
      <c r="CZ57" s="18">
        <v>1</v>
      </c>
      <c r="DA57" s="18">
        <v>1</v>
      </c>
      <c r="DB57" s="18">
        <v>1</v>
      </c>
      <c r="DC57" s="18">
        <v>1</v>
      </c>
      <c r="DD57" s="18">
        <v>1</v>
      </c>
      <c r="DE57" s="18">
        <v>1</v>
      </c>
    </row>
    <row r="58" spans="1:256" s="18" customFormat="1" x14ac:dyDescent="0.35">
      <c r="A58" s="18" t="s">
        <v>76</v>
      </c>
    </row>
    <row r="59" spans="1:256" s="18" customFormat="1" x14ac:dyDescent="0.35">
      <c r="A59" t="s">
        <v>75</v>
      </c>
      <c r="U59" s="18">
        <v>1</v>
      </c>
      <c r="AF59" s="18" t="s">
        <v>9</v>
      </c>
      <c r="CO59" s="18">
        <v>17</v>
      </c>
      <c r="CR59" s="18">
        <v>1</v>
      </c>
      <c r="CS59" s="18">
        <v>1</v>
      </c>
      <c r="CT59" s="18">
        <v>1</v>
      </c>
      <c r="CU59" s="18">
        <v>1</v>
      </c>
      <c r="CV59" s="18">
        <v>2</v>
      </c>
      <c r="CW59" s="18">
        <v>2</v>
      </c>
      <c r="CX59" s="18">
        <v>2</v>
      </c>
      <c r="CY59" s="18">
        <v>1</v>
      </c>
      <c r="CZ59" s="18">
        <v>1</v>
      </c>
      <c r="DA59" s="18">
        <v>1</v>
      </c>
      <c r="DB59" s="18">
        <v>1</v>
      </c>
    </row>
    <row r="60" spans="1:256" s="18" customFormat="1" x14ac:dyDescent="0.35">
      <c r="A60" t="s">
        <v>78</v>
      </c>
      <c r="AF60" s="18" t="s">
        <v>65</v>
      </c>
      <c r="CR60" s="18">
        <v>2</v>
      </c>
      <c r="CS60" s="18">
        <v>2</v>
      </c>
      <c r="CT60" s="18">
        <v>2</v>
      </c>
      <c r="CU60" s="18">
        <v>2</v>
      </c>
      <c r="CV60" s="18">
        <v>2</v>
      </c>
      <c r="CW60" s="18">
        <v>2</v>
      </c>
      <c r="CX60" s="18">
        <v>2</v>
      </c>
      <c r="CY60" s="18">
        <v>2</v>
      </c>
      <c r="CZ60" s="18">
        <v>2</v>
      </c>
      <c r="DA60" s="18">
        <v>2</v>
      </c>
      <c r="DB60" s="18">
        <v>2</v>
      </c>
      <c r="DC60" s="18">
        <v>2</v>
      </c>
      <c r="DD60" s="18">
        <v>2</v>
      </c>
      <c r="DE60" s="18">
        <v>2</v>
      </c>
      <c r="DK60" s="18">
        <v>3</v>
      </c>
      <c r="DL60" s="18">
        <v>3</v>
      </c>
      <c r="DM60" s="18">
        <v>3</v>
      </c>
      <c r="DN60" s="18">
        <v>2</v>
      </c>
      <c r="DO60" s="18">
        <v>2</v>
      </c>
      <c r="DP60" s="18">
        <v>2</v>
      </c>
      <c r="DQ60" s="18">
        <v>2</v>
      </c>
      <c r="DR60" s="18">
        <v>2</v>
      </c>
      <c r="DS60" s="18">
        <v>2</v>
      </c>
      <c r="DT60" s="18">
        <v>1</v>
      </c>
      <c r="DU60" s="18">
        <v>1</v>
      </c>
      <c r="DV60" s="18">
        <v>1</v>
      </c>
      <c r="DW60" s="18">
        <v>1</v>
      </c>
      <c r="DX60" s="18">
        <v>1</v>
      </c>
      <c r="DY60" s="18">
        <v>1</v>
      </c>
      <c r="DZ60" s="18">
        <v>1</v>
      </c>
      <c r="ED60" s="18">
        <v>2</v>
      </c>
      <c r="EE60" s="18">
        <v>2</v>
      </c>
      <c r="EF60" s="18">
        <v>2</v>
      </c>
      <c r="EG60" s="18">
        <v>2</v>
      </c>
      <c r="EO60" s="18">
        <v>2</v>
      </c>
      <c r="EP60" s="18">
        <v>2</v>
      </c>
      <c r="EQ60" s="18">
        <v>2</v>
      </c>
      <c r="ER60" s="18">
        <v>2</v>
      </c>
      <c r="ES60" s="18">
        <v>2</v>
      </c>
      <c r="ET60" s="18">
        <v>2</v>
      </c>
      <c r="EU60" s="18">
        <v>2</v>
      </c>
      <c r="EV60" s="18">
        <v>2</v>
      </c>
      <c r="EW60" s="18">
        <v>2</v>
      </c>
      <c r="EX60" s="18">
        <v>2</v>
      </c>
      <c r="FJ60" s="18">
        <v>3</v>
      </c>
      <c r="FK60" s="18">
        <v>3</v>
      </c>
      <c r="FL60" s="18">
        <v>3</v>
      </c>
      <c r="FM60" s="18">
        <v>3</v>
      </c>
      <c r="FN60" s="18">
        <v>3</v>
      </c>
      <c r="FO60" s="18">
        <v>3</v>
      </c>
      <c r="FP60" s="18">
        <v>3</v>
      </c>
      <c r="FQ60" s="18">
        <v>2</v>
      </c>
      <c r="FR60" s="18">
        <v>2</v>
      </c>
      <c r="FS60" s="18">
        <v>2</v>
      </c>
      <c r="FT60" s="18">
        <v>2</v>
      </c>
      <c r="FU60" s="18">
        <v>2</v>
      </c>
      <c r="FV60" s="18">
        <v>2</v>
      </c>
      <c r="FW60" s="18">
        <v>2</v>
      </c>
      <c r="FX60" s="18">
        <v>1</v>
      </c>
      <c r="FY60" s="18">
        <v>1</v>
      </c>
      <c r="FZ60" s="18">
        <v>1</v>
      </c>
      <c r="GA60" s="18">
        <v>1</v>
      </c>
      <c r="GB60" s="18">
        <v>1</v>
      </c>
      <c r="GC60" s="18">
        <v>1</v>
      </c>
      <c r="GD60" s="18">
        <v>1</v>
      </c>
      <c r="GE60" s="18">
        <v>2</v>
      </c>
      <c r="GF60" s="18">
        <v>2</v>
      </c>
      <c r="GG60" s="18">
        <v>2</v>
      </c>
      <c r="GH60" s="18">
        <v>2</v>
      </c>
      <c r="GI60" s="18">
        <v>2</v>
      </c>
      <c r="GJ60" s="18">
        <v>2</v>
      </c>
      <c r="GK60" s="18">
        <v>2</v>
      </c>
      <c r="GL60" s="18">
        <v>2</v>
      </c>
      <c r="GM60" s="18">
        <v>2</v>
      </c>
      <c r="GN60" s="18">
        <v>2</v>
      </c>
      <c r="GO60" s="18">
        <v>2</v>
      </c>
      <c r="GP60" s="18">
        <v>2</v>
      </c>
      <c r="GQ60" s="18">
        <v>2</v>
      </c>
      <c r="GR60" s="18">
        <v>2</v>
      </c>
      <c r="GS60" s="18">
        <v>4</v>
      </c>
      <c r="GT60" s="18">
        <v>4</v>
      </c>
      <c r="GU60" s="18">
        <v>4</v>
      </c>
      <c r="GV60" s="18">
        <v>4</v>
      </c>
      <c r="GW60" s="18">
        <v>4</v>
      </c>
      <c r="GX60" s="18">
        <v>4</v>
      </c>
      <c r="GY60" s="18">
        <v>4</v>
      </c>
      <c r="GZ60" s="18">
        <v>4</v>
      </c>
      <c r="HA60" s="18">
        <v>4</v>
      </c>
      <c r="HB60" s="18">
        <v>4</v>
      </c>
      <c r="HC60" s="18">
        <v>4</v>
      </c>
      <c r="HD60" s="18">
        <v>4</v>
      </c>
      <c r="HE60" s="18">
        <v>4</v>
      </c>
      <c r="HF60" s="18">
        <v>4</v>
      </c>
      <c r="HG60" s="18">
        <v>4</v>
      </c>
      <c r="HH60" s="18">
        <v>4</v>
      </c>
      <c r="HI60" s="18">
        <v>4</v>
      </c>
      <c r="HJ60" s="18">
        <v>4</v>
      </c>
      <c r="HK60" s="18">
        <v>4</v>
      </c>
      <c r="HL60" s="18">
        <v>4</v>
      </c>
      <c r="HM60" s="18">
        <v>4</v>
      </c>
      <c r="HN60" s="18">
        <v>4</v>
      </c>
      <c r="HO60" s="18">
        <v>4</v>
      </c>
      <c r="HP60" s="18">
        <v>4</v>
      </c>
      <c r="HQ60" s="18">
        <v>4</v>
      </c>
      <c r="HR60" s="18">
        <v>4</v>
      </c>
      <c r="HS60" s="18">
        <v>4</v>
      </c>
    </row>
    <row r="61" spans="1:256" s="36" customFormat="1" x14ac:dyDescent="0.35">
      <c r="A61" s="36" t="s">
        <v>115</v>
      </c>
      <c r="GN61" s="36">
        <v>1</v>
      </c>
      <c r="GO61" s="36">
        <v>1</v>
      </c>
      <c r="GP61" s="36">
        <v>1</v>
      </c>
      <c r="GQ61" s="36">
        <v>1</v>
      </c>
      <c r="GR61" s="36">
        <v>1</v>
      </c>
      <c r="IP61" s="36">
        <v>1</v>
      </c>
      <c r="IQ61" s="36">
        <v>1</v>
      </c>
      <c r="IR61" s="36">
        <v>1</v>
      </c>
      <c r="IS61" s="36">
        <v>1</v>
      </c>
      <c r="IT61" s="36">
        <v>1</v>
      </c>
      <c r="IU61" s="36">
        <v>1</v>
      </c>
      <c r="IV61" s="36">
        <v>1</v>
      </c>
    </row>
    <row r="62" spans="1:256" s="18" customFormat="1" x14ac:dyDescent="0.35">
      <c r="A62" s="18" t="s">
        <v>9</v>
      </c>
    </row>
    <row r="63" spans="1:256" s="18" customFormat="1" x14ac:dyDescent="0.35">
      <c r="A63" t="s">
        <v>77</v>
      </c>
      <c r="U63" s="18">
        <v>1</v>
      </c>
      <c r="CO63" s="18">
        <v>7</v>
      </c>
      <c r="CS63" s="18">
        <v>1</v>
      </c>
      <c r="CT63" s="18">
        <v>1</v>
      </c>
      <c r="CW63" s="18">
        <v>1</v>
      </c>
      <c r="CX63" s="18">
        <v>1</v>
      </c>
      <c r="CY63" s="18">
        <v>1</v>
      </c>
      <c r="CZ63" s="18">
        <v>1</v>
      </c>
      <c r="DA63" s="18">
        <v>1</v>
      </c>
      <c r="DB63" s="18">
        <v>1</v>
      </c>
      <c r="DC63" s="18">
        <v>1</v>
      </c>
      <c r="DD63" s="18">
        <v>1</v>
      </c>
      <c r="DE63" s="18">
        <v>1</v>
      </c>
    </row>
    <row r="64" spans="1:256" s="18" customFormat="1" x14ac:dyDescent="0.35">
      <c r="A64" t="s">
        <v>72</v>
      </c>
      <c r="AF64" s="18" t="s">
        <v>83</v>
      </c>
      <c r="CO64" s="18">
        <v>11</v>
      </c>
      <c r="CR64" s="18">
        <v>2</v>
      </c>
      <c r="CS64" s="18">
        <v>2</v>
      </c>
      <c r="CT64" s="18">
        <v>2</v>
      </c>
      <c r="CU64" s="18">
        <v>2</v>
      </c>
      <c r="CV64" s="18">
        <v>1</v>
      </c>
      <c r="DT64" s="18">
        <v>1</v>
      </c>
      <c r="DU64" s="18">
        <v>1</v>
      </c>
      <c r="DV64" s="18">
        <v>1</v>
      </c>
      <c r="DW64" s="18">
        <v>1</v>
      </c>
      <c r="DX64" s="18">
        <v>1</v>
      </c>
      <c r="DY64" s="18">
        <v>1</v>
      </c>
      <c r="DZ64" s="18">
        <v>1</v>
      </c>
    </row>
    <row r="65" spans="1:144" s="18" customFormat="1" x14ac:dyDescent="0.35">
      <c r="A65" t="s">
        <v>71</v>
      </c>
      <c r="AF65" s="18" t="s">
        <v>83</v>
      </c>
      <c r="CO65" s="18">
        <v>6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DT65" s="18">
        <v>1</v>
      </c>
      <c r="DU65" s="18">
        <v>1</v>
      </c>
      <c r="DV65" s="18">
        <v>1</v>
      </c>
      <c r="DW65" s="18">
        <v>1</v>
      </c>
      <c r="DX65" s="18">
        <v>1</v>
      </c>
      <c r="DY65" s="18">
        <v>1</v>
      </c>
      <c r="DZ65" s="18">
        <v>1</v>
      </c>
    </row>
    <row r="66" spans="1:144" s="18" customFormat="1" x14ac:dyDescent="0.35">
      <c r="DP66" s="32"/>
    </row>
    <row r="67" spans="1:144" s="18" customFormat="1" x14ac:dyDescent="0.35">
      <c r="A67" s="18" t="s">
        <v>7</v>
      </c>
    </row>
    <row r="68" spans="1:144" s="18" customFormat="1" x14ac:dyDescent="0.35">
      <c r="A68" t="s">
        <v>82</v>
      </c>
      <c r="AF68" s="18" t="s">
        <v>9</v>
      </c>
      <c r="CR68" s="18">
        <v>1</v>
      </c>
      <c r="CS68" s="18">
        <v>1</v>
      </c>
      <c r="CT68" s="18">
        <v>1</v>
      </c>
      <c r="CU68" s="18">
        <v>1</v>
      </c>
      <c r="CV68" s="18">
        <v>1</v>
      </c>
      <c r="CW68" s="18">
        <v>1</v>
      </c>
      <c r="CX68" s="18">
        <v>1</v>
      </c>
    </row>
    <row r="69" spans="1:144" s="18" customFormat="1" x14ac:dyDescent="0.35">
      <c r="A69" t="s">
        <v>84</v>
      </c>
      <c r="AF69" s="18" t="s">
        <v>9</v>
      </c>
      <c r="CW69" s="18">
        <v>1</v>
      </c>
      <c r="CX69" s="18">
        <v>1</v>
      </c>
      <c r="CY69" s="18">
        <v>1</v>
      </c>
      <c r="CZ69" s="18">
        <v>1</v>
      </c>
    </row>
    <row r="70" spans="1:144" s="18" customFormat="1" x14ac:dyDescent="0.35">
      <c r="A70" t="s">
        <v>85</v>
      </c>
      <c r="AF70" s="18" t="s">
        <v>9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</row>
    <row r="71" spans="1:144" s="18" customFormat="1" x14ac:dyDescent="0.35">
      <c r="A71" t="s">
        <v>87</v>
      </c>
      <c r="AF71" s="18" t="s">
        <v>9</v>
      </c>
      <c r="CY71" s="18">
        <v>1</v>
      </c>
      <c r="CZ71" s="18">
        <v>1</v>
      </c>
      <c r="DA71" s="18">
        <v>1</v>
      </c>
      <c r="DB71" s="18">
        <v>1</v>
      </c>
      <c r="DC71" s="18">
        <v>2</v>
      </c>
      <c r="DD71" s="18">
        <v>2</v>
      </c>
      <c r="DE71" s="18">
        <v>2</v>
      </c>
      <c r="DF71" s="18">
        <v>2</v>
      </c>
      <c r="DG71" s="18">
        <v>2</v>
      </c>
      <c r="DH71" s="18">
        <v>2</v>
      </c>
      <c r="DI71" s="18">
        <v>2</v>
      </c>
      <c r="DJ71" s="18">
        <v>2</v>
      </c>
      <c r="DK71" s="18">
        <v>2</v>
      </c>
      <c r="DL71" s="18">
        <v>2</v>
      </c>
      <c r="DM71" s="18">
        <v>2</v>
      </c>
      <c r="DT71" s="18">
        <v>1</v>
      </c>
      <c r="DU71" s="18">
        <v>1</v>
      </c>
      <c r="DV71" s="18">
        <v>1</v>
      </c>
      <c r="ED71" s="18">
        <v>1</v>
      </c>
      <c r="EE71" s="18">
        <v>1</v>
      </c>
      <c r="EF71" s="18">
        <v>1</v>
      </c>
      <c r="EG71" s="18">
        <v>1</v>
      </c>
    </row>
    <row r="72" spans="1:144" s="18" customFormat="1" x14ac:dyDescent="0.35">
      <c r="A72" t="s">
        <v>74</v>
      </c>
      <c r="AF72" s="18" t="s">
        <v>9</v>
      </c>
      <c r="ED72" s="18">
        <v>1</v>
      </c>
      <c r="EE72" s="18">
        <v>1</v>
      </c>
      <c r="EF72" s="18">
        <v>1</v>
      </c>
      <c r="EG72" s="18">
        <v>1</v>
      </c>
    </row>
    <row r="73" spans="1:144" s="18" customFormat="1" x14ac:dyDescent="0.35">
      <c r="A73" t="s">
        <v>86</v>
      </c>
      <c r="AF73" s="18" t="s">
        <v>9</v>
      </c>
      <c r="CY73" s="18">
        <v>1</v>
      </c>
      <c r="CZ73" s="18">
        <v>1</v>
      </c>
      <c r="DA73" s="18">
        <v>1</v>
      </c>
      <c r="DO73" s="18">
        <v>1</v>
      </c>
      <c r="DP73" s="18">
        <v>1</v>
      </c>
    </row>
    <row r="74" spans="1:144" s="18" customFormat="1" x14ac:dyDescent="0.35">
      <c r="A74" t="s">
        <v>88</v>
      </c>
      <c r="AF74" s="18" t="s">
        <v>65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T74" s="18">
        <v>2</v>
      </c>
      <c r="DU74" s="18">
        <v>2</v>
      </c>
      <c r="DV74" s="18">
        <v>2</v>
      </c>
      <c r="DW74" s="18">
        <v>2</v>
      </c>
      <c r="DX74" s="18">
        <v>2</v>
      </c>
      <c r="DY74" s="18">
        <v>2</v>
      </c>
      <c r="DZ74" s="18">
        <v>1</v>
      </c>
      <c r="ED74" s="18">
        <v>4</v>
      </c>
      <c r="EE74" s="18">
        <v>4</v>
      </c>
      <c r="EF74" s="18">
        <v>4</v>
      </c>
      <c r="EG74" s="18">
        <v>4</v>
      </c>
      <c r="EH74" s="18">
        <v>4</v>
      </c>
      <c r="EI74" s="18">
        <v>4</v>
      </c>
      <c r="EJ74" s="18">
        <v>4</v>
      </c>
      <c r="EK74" s="18">
        <v>4</v>
      </c>
      <c r="EL74" s="18">
        <v>4</v>
      </c>
      <c r="EM74" s="18">
        <v>4</v>
      </c>
      <c r="EN74" s="18">
        <v>4</v>
      </c>
    </row>
    <row r="75" spans="1:144" s="18" customFormat="1" x14ac:dyDescent="0.35">
      <c r="A75" t="s">
        <v>94</v>
      </c>
      <c r="AF75" s="18" t="s">
        <v>9</v>
      </c>
      <c r="DQ75" s="18">
        <v>1</v>
      </c>
      <c r="DR75" s="18">
        <v>1</v>
      </c>
      <c r="EH75" s="18">
        <v>2</v>
      </c>
      <c r="EI75" s="18">
        <v>2</v>
      </c>
      <c r="EJ75" s="18">
        <v>2</v>
      </c>
    </row>
    <row r="76" spans="1:144" s="18" customFormat="1" x14ac:dyDescent="0.35">
      <c r="A76" t="s">
        <v>81</v>
      </c>
      <c r="AF76" s="18" t="s">
        <v>65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Y76" s="18">
        <v>1</v>
      </c>
      <c r="DZ76" s="18">
        <v>1</v>
      </c>
      <c r="ED76" s="18">
        <v>2</v>
      </c>
      <c r="EE76" s="18">
        <v>2</v>
      </c>
      <c r="EF76" s="18">
        <v>2</v>
      </c>
      <c r="EG76" s="18">
        <v>2</v>
      </c>
    </row>
    <row r="77" spans="1:144" s="18" customFormat="1" x14ac:dyDescent="0.35">
      <c r="A77" s="33"/>
      <c r="CY77" s="18">
        <v>1</v>
      </c>
      <c r="CZ77" s="18">
        <v>1</v>
      </c>
      <c r="DA77" s="18">
        <v>1</v>
      </c>
      <c r="DB77" s="18">
        <v>1</v>
      </c>
      <c r="DC77" s="18">
        <v>1</v>
      </c>
      <c r="DD77" s="18">
        <v>1</v>
      </c>
      <c r="DE77" s="18">
        <v>1</v>
      </c>
    </row>
    <row r="78" spans="1:144" s="18" customFormat="1" x14ac:dyDescent="0.35"/>
    <row r="79" spans="1:144" s="18" customFormat="1" x14ac:dyDescent="0.35"/>
    <row r="80" spans="1:144" s="18" customFormat="1" x14ac:dyDescent="0.35"/>
    <row r="81" spans="1:117" s="18" customFormat="1" x14ac:dyDescent="0.35">
      <c r="A81" s="18" t="s">
        <v>95</v>
      </c>
    </row>
    <row r="82" spans="1:117" s="18" customFormat="1" x14ac:dyDescent="0.35">
      <c r="A82" s="18" t="s">
        <v>96</v>
      </c>
      <c r="DM82" s="18">
        <v>1</v>
      </c>
    </row>
    <row r="83" spans="1:117" s="18" customFormat="1" x14ac:dyDescent="0.35"/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B440-D408-46F9-9965-210AEB1D6CD1}">
  <dimension ref="A1:AN13"/>
  <sheetViews>
    <sheetView workbookViewId="0">
      <selection activeCell="AK13" sqref="AE13:AK13"/>
    </sheetView>
  </sheetViews>
  <sheetFormatPr defaultRowHeight="15.5" x14ac:dyDescent="0.35"/>
  <cols>
    <col min="1" max="1" width="28.83203125" customWidth="1"/>
    <col min="3" max="16" width="14.5" hidden="1" customWidth="1"/>
    <col min="17" max="30" width="10.6640625" hidden="1" customWidth="1"/>
    <col min="31" max="40" width="10.6640625" customWidth="1"/>
  </cols>
  <sheetData>
    <row r="1" spans="1:40" x14ac:dyDescent="0.35">
      <c r="A1" t="s">
        <v>70</v>
      </c>
      <c r="C1" s="9">
        <v>46123</v>
      </c>
      <c r="D1" s="9">
        <v>46124</v>
      </c>
      <c r="E1" s="8">
        <v>46125</v>
      </c>
      <c r="F1" s="8">
        <v>46126</v>
      </c>
      <c r="G1" s="8">
        <v>46127</v>
      </c>
      <c r="H1" s="8">
        <v>46128</v>
      </c>
      <c r="I1" s="8">
        <v>46129</v>
      </c>
      <c r="J1" s="9">
        <v>46130</v>
      </c>
      <c r="K1" s="9">
        <v>46131</v>
      </c>
      <c r="L1" s="8">
        <v>46132</v>
      </c>
      <c r="M1" s="34">
        <v>46133</v>
      </c>
      <c r="N1" s="34">
        <v>46134</v>
      </c>
      <c r="O1" s="34">
        <v>46135</v>
      </c>
      <c r="P1" s="34">
        <v>46136</v>
      </c>
      <c r="Q1" s="9">
        <v>46221</v>
      </c>
      <c r="R1" s="9">
        <v>46222</v>
      </c>
      <c r="S1" s="8">
        <v>46223</v>
      </c>
      <c r="T1" s="8">
        <v>46224</v>
      </c>
      <c r="U1" s="8">
        <v>46225</v>
      </c>
      <c r="V1" s="8">
        <v>46226</v>
      </c>
      <c r="W1" s="8">
        <v>46227</v>
      </c>
      <c r="X1" s="9">
        <v>46228</v>
      </c>
      <c r="Y1" s="9">
        <v>46229</v>
      </c>
      <c r="Z1" s="8">
        <v>46230</v>
      </c>
      <c r="AA1" s="8">
        <v>46231</v>
      </c>
      <c r="AB1" s="8">
        <v>46232</v>
      </c>
      <c r="AC1" s="8">
        <v>46233</v>
      </c>
      <c r="AD1" s="8">
        <v>46234</v>
      </c>
      <c r="AE1" s="9">
        <v>46235</v>
      </c>
      <c r="AF1" s="9">
        <v>46236</v>
      </c>
      <c r="AG1" s="8">
        <v>46237</v>
      </c>
      <c r="AH1" s="8">
        <v>46238</v>
      </c>
      <c r="AI1" s="8">
        <v>46239</v>
      </c>
      <c r="AJ1" s="8">
        <v>46240</v>
      </c>
      <c r="AK1" s="8">
        <v>46241</v>
      </c>
      <c r="AL1" s="9">
        <v>46242</v>
      </c>
      <c r="AM1" s="9">
        <v>46243</v>
      </c>
      <c r="AN1" s="8">
        <v>46244</v>
      </c>
    </row>
    <row r="2" spans="1:40" x14ac:dyDescent="0.35">
      <c r="A2" t="s">
        <v>100</v>
      </c>
      <c r="M2" s="35"/>
      <c r="N2" s="35"/>
      <c r="O2" s="35"/>
      <c r="P2" s="35"/>
    </row>
    <row r="3" spans="1:40" x14ac:dyDescent="0.35">
      <c r="A3" t="s">
        <v>109</v>
      </c>
      <c r="F3" t="s">
        <v>101</v>
      </c>
      <c r="J3">
        <v>2</v>
      </c>
      <c r="K3">
        <v>2</v>
      </c>
      <c r="L3">
        <v>2</v>
      </c>
      <c r="M3" s="35">
        <v>1</v>
      </c>
      <c r="N3" s="35">
        <v>1</v>
      </c>
      <c r="O3" s="35">
        <v>1</v>
      </c>
      <c r="P3" s="35">
        <v>1</v>
      </c>
    </row>
    <row r="4" spans="1:40" x14ac:dyDescent="0.35">
      <c r="A4" t="s">
        <v>108</v>
      </c>
      <c r="H4">
        <v>2</v>
      </c>
      <c r="I4">
        <v>2</v>
      </c>
      <c r="J4">
        <v>1</v>
      </c>
      <c r="K4">
        <v>1</v>
      </c>
      <c r="L4">
        <v>1</v>
      </c>
      <c r="M4" s="35">
        <v>1</v>
      </c>
      <c r="N4" s="35">
        <v>1</v>
      </c>
      <c r="O4" s="35">
        <v>1</v>
      </c>
      <c r="P4" s="35">
        <v>1</v>
      </c>
    </row>
    <row r="5" spans="1:40" x14ac:dyDescent="0.35">
      <c r="A5" t="s">
        <v>102</v>
      </c>
      <c r="C5">
        <v>1</v>
      </c>
      <c r="D5">
        <v>1</v>
      </c>
      <c r="E5">
        <v>2</v>
      </c>
      <c r="F5">
        <v>2</v>
      </c>
      <c r="G5">
        <v>2</v>
      </c>
      <c r="H5">
        <v>4</v>
      </c>
      <c r="I5">
        <v>3</v>
      </c>
      <c r="J5">
        <v>2</v>
      </c>
      <c r="K5">
        <v>2</v>
      </c>
      <c r="L5">
        <v>1</v>
      </c>
      <c r="M5" s="35">
        <v>1</v>
      </c>
      <c r="N5" s="35">
        <v>1</v>
      </c>
      <c r="O5" s="35">
        <v>1</v>
      </c>
      <c r="P5" s="35">
        <v>1</v>
      </c>
    </row>
    <row r="6" spans="1:40" x14ac:dyDescent="0.35">
      <c r="A6" t="s">
        <v>99</v>
      </c>
      <c r="C6">
        <v>4</v>
      </c>
      <c r="D6">
        <v>4</v>
      </c>
      <c r="E6">
        <v>4</v>
      </c>
      <c r="F6">
        <v>4</v>
      </c>
      <c r="G6">
        <v>4</v>
      </c>
      <c r="H6">
        <v>3</v>
      </c>
      <c r="I6">
        <v>3</v>
      </c>
      <c r="J6">
        <v>7</v>
      </c>
      <c r="K6">
        <v>7</v>
      </c>
      <c r="L6">
        <v>8</v>
      </c>
      <c r="M6" s="35">
        <v>8</v>
      </c>
      <c r="N6" s="35">
        <v>8</v>
      </c>
      <c r="O6" s="35">
        <v>8</v>
      </c>
      <c r="P6" s="35">
        <v>8</v>
      </c>
      <c r="Q6" s="35">
        <v>6</v>
      </c>
      <c r="R6" s="35">
        <v>6</v>
      </c>
      <c r="S6" s="35">
        <v>6</v>
      </c>
      <c r="T6" s="35">
        <v>6</v>
      </c>
      <c r="U6" s="35">
        <v>6</v>
      </c>
      <c r="V6" s="35">
        <v>6</v>
      </c>
      <c r="W6" s="35">
        <v>6</v>
      </c>
      <c r="X6" s="35">
        <v>6</v>
      </c>
      <c r="Y6" s="35">
        <v>6</v>
      </c>
      <c r="Z6" s="35">
        <v>6</v>
      </c>
      <c r="AA6" s="35">
        <v>6</v>
      </c>
      <c r="AB6" s="35">
        <v>6</v>
      </c>
      <c r="AC6" s="35">
        <v>6</v>
      </c>
      <c r="AD6" s="35">
        <v>6</v>
      </c>
      <c r="AE6" s="35">
        <v>5</v>
      </c>
      <c r="AF6" s="35">
        <v>5</v>
      </c>
      <c r="AG6" s="35">
        <v>5</v>
      </c>
      <c r="AH6" s="35">
        <v>5</v>
      </c>
      <c r="AI6" s="35">
        <v>5</v>
      </c>
      <c r="AJ6" s="35">
        <v>5</v>
      </c>
      <c r="AK6" s="35">
        <v>5</v>
      </c>
      <c r="AL6" s="35"/>
    </row>
    <row r="7" spans="1:40" x14ac:dyDescent="0.35">
      <c r="A7" t="s">
        <v>103</v>
      </c>
      <c r="C7">
        <v>2</v>
      </c>
      <c r="D7">
        <v>2</v>
      </c>
      <c r="E7">
        <v>1</v>
      </c>
      <c r="F7">
        <v>1</v>
      </c>
      <c r="G7">
        <v>2</v>
      </c>
      <c r="H7">
        <v>2</v>
      </c>
      <c r="I7">
        <v>3</v>
      </c>
      <c r="M7" s="35"/>
      <c r="N7" s="35"/>
      <c r="O7" s="35"/>
      <c r="P7" s="35"/>
    </row>
    <row r="8" spans="1:40" x14ac:dyDescent="0.35">
      <c r="A8" t="s">
        <v>104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M8" s="35"/>
      <c r="N8" s="35"/>
      <c r="O8" s="35"/>
      <c r="P8" s="35"/>
    </row>
    <row r="13" spans="1:40" x14ac:dyDescent="0.35">
      <c r="A13" t="s">
        <v>127</v>
      </c>
      <c r="Q13">
        <v>2</v>
      </c>
      <c r="R13">
        <v>1</v>
      </c>
      <c r="S13">
        <v>2</v>
      </c>
      <c r="T13">
        <v>1</v>
      </c>
      <c r="U13">
        <v>2</v>
      </c>
      <c r="V13">
        <v>1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376C-93B4-40E6-86BF-2141FDD8849E}">
  <sheetPr filterMode="1"/>
  <dimension ref="A1:G20"/>
  <sheetViews>
    <sheetView workbookViewId="0">
      <selection activeCell="C28" sqref="C28"/>
    </sheetView>
  </sheetViews>
  <sheetFormatPr defaultRowHeight="15.5" x14ac:dyDescent="0.35"/>
  <cols>
    <col min="1" max="1" width="22.9140625" customWidth="1"/>
    <col min="2" max="2" width="26.08203125" customWidth="1"/>
    <col min="6" max="6" width="9.33203125" bestFit="1" customWidth="1"/>
  </cols>
  <sheetData>
    <row r="1" spans="1:7" x14ac:dyDescent="0.35">
      <c r="A1" t="s">
        <v>151</v>
      </c>
      <c r="B1" t="s">
        <v>152</v>
      </c>
      <c r="C1" t="s">
        <v>41</v>
      </c>
      <c r="D1" t="s">
        <v>153</v>
      </c>
      <c r="F1">
        <v>1</v>
      </c>
    </row>
    <row r="2" spans="1:7" hidden="1" x14ac:dyDescent="0.35">
      <c r="A2" t="s">
        <v>128</v>
      </c>
      <c r="B2" t="s">
        <v>129</v>
      </c>
      <c r="C2">
        <v>33286</v>
      </c>
      <c r="D2" t="s">
        <v>130</v>
      </c>
      <c r="F2" s="8">
        <f>_xlfn.XLOOKUP(A2,[8]details!$A:$A,[8]details!$E:$E,0)</f>
        <v>46226</v>
      </c>
    </row>
    <row r="3" spans="1:7" x14ac:dyDescent="0.35">
      <c r="A3" t="s">
        <v>131</v>
      </c>
      <c r="B3" t="s">
        <v>129</v>
      </c>
      <c r="C3">
        <v>33300</v>
      </c>
      <c r="D3" t="s">
        <v>130</v>
      </c>
      <c r="F3" s="8">
        <f>_xlfn.XLOOKUP(A3,[8]details!$A:$A,[8]details!$E:$E,0)</f>
        <v>0</v>
      </c>
      <c r="G3" t="str">
        <f>_xlfn.XLOOKUP(A3,[8]details!$A:$A,[8]details!$D:$D,0)</f>
        <v>TTS80</v>
      </c>
    </row>
    <row r="4" spans="1:7" x14ac:dyDescent="0.35">
      <c r="A4" t="s">
        <v>132</v>
      </c>
      <c r="B4" t="s">
        <v>129</v>
      </c>
      <c r="C4">
        <v>33118</v>
      </c>
      <c r="D4" t="s">
        <v>130</v>
      </c>
      <c r="F4" s="8">
        <f>_xlfn.XLOOKUP(A4,[8]details!$A:$A,[8]details!$E:$E,0)</f>
        <v>0</v>
      </c>
      <c r="G4" t="str">
        <f>_xlfn.XLOOKUP(A4,[8]details!$A:$A,[8]details!$D:$D,0)</f>
        <v>TTS80</v>
      </c>
    </row>
    <row r="5" spans="1:7" hidden="1" x14ac:dyDescent="0.35">
      <c r="A5" t="s">
        <v>133</v>
      </c>
      <c r="B5" t="s">
        <v>129</v>
      </c>
      <c r="C5">
        <v>33145</v>
      </c>
      <c r="D5" t="s">
        <v>130</v>
      </c>
      <c r="F5" s="8">
        <f>_xlfn.XLOOKUP(A5,[8]details!$A:$A,[8]details!$E:$E,0)</f>
        <v>46226</v>
      </c>
    </row>
    <row r="6" spans="1:7" x14ac:dyDescent="0.35">
      <c r="A6" t="s">
        <v>134</v>
      </c>
      <c r="B6" t="s">
        <v>129</v>
      </c>
      <c r="C6">
        <v>33091</v>
      </c>
      <c r="D6" t="s">
        <v>130</v>
      </c>
      <c r="F6" s="8">
        <f>_xlfn.XLOOKUP(A6,[8]details!$A:$A,[8]details!$E:$E,0)</f>
        <v>0</v>
      </c>
      <c r="G6" t="str">
        <f>_xlfn.XLOOKUP(A6,[8]details!$A:$A,[8]details!$D:$D,0)</f>
        <v>TTS80</v>
      </c>
    </row>
    <row r="7" spans="1:7" x14ac:dyDescent="0.35">
      <c r="A7" t="s">
        <v>135</v>
      </c>
      <c r="B7" t="s">
        <v>129</v>
      </c>
      <c r="C7">
        <v>33300</v>
      </c>
      <c r="D7" t="s">
        <v>130</v>
      </c>
      <c r="F7" s="8">
        <f>_xlfn.XLOOKUP(A7,[8]details!$A:$A,[8]details!$E:$E,0)</f>
        <v>0</v>
      </c>
      <c r="G7" t="str">
        <f>_xlfn.XLOOKUP(A7,[8]details!$A:$A,[8]details!$D:$D,0)</f>
        <v>TTS80</v>
      </c>
    </row>
    <row r="8" spans="1:7" x14ac:dyDescent="0.35">
      <c r="A8" t="s">
        <v>136</v>
      </c>
      <c r="B8" t="s">
        <v>129</v>
      </c>
      <c r="C8">
        <v>33269</v>
      </c>
      <c r="D8" t="s">
        <v>130</v>
      </c>
      <c r="F8" s="8">
        <f>_xlfn.XLOOKUP(A8,[8]details!$A:$A,[8]details!$E:$E,0)</f>
        <v>0</v>
      </c>
      <c r="G8" t="str">
        <f>_xlfn.XLOOKUP(A8,[8]details!$A:$A,[8]details!$D:$D,0)</f>
        <v>TTS80</v>
      </c>
    </row>
    <row r="9" spans="1:7" hidden="1" x14ac:dyDescent="0.35">
      <c r="A9" t="s">
        <v>137</v>
      </c>
      <c r="B9" t="s">
        <v>129</v>
      </c>
      <c r="C9">
        <v>33282</v>
      </c>
      <c r="D9" t="s">
        <v>130</v>
      </c>
      <c r="F9" s="8">
        <f>_xlfn.XLOOKUP(A9,[8]details!$A:$A,[8]details!$E:$E,0)</f>
        <v>46227</v>
      </c>
    </row>
    <row r="10" spans="1:7" x14ac:dyDescent="0.35">
      <c r="A10" t="s">
        <v>138</v>
      </c>
      <c r="B10" t="s">
        <v>129</v>
      </c>
      <c r="C10">
        <v>33098</v>
      </c>
      <c r="D10" t="s">
        <v>130</v>
      </c>
      <c r="F10" s="8">
        <f>_xlfn.XLOOKUP(A10,[8]details!$A:$A,[8]details!$E:$E,0)</f>
        <v>0</v>
      </c>
      <c r="G10" t="str">
        <f>_xlfn.XLOOKUP(A10,[8]details!$A:$A,[8]details!$D:$D,0)</f>
        <v>TTS80</v>
      </c>
    </row>
    <row r="11" spans="1:7" x14ac:dyDescent="0.35">
      <c r="A11" t="s">
        <v>139</v>
      </c>
      <c r="B11" t="s">
        <v>129</v>
      </c>
      <c r="C11">
        <v>33251</v>
      </c>
      <c r="D11" t="s">
        <v>130</v>
      </c>
      <c r="F11" s="8">
        <f>_xlfn.XLOOKUP(A11,[8]details!$A:$A,[8]details!$E:$E,0)</f>
        <v>0</v>
      </c>
      <c r="G11" t="str">
        <f>_xlfn.XLOOKUP(A11,[8]details!$A:$A,[8]details!$D:$D,0)</f>
        <v>TTS80</v>
      </c>
    </row>
    <row r="12" spans="1:7" hidden="1" x14ac:dyDescent="0.35">
      <c r="A12" t="s">
        <v>140</v>
      </c>
      <c r="B12" t="s">
        <v>129</v>
      </c>
      <c r="C12">
        <v>33300</v>
      </c>
      <c r="D12" t="s">
        <v>130</v>
      </c>
      <c r="F12" s="8">
        <f>_xlfn.XLOOKUP(A12,[8]details!$A:$A,[8]details!$E:$E,0)</f>
        <v>46226</v>
      </c>
    </row>
    <row r="13" spans="1:7" x14ac:dyDescent="0.35">
      <c r="A13" t="s">
        <v>141</v>
      </c>
      <c r="B13" t="s">
        <v>129</v>
      </c>
      <c r="C13">
        <v>33266</v>
      </c>
      <c r="D13" t="s">
        <v>130</v>
      </c>
      <c r="F13" s="8">
        <f>_xlfn.XLOOKUP(A13,[8]details!$A:$A,[8]details!$E:$E,0)</f>
        <v>0</v>
      </c>
      <c r="G13" t="str">
        <f>_xlfn.XLOOKUP(A13,[8]details!$A:$A,[8]details!$D:$D,0)</f>
        <v>TTS80</v>
      </c>
    </row>
    <row r="14" spans="1:7" hidden="1" x14ac:dyDescent="0.35">
      <c r="A14" t="s">
        <v>142</v>
      </c>
      <c r="B14" t="s">
        <v>129</v>
      </c>
      <c r="C14">
        <v>33192</v>
      </c>
      <c r="D14" t="s">
        <v>143</v>
      </c>
      <c r="F14" s="8">
        <f>_xlfn.XLOOKUP(A14,[8]details!$A:$A,[8]details!$E:$E,0)</f>
        <v>46229</v>
      </c>
    </row>
    <row r="15" spans="1:7" x14ac:dyDescent="0.35">
      <c r="A15" t="s">
        <v>144</v>
      </c>
      <c r="B15" t="s">
        <v>129</v>
      </c>
      <c r="C15">
        <v>33142</v>
      </c>
      <c r="D15" t="s">
        <v>143</v>
      </c>
      <c r="F15" s="8">
        <f>_xlfn.XLOOKUP(A15,[8]details!$A:$A,[8]details!$E:$E,0)</f>
        <v>0</v>
      </c>
      <c r="G15" t="str">
        <f>_xlfn.XLOOKUP(A15,[8]details!$A:$A,[8]details!$D:$D,0)</f>
        <v>TTS80</v>
      </c>
    </row>
    <row r="16" spans="1:7" x14ac:dyDescent="0.35">
      <c r="A16" t="s">
        <v>145</v>
      </c>
      <c r="B16" t="s">
        <v>129</v>
      </c>
      <c r="C16">
        <v>33300</v>
      </c>
      <c r="D16" t="s">
        <v>130</v>
      </c>
      <c r="F16" s="8">
        <f>_xlfn.XLOOKUP(A16,[8]details!$A:$A,[8]details!$E:$E,0)</f>
        <v>0</v>
      </c>
      <c r="G16" t="str">
        <f>_xlfn.XLOOKUP(A16,[8]details!$A:$A,[8]details!$D:$D,0)</f>
        <v>TTS80</v>
      </c>
    </row>
    <row r="17" spans="1:7" hidden="1" x14ac:dyDescent="0.35">
      <c r="A17" t="s">
        <v>146</v>
      </c>
      <c r="B17" t="s">
        <v>147</v>
      </c>
      <c r="C17">
        <v>39960</v>
      </c>
      <c r="D17" t="s">
        <v>130</v>
      </c>
      <c r="F17" s="8">
        <f>_xlfn.XLOOKUP(A17,[8]details!$A:$A,[8]details!$E:$E,0)</f>
        <v>46226</v>
      </c>
    </row>
    <row r="18" spans="1:7" x14ac:dyDescent="0.35">
      <c r="A18" t="s">
        <v>148</v>
      </c>
      <c r="B18" t="s">
        <v>129</v>
      </c>
      <c r="C18">
        <v>33300</v>
      </c>
      <c r="D18" t="s">
        <v>130</v>
      </c>
      <c r="F18" s="8">
        <f>_xlfn.XLOOKUP(A18,[8]details!$A:$A,[8]details!$E:$E,0)</f>
        <v>0</v>
      </c>
      <c r="G18" t="str">
        <f>_xlfn.XLOOKUP(A18,[8]details!$A:$A,[8]details!$D:$D,0)</f>
        <v>TTS80</v>
      </c>
    </row>
    <row r="19" spans="1:7" hidden="1" x14ac:dyDescent="0.35">
      <c r="A19" t="s">
        <v>149</v>
      </c>
      <c r="B19" t="s">
        <v>129</v>
      </c>
      <c r="C19">
        <v>33300</v>
      </c>
      <c r="D19" t="s">
        <v>130</v>
      </c>
      <c r="F19" s="8">
        <f>_xlfn.XLOOKUP(A19,[8]details!$A:$A,[8]details!$E:$E,0)</f>
        <v>46229</v>
      </c>
    </row>
    <row r="20" spans="1:7" x14ac:dyDescent="0.35">
      <c r="A20" t="s">
        <v>150</v>
      </c>
      <c r="B20" t="s">
        <v>129</v>
      </c>
      <c r="C20">
        <v>33300</v>
      </c>
      <c r="D20" t="s">
        <v>130</v>
      </c>
      <c r="F20" s="8">
        <f>_xlfn.XLOOKUP(A20,[8]details!$A:$A,[8]details!$E:$E,0)</f>
        <v>0</v>
      </c>
      <c r="G20" t="str">
        <f>_xlfn.XLOOKUP(A20,[8]details!$A:$A,[8]details!$D:$D,0)</f>
        <v>TTS80</v>
      </c>
    </row>
  </sheetData>
  <autoFilter ref="F1:F20" xr:uid="{7788376C-93B4-40E6-86BF-2141FDD8849E}">
    <filterColumn colId="0">
      <filters>
        <dateGroupItem year="1900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687</vt:lpstr>
      <vt:lpstr>D</vt:lpstr>
      <vt:lpstr>Rest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 Li (李佩盈)</dc:creator>
  <cp:lastModifiedBy>Esme Li (李佩盈)</cp:lastModifiedBy>
  <dcterms:created xsi:type="dcterms:W3CDTF">2026-01-08T09:31:04Z</dcterms:created>
  <dcterms:modified xsi:type="dcterms:W3CDTF">2026-07-31T01:57:51Z</dcterms:modified>
</cp:coreProperties>
</file>