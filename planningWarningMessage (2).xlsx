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ownloads\"/>
    </mc:Choice>
  </mc:AlternateContent>
  <xr:revisionPtr revIDLastSave="0" documentId="13_ncr:1_{F49BFD51-6590-46F5-B609-66A7212CC73C}" xr6:coauthVersionLast="47" xr6:coauthVersionMax="47" xr10:uidLastSave="{00000000-0000-0000-0000-000000000000}"/>
  <bookViews>
    <workbookView xWindow="28680" yWindow="-120" windowWidth="21840" windowHeight="13020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definedNames>
    <definedName name="_xlnm._FilterDatabase" localSheetId="0" hidden="1">Sheet1!$A$1:$K$537</definedName>
    <definedName name="_xlnm._FilterDatabase" localSheetId="1" hidden="1">Sheet2!$A$1:$D$35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13" i="2"/>
  <c r="C28" i="2"/>
  <c r="D28" i="2" s="1"/>
  <c r="C6" i="2"/>
  <c r="D6" i="2" s="1"/>
  <c r="C7" i="2"/>
  <c r="D7" i="2" s="1"/>
  <c r="C8" i="2"/>
  <c r="D8" i="2" s="1"/>
  <c r="C10" i="2"/>
  <c r="D10" i="2" s="1"/>
  <c r="C9" i="2"/>
  <c r="D9" i="2" s="1"/>
  <c r="C11" i="2"/>
  <c r="C25" i="2"/>
  <c r="C24" i="2"/>
  <c r="C22" i="2"/>
  <c r="D22" i="2" s="1"/>
  <c r="C15" i="2"/>
  <c r="D15" i="2" s="1"/>
  <c r="C27" i="2"/>
  <c r="C17" i="2"/>
  <c r="C18" i="2"/>
  <c r="C4" i="2"/>
  <c r="D4" i="2" s="1"/>
  <c r="C5" i="2"/>
  <c r="D5" i="2" s="1"/>
  <c r="C12" i="2"/>
  <c r="D12" i="2" s="1"/>
  <c r="C20" i="2"/>
  <c r="D20" i="2" s="1"/>
  <c r="C14" i="2"/>
  <c r="D14" i="2" s="1"/>
  <c r="C21" i="2"/>
  <c r="D21" i="2" s="1"/>
  <c r="C16" i="2"/>
  <c r="C23" i="2"/>
  <c r="C26" i="2"/>
  <c r="C19" i="2"/>
  <c r="D19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2" i="2"/>
  <c r="D2" i="2" s="1"/>
  <c r="B3" i="2"/>
  <c r="B13" i="2"/>
  <c r="B28" i="2"/>
  <c r="B6" i="2"/>
  <c r="B7" i="2"/>
  <c r="B8" i="2"/>
  <c r="B10" i="2"/>
  <c r="B9" i="2"/>
  <c r="B11" i="2"/>
  <c r="B25" i="2"/>
  <c r="B24" i="2"/>
  <c r="B22" i="2"/>
  <c r="B15" i="2"/>
  <c r="B27" i="2"/>
  <c r="D27" i="2" s="1"/>
  <c r="B17" i="2"/>
  <c r="B18" i="2"/>
  <c r="B4" i="2"/>
  <c r="B5" i="2"/>
  <c r="B12" i="2"/>
  <c r="B20" i="2"/>
  <c r="B14" i="2"/>
  <c r="B21" i="2"/>
  <c r="B16" i="2"/>
  <c r="B23" i="2"/>
  <c r="B26" i="2"/>
  <c r="B19" i="2"/>
  <c r="B29" i="2"/>
  <c r="B30" i="2"/>
  <c r="B31" i="2"/>
  <c r="B32" i="2"/>
  <c r="B33" i="2"/>
  <c r="B34" i="2"/>
  <c r="B35" i="2"/>
  <c r="B2" i="2"/>
  <c r="D16" i="2" l="1"/>
  <c r="D11" i="2"/>
  <c r="D17" i="2"/>
  <c r="D18" i="2"/>
  <c r="D26" i="2"/>
  <c r="D24" i="2"/>
  <c r="D13" i="2"/>
  <c r="D3" i="2"/>
  <c r="D23" i="2"/>
  <c r="D25" i="2"/>
</calcChain>
</file>

<file path=xl/sharedStrings.xml><?xml version="1.0" encoding="utf-8"?>
<sst xmlns="http://schemas.openxmlformats.org/spreadsheetml/2006/main" count="4358" uniqueCount="402">
  <si>
    <t>planningTaskID</t>
  </si>
  <si>
    <t>planDate</t>
  </si>
  <si>
    <t>requestID</t>
  </si>
  <si>
    <t>orderNumber</t>
  </si>
  <si>
    <t>partNumber</t>
  </si>
  <si>
    <t>warningMessage</t>
  </si>
  <si>
    <t>item_Name</t>
  </si>
  <si>
    <t>need_By_Date</t>
  </si>
  <si>
    <t>start_QTY</t>
  </si>
  <si>
    <t>suggestStartDate</t>
  </si>
  <si>
    <t>category</t>
  </si>
  <si>
    <t>2026-07-11</t>
  </si>
  <si>
    <t>20812208202607188</t>
  </si>
  <si>
    <t>3820883265</t>
  </si>
  <si>
    <t>T520D157M010ATE040</t>
  </si>
  <si>
    <t xml:space="preserve">CalculatedStartDate：7/9/2026 12:00:00 AM , not release </t>
  </si>
  <si>
    <t>1900-01-01</t>
  </si>
  <si>
    <t>D</t>
  </si>
  <si>
    <t>3820803322</t>
  </si>
  <si>
    <t>T598X477M010ATE025</t>
  </si>
  <si>
    <t>No available anode for small runners PN T598X477M010ATE025</t>
  </si>
  <si>
    <t>T521X</t>
  </si>
  <si>
    <t>3820884485</t>
  </si>
  <si>
    <t>T520D227M006ATE009E006</t>
  </si>
  <si>
    <t xml:space="preserve">CalculatedStartDate：7/7/2026 12:00:00 AM , not release </t>
  </si>
  <si>
    <t>3820888169</t>
  </si>
  <si>
    <t>T520D477M004ATE0254539</t>
  </si>
  <si>
    <t>3820803321</t>
  </si>
  <si>
    <t xml:space="preserve">CalculatedStartDate：7/5/2026 12:00:00 AM , not release </t>
  </si>
  <si>
    <t>3820912612</t>
  </si>
  <si>
    <t>T521D107M025ATE0407280</t>
  </si>
  <si>
    <t xml:space="preserve">CalculatedStartDate：7/11/2026 12:00:00 AM , not release </t>
  </si>
  <si>
    <t>3820900798</t>
  </si>
  <si>
    <t>T520V337M2R5ATE007</t>
  </si>
  <si>
    <t>1.9V</t>
  </si>
  <si>
    <t>3820884735</t>
  </si>
  <si>
    <t>T520D337M006ATE009</t>
  </si>
  <si>
    <t xml:space="preserve">CalculatedStartDate：7/10/2026 12:00:00 AM , not release </t>
  </si>
  <si>
    <t>3820900796</t>
  </si>
  <si>
    <t>3820888753</t>
  </si>
  <si>
    <t>T520D477M004ATE010</t>
  </si>
  <si>
    <t>3820912611</t>
  </si>
  <si>
    <t>3820884734</t>
  </si>
  <si>
    <t>3820912613</t>
  </si>
  <si>
    <t>3820886616</t>
  </si>
  <si>
    <t>T520D337M006ATE040</t>
  </si>
  <si>
    <t>3820900805</t>
  </si>
  <si>
    <t>3820900802</t>
  </si>
  <si>
    <t>3820912604</t>
  </si>
  <si>
    <t>3820900797</t>
  </si>
  <si>
    <t>3820912632</t>
  </si>
  <si>
    <t>3820900799</t>
  </si>
  <si>
    <t>3820912636</t>
  </si>
  <si>
    <t>3820900803</t>
  </si>
  <si>
    <t>3820902753</t>
  </si>
  <si>
    <t>T520W477M006ATE035</t>
  </si>
  <si>
    <t>W</t>
  </si>
  <si>
    <t>3820912614</t>
  </si>
  <si>
    <t>3820912608</t>
  </si>
  <si>
    <t>3820900800</t>
  </si>
  <si>
    <t>3820912633</t>
  </si>
  <si>
    <t>3820900801</t>
  </si>
  <si>
    <t>3820912645</t>
  </si>
  <si>
    <t>3820912634</t>
  </si>
  <si>
    <t>3820912606</t>
  </si>
  <si>
    <t>3820912620</t>
  </si>
  <si>
    <t>3820912609</t>
  </si>
  <si>
    <t>3820912616</t>
  </si>
  <si>
    <t>3820912644</t>
  </si>
  <si>
    <t>3820900804</t>
  </si>
  <si>
    <t>3820912647</t>
  </si>
  <si>
    <t>3820912646</t>
  </si>
  <si>
    <t>3820912618</t>
  </si>
  <si>
    <t>3820912638</t>
  </si>
  <si>
    <t>3820912615</t>
  </si>
  <si>
    <t>3820912626</t>
  </si>
  <si>
    <t>3820912648</t>
  </si>
  <si>
    <t>3820912605</t>
  </si>
  <si>
    <t>3820923138</t>
  </si>
  <si>
    <t>T521V107M016ATE050</t>
  </si>
  <si>
    <t>T59V</t>
  </si>
  <si>
    <t>3820921516</t>
  </si>
  <si>
    <t>T521D686M025ATE0707652</t>
  </si>
  <si>
    <t>3820912619</t>
  </si>
  <si>
    <t>3820912639</t>
  </si>
  <si>
    <t>3820912617</t>
  </si>
  <si>
    <t>3820912630</t>
  </si>
  <si>
    <t>3820912649</t>
  </si>
  <si>
    <t>3820912607</t>
  </si>
  <si>
    <t>3820927254</t>
  </si>
  <si>
    <t>T521X476M035ATE070</t>
  </si>
  <si>
    <t>No available anode for small runners PN T521X476M035ATE070</t>
  </si>
  <si>
    <t>No available anode for small runners PN T521V107M016ATE050</t>
  </si>
  <si>
    <t>3820912621</t>
  </si>
  <si>
    <t>3820923142</t>
  </si>
  <si>
    <t>3820912625</t>
  </si>
  <si>
    <t>3820923135</t>
  </si>
  <si>
    <t xml:space="preserve">CalculatedStartDate：7/8/2026 12:00:00 AM , not release </t>
  </si>
  <si>
    <t>3820923146</t>
  </si>
  <si>
    <t>3820912610</t>
  </si>
  <si>
    <t>3820927256</t>
  </si>
  <si>
    <t>3820923139</t>
  </si>
  <si>
    <t>3820912622</t>
  </si>
  <si>
    <t>3820923143</t>
  </si>
  <si>
    <t>3820912627</t>
  </si>
  <si>
    <t>3820923140</t>
  </si>
  <si>
    <t>3820923147</t>
  </si>
  <si>
    <t>3820912624</t>
  </si>
  <si>
    <t>3820927261</t>
  </si>
  <si>
    <t>3820912623</t>
  </si>
  <si>
    <t>3820923148</t>
  </si>
  <si>
    <t>3820912641</t>
  </si>
  <si>
    <t>3820923149</t>
  </si>
  <si>
    <t>3820912628</t>
  </si>
  <si>
    <t>3820928240</t>
  </si>
  <si>
    <t>T521X336M050ATE075</t>
  </si>
  <si>
    <t>No available anode for small runners PN T521X336M050ATE075</t>
  </si>
  <si>
    <t>3820926407</t>
  </si>
  <si>
    <t>T521X226M050ATE075</t>
  </si>
  <si>
    <t>No available anode for small runners PN T521X226M050ATE075</t>
  </si>
  <si>
    <t>3820912635</t>
  </si>
  <si>
    <t>3820927044</t>
  </si>
  <si>
    <t>T521X476M035ATE030</t>
  </si>
  <si>
    <t>No available anode for small runners PN T521X476M035ATE030</t>
  </si>
  <si>
    <t>3820912642</t>
  </si>
  <si>
    <t>3820923144</t>
  </si>
  <si>
    <t>3820923151</t>
  </si>
  <si>
    <t>3820912629</t>
  </si>
  <si>
    <t>3820928437</t>
  </si>
  <si>
    <t>T521X336M050ATE050</t>
  </si>
  <si>
    <t>No available anode for small runners PN T521X336M050ATE050</t>
  </si>
  <si>
    <t>3820926408</t>
  </si>
  <si>
    <t>3820912637</t>
  </si>
  <si>
    <t>3820927259</t>
  </si>
  <si>
    <t>3820912643</t>
  </si>
  <si>
    <t>3820923150</t>
  </si>
  <si>
    <t>3820926468</t>
  </si>
  <si>
    <t>T521X186M050ATE070</t>
  </si>
  <si>
    <t>No available anode for small runners PN T521X186M050ATE070</t>
  </si>
  <si>
    <t>3820912631</t>
  </si>
  <si>
    <t>3820928438</t>
  </si>
  <si>
    <t>3820926409</t>
  </si>
  <si>
    <t>3820912650</t>
  </si>
  <si>
    <t>3820928241</t>
  </si>
  <si>
    <t>3820923134</t>
  </si>
  <si>
    <t>3820927046</t>
  </si>
  <si>
    <t>3820927049</t>
  </si>
  <si>
    <t>3820912640</t>
  </si>
  <si>
    <t>3820928439</t>
  </si>
  <si>
    <t>3820926410</t>
  </si>
  <si>
    <t>3820921517</t>
  </si>
  <si>
    <t>3820928442</t>
  </si>
  <si>
    <t>3820923136</t>
  </si>
  <si>
    <t>3820927051</t>
  </si>
  <si>
    <t>3820927053</t>
  </si>
  <si>
    <t>3820919584</t>
  </si>
  <si>
    <t>T521D476M016ATE070</t>
  </si>
  <si>
    <t>3820928461</t>
  </si>
  <si>
    <t>3820927255</t>
  </si>
  <si>
    <t>3820928460</t>
  </si>
  <si>
    <t>3820923137</t>
  </si>
  <si>
    <t>3820927249</t>
  </si>
  <si>
    <t>3820927054</t>
  </si>
  <si>
    <t>3820928463</t>
  </si>
  <si>
    <t>3820927257</t>
  </si>
  <si>
    <t>3820923141</t>
  </si>
  <si>
    <t>3820928462</t>
  </si>
  <si>
    <t>3820927251</t>
  </si>
  <si>
    <t>3820927055</t>
  </si>
  <si>
    <t>3820928464</t>
  </si>
  <si>
    <t>3820927262</t>
  </si>
  <si>
    <t>3820927042</t>
  </si>
  <si>
    <t>3820991990</t>
  </si>
  <si>
    <t>T591D226M025ATE060</t>
  </si>
  <si>
    <t>T59D 1</t>
  </si>
  <si>
    <t>3820923145</t>
  </si>
  <si>
    <t>3820928239</t>
  </si>
  <si>
    <t>3820928238</t>
  </si>
  <si>
    <t>3820941284</t>
  </si>
  <si>
    <t>T530D157M010ATE005</t>
  </si>
  <si>
    <t>No available anode for small runners PN T530D157M010ATE005</t>
  </si>
  <si>
    <t>T530D 3</t>
  </si>
  <si>
    <t>3820928242</t>
  </si>
  <si>
    <t>3820927047</t>
  </si>
  <si>
    <t>3820926406</t>
  </si>
  <si>
    <t>3820928447</t>
  </si>
  <si>
    <t>3820928243</t>
  </si>
  <si>
    <t>3820926404</t>
  </si>
  <si>
    <t>3820963444</t>
  </si>
  <si>
    <t>T521X477M016ATE020</t>
  </si>
  <si>
    <t>No available anode for small runners PN T521X477M016ATE020</t>
  </si>
  <si>
    <t>3820928441</t>
  </si>
  <si>
    <t>3820927048</t>
  </si>
  <si>
    <t>3820926405</t>
  </si>
  <si>
    <t>3820927040</t>
  </si>
  <si>
    <t>3820928448</t>
  </si>
  <si>
    <t>3820928808</t>
  </si>
  <si>
    <t>T523H477M016APE070</t>
  </si>
  <si>
    <t>No available anode for small runners PN T523H477M016APE070</t>
  </si>
  <si>
    <t>T523H</t>
  </si>
  <si>
    <t>3820927043</t>
  </si>
  <si>
    <t>3820968301</t>
  </si>
  <si>
    <t>T521X226M050ATE0752478</t>
  </si>
  <si>
    <t>No available anode for small runners PN T521X226M050ATE0752478</t>
  </si>
  <si>
    <t>3820928444</t>
  </si>
  <si>
    <t>3820927056</t>
  </si>
  <si>
    <t>3820927045</t>
  </si>
  <si>
    <t>3820927041</t>
  </si>
  <si>
    <t>3820928450</t>
  </si>
  <si>
    <t>3821001248</t>
  </si>
  <si>
    <t>T598B107M006ATE045</t>
  </si>
  <si>
    <t>T59B</t>
  </si>
  <si>
    <t>3820927050</t>
  </si>
  <si>
    <t>3821001245</t>
  </si>
  <si>
    <t>3820928445</t>
  </si>
  <si>
    <t>3820927250</t>
  </si>
  <si>
    <t>3820927252</t>
  </si>
  <si>
    <t>3820927052</t>
  </si>
  <si>
    <t>3820928457</t>
  </si>
  <si>
    <t>3820928244</t>
  </si>
  <si>
    <t>3820927260</t>
  </si>
  <si>
    <t>3820927253</t>
  </si>
  <si>
    <t>3820928458</t>
  </si>
  <si>
    <t>3820928446</t>
  </si>
  <si>
    <t>3820928440</t>
  </si>
  <si>
    <t>3820927258</t>
  </si>
  <si>
    <t>3820928459</t>
  </si>
  <si>
    <t>3820928456</t>
  </si>
  <si>
    <t>3820928449</t>
  </si>
  <si>
    <t>3820928443</t>
  </si>
  <si>
    <t>3820928465</t>
  </si>
  <si>
    <t>3820939430</t>
  </si>
  <si>
    <t>T598D226M035AT4334</t>
  </si>
  <si>
    <t>No available anode for small runners PN T598D226M035AT4334</t>
  </si>
  <si>
    <t>3820928452</t>
  </si>
  <si>
    <t>3820928451</t>
  </si>
  <si>
    <t>3820963440</t>
  </si>
  <si>
    <t>3820963443</t>
  </si>
  <si>
    <t>3821008843</t>
  </si>
  <si>
    <t>T598B686M006ATE070</t>
  </si>
  <si>
    <t>3820928453</t>
  </si>
  <si>
    <t>3820963441</t>
  </si>
  <si>
    <t>3821001246</t>
  </si>
  <si>
    <t>3821019368</t>
  </si>
  <si>
    <t>T598D337M006AT4143</t>
  </si>
  <si>
    <t>3820928454</t>
  </si>
  <si>
    <t>3821001247</t>
  </si>
  <si>
    <t>3821001249</t>
  </si>
  <si>
    <t>3820928455</t>
  </si>
  <si>
    <t>3820935964</t>
  </si>
  <si>
    <t>T525T476M006ATE080</t>
  </si>
  <si>
    <t>No available anode for small runners PN T525T476M006ATE080</t>
  </si>
  <si>
    <t>T</t>
  </si>
  <si>
    <t>3820963442</t>
  </si>
  <si>
    <t>2026-07-10</t>
  </si>
  <si>
    <t>3820884115</t>
  </si>
  <si>
    <t>T520D227M010ATE025</t>
  </si>
  <si>
    <t xml:space="preserve">CalculatedStartDate：7/6/2026 12:00:00 AM , not release </t>
  </si>
  <si>
    <t>3820884732</t>
  </si>
  <si>
    <t xml:space="preserve">CalculatedStartDate：7/4/2026 12:00:00 AM , not release </t>
  </si>
  <si>
    <t>3820884198</t>
  </si>
  <si>
    <t>T520D227M010ATE0257111</t>
  </si>
  <si>
    <t>3820884114</t>
  </si>
  <si>
    <t>3820884113</t>
  </si>
  <si>
    <t>3820884118</t>
  </si>
  <si>
    <t>3820889053</t>
  </si>
  <si>
    <t>T520D477M004ATE012</t>
  </si>
  <si>
    <t>3820884117</t>
  </si>
  <si>
    <t>3820884917</t>
  </si>
  <si>
    <t>T520D337M006ATE010</t>
  </si>
  <si>
    <t>No available anode for small runners PN T520D337M006ATE010</t>
  </si>
  <si>
    <t>T530D 2</t>
  </si>
  <si>
    <t>3820884116</t>
  </si>
  <si>
    <t>3820889054</t>
  </si>
  <si>
    <t>3820884731</t>
  </si>
  <si>
    <t>3820884733</t>
  </si>
  <si>
    <t>3820884919</t>
  </si>
  <si>
    <t>3820889049</t>
  </si>
  <si>
    <t>3820884918</t>
  </si>
  <si>
    <t>3820884921</t>
  </si>
  <si>
    <t>3820885840</t>
  </si>
  <si>
    <t>T521D157M025ATE050</t>
  </si>
  <si>
    <t>3820893805</t>
  </si>
  <si>
    <t>T520T107M006APE070</t>
  </si>
  <si>
    <t>No available anode for small runners PN T520T107M006APE070</t>
  </si>
  <si>
    <t>Flat T</t>
  </si>
  <si>
    <t>3820884920</t>
  </si>
  <si>
    <t>3820893803</t>
  </si>
  <si>
    <t>3820889050</t>
  </si>
  <si>
    <t>3820889051</t>
  </si>
  <si>
    <t>3820892752</t>
  </si>
  <si>
    <t>T520D687M004ATE012</t>
  </si>
  <si>
    <t>3820885841</t>
  </si>
  <si>
    <t>3820888751</t>
  </si>
  <si>
    <t>3820910975</t>
  </si>
  <si>
    <t>T521D227M016ATE050</t>
  </si>
  <si>
    <t>3820889052</t>
  </si>
  <si>
    <t>3820893804</t>
  </si>
  <si>
    <t>3820910976</t>
  </si>
  <si>
    <t>3820919110</t>
  </si>
  <si>
    <t>T521D107M020ATE055</t>
  </si>
  <si>
    <t>3820910974</t>
  </si>
  <si>
    <t>3820919107</t>
  </si>
  <si>
    <t>3820919102</t>
  </si>
  <si>
    <t>3820893801</t>
  </si>
  <si>
    <t>3820919106</t>
  </si>
  <si>
    <t>3820919111</t>
  </si>
  <si>
    <t>3820919100</t>
  </si>
  <si>
    <t>3820892753</t>
  </si>
  <si>
    <t>3820919108</t>
  </si>
  <si>
    <t>3820919113</t>
  </si>
  <si>
    <t>3820893802</t>
  </si>
  <si>
    <t>3820919112</t>
  </si>
  <si>
    <t>3820921732</t>
  </si>
  <si>
    <t>T521V156M035ATE100</t>
  </si>
  <si>
    <t>No available anode for small runners PN T521V156M035ATE100</t>
  </si>
  <si>
    <t>2.0V</t>
  </si>
  <si>
    <t>3820919101</t>
  </si>
  <si>
    <t>3820893807</t>
  </si>
  <si>
    <t>3820919286</t>
  </si>
  <si>
    <t>T521D476M020ATE055</t>
  </si>
  <si>
    <t>3820921515</t>
  </si>
  <si>
    <t>3820893806</t>
  </si>
  <si>
    <t>3820919287</t>
  </si>
  <si>
    <t>3820921513</t>
  </si>
  <si>
    <t>3820921514</t>
  </si>
  <si>
    <t>3820921733</t>
  </si>
  <si>
    <t>3820919103</t>
  </si>
  <si>
    <t>3820919104</t>
  </si>
  <si>
    <t>3820919105</t>
  </si>
  <si>
    <t>3820919109</t>
  </si>
  <si>
    <t>3820941954</t>
  </si>
  <si>
    <t>T530D477M004ATE010</t>
  </si>
  <si>
    <t>No available anode for small runners PN T530D477M004ATE010</t>
  </si>
  <si>
    <t>3820944388</t>
  </si>
  <si>
    <t>T530D687M003ATE010</t>
  </si>
  <si>
    <t>No available anode for small runners PN T530D687M003ATE010</t>
  </si>
  <si>
    <t>3820941955</t>
  </si>
  <si>
    <t>3820944389</t>
  </si>
  <si>
    <t>3820969462</t>
  </si>
  <si>
    <t>T525D476M016ATE065</t>
  </si>
  <si>
    <t>3820941961</t>
  </si>
  <si>
    <t>3820941962</t>
  </si>
  <si>
    <t>3820941963</t>
  </si>
  <si>
    <t>3820951683</t>
  </si>
  <si>
    <t>T521D157M025ATE040</t>
  </si>
  <si>
    <t>3820969463</t>
  </si>
  <si>
    <t>3820941956</t>
  </si>
  <si>
    <t>3821001239</t>
  </si>
  <si>
    <t>3820941959</t>
  </si>
  <si>
    <t>3820944390</t>
  </si>
  <si>
    <t>3821001242</t>
  </si>
  <si>
    <t>3820941960</t>
  </si>
  <si>
    <t>3821001240</t>
  </si>
  <si>
    <t>3821001243</t>
  </si>
  <si>
    <t>3821001241</t>
  </si>
  <si>
    <t>3820941957</t>
  </si>
  <si>
    <t>3820941958</t>
  </si>
  <si>
    <t>3820944391</t>
  </si>
  <si>
    <t>2026-07-09</t>
  </si>
  <si>
    <t>3820884724</t>
  </si>
  <si>
    <t>3820884722</t>
  </si>
  <si>
    <t>3820884730</t>
  </si>
  <si>
    <t>3820884719</t>
  </si>
  <si>
    <t>3820884720</t>
  </si>
  <si>
    <t>3820875068</t>
  </si>
  <si>
    <t>T520B337M2R5ATE015</t>
  </si>
  <si>
    <t>B</t>
  </si>
  <si>
    <t>3820884723</t>
  </si>
  <si>
    <t>3820884726</t>
  </si>
  <si>
    <t>3820884721</t>
  </si>
  <si>
    <t>3820884725</t>
  </si>
  <si>
    <t>3820884728</t>
  </si>
  <si>
    <t>3820884727</t>
  </si>
  <si>
    <t>3820901813</t>
  </si>
  <si>
    <t>T520V477M2R5ATE007</t>
  </si>
  <si>
    <t>3820884729</t>
  </si>
  <si>
    <t>3820901812</t>
  </si>
  <si>
    <t>3820921946</t>
  </si>
  <si>
    <t>T521V107M020ATE055</t>
  </si>
  <si>
    <t>3820925629</t>
  </si>
  <si>
    <t>T521W476M020ATE045</t>
  </si>
  <si>
    <t xml:space="preserve">CalculatedStartDate：6/30/2026 12:00:00 AM , not release </t>
  </si>
  <si>
    <t>3820948069</t>
  </si>
  <si>
    <t>T530X337M010ATE010</t>
  </si>
  <si>
    <t>T530X</t>
  </si>
  <si>
    <t>3820921948</t>
  </si>
  <si>
    <t>3820948073</t>
  </si>
  <si>
    <t>3820948074</t>
  </si>
  <si>
    <t>3820921947</t>
  </si>
  <si>
    <t>3820948072</t>
  </si>
  <si>
    <t>3820948070</t>
  </si>
  <si>
    <t>3821001236</t>
  </si>
  <si>
    <t>3820944992</t>
  </si>
  <si>
    <t>T530X158M2R5ATE005</t>
  </si>
  <si>
    <t>3820949380</t>
  </si>
  <si>
    <t>T530X687M004ATE004</t>
  </si>
  <si>
    <t>3821001238</t>
  </si>
  <si>
    <t>3820949381</t>
  </si>
  <si>
    <t>3821001237</t>
  </si>
  <si>
    <t>3820948071</t>
  </si>
  <si>
    <t>202628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</si>
</sst>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169" fontId="0" fillId="0" borderId="0" xfId="1" applyNumberFormat="1" applyFon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Monica/Daily%20Plan/7.8/Loading%20July.8th-New.xlsx" TargetMode="External"/><Relationship Id="rId2" Type="http://schemas.openxmlformats.org/officeDocument/2006/relationships/externalLinkPath" Target="file:///C:\Users\CEXLSZ4\Desktop\Monica\Daily%20Plan\7.8\Loading%20July.8th-New.xlsx" TargetMode="External"/><Relationship Id="rId1" Type="http://schemas.openxmlformats.org/officeDocument/2006/relationships/externalLinkPath" Target="/Users/CEXLSZ4/Desktop/Monica/Daily%20Plan/7.8/Loading%20July.8th-N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XLSZ4\Downloads\PlanningResult%20(5).xlsx" TargetMode="External"/><Relationship Id="rId1" Type="http://schemas.openxmlformats.org/officeDocument/2006/relationships/externalLinkPath" Target="PlanningResul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ode WIP Report"/>
      <sheetName val="time"/>
      <sheetName val="list"/>
      <sheetName val="PowerBISuzhou ParametersECP_v ("/>
      <sheetName val="Oracle LT"/>
      <sheetName val="Hold"/>
      <sheetName val="Anode Shortage-WIP"/>
      <sheetName val="Anode Shortage-2W Intrasit"/>
      <sheetName val="Mata WIP"/>
      <sheetName val="Overall TPT"/>
      <sheetName val="Detail3"/>
      <sheetName val="Detail4"/>
      <sheetName val="Detail5"/>
      <sheetName val="Summary (5)"/>
      <sheetName val="Summary (7)"/>
      <sheetName val="Detail8"/>
      <sheetName val="Detail1"/>
      <sheetName val="Detail2"/>
      <sheetName val="Summary"/>
      <sheetName val="Summary (2)"/>
      <sheetName val="Summary (6)"/>
      <sheetName val="Summary (9)"/>
      <sheetName val="Detail6"/>
      <sheetName val="Detail7"/>
      <sheetName val="Summary (8)"/>
      <sheetName val="Summary-C"/>
      <sheetName val="Summary-D NONSigma"/>
      <sheetName val="SummaryD-Sigma"/>
      <sheetName val="Summary High CV"/>
      <sheetName val="Summary-T520DV 2"/>
      <sheetName val="Summary-528Z 1 (2)"/>
      <sheetName val="大于3天停线"/>
      <sheetName val="Elect Type"/>
      <sheetName val="Elect Type-Cate"/>
      <sheetName val="Cycles &lt; 4.6"/>
      <sheetName val="Cycles &lt; 4.6 Cate"/>
      <sheetName val="Formtation Time"/>
      <sheetName val="扣除Realease后库存"/>
      <sheetName val="Category"/>
      <sheetName val="KEMET_GOP_ATO_ANALYSIS_DAILY"/>
      <sheetName val="Active Desig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M5" t="str">
            <v>WEEK</v>
          </cell>
        </row>
        <row r="6">
          <cell r="D6" t="str">
            <v>PARENT_ITEM</v>
          </cell>
          <cell r="M6" t="str">
            <v>202628</v>
          </cell>
        </row>
        <row r="7">
          <cell r="D7" t="str">
            <v>T520V107M006ATE009E007</v>
          </cell>
        </row>
        <row r="8">
          <cell r="D8" t="str">
            <v>T520V107M010ATE018</v>
          </cell>
        </row>
        <row r="9">
          <cell r="D9" t="str">
            <v>T520V107M010ATE045</v>
          </cell>
        </row>
        <row r="10">
          <cell r="D10" t="str">
            <v>T520V107M010ATE0502478</v>
          </cell>
        </row>
        <row r="11">
          <cell r="D11" t="str">
            <v>T520V227M006ATE015</v>
          </cell>
        </row>
        <row r="12">
          <cell r="D12" t="str">
            <v>T520V227M010AHE025</v>
          </cell>
        </row>
        <row r="13">
          <cell r="D13" t="str">
            <v>T520V337M2R5ATE007</v>
          </cell>
        </row>
        <row r="14">
          <cell r="D14" t="str">
            <v>T520V337M2R5ATE009</v>
          </cell>
        </row>
        <row r="15">
          <cell r="D15" t="str">
            <v>T520V337M2R5ATE009E006</v>
          </cell>
        </row>
        <row r="16">
          <cell r="D16" t="str">
            <v>T520V337M2R5ATE025</v>
          </cell>
        </row>
        <row r="17">
          <cell r="D17" t="str">
            <v>T520V337M2R5ATE040</v>
          </cell>
        </row>
        <row r="18">
          <cell r="D18" t="str">
            <v>T520V337M2R5AHE025</v>
          </cell>
        </row>
        <row r="19">
          <cell r="D19" t="str">
            <v>T520V337M004ATE040</v>
          </cell>
        </row>
        <row r="20">
          <cell r="D20" t="str">
            <v>T520V337M004ATE025</v>
          </cell>
        </row>
        <row r="21">
          <cell r="D21" t="str">
            <v>T520V337M006ATE015</v>
          </cell>
        </row>
        <row r="22">
          <cell r="D22" t="str">
            <v>T520V337M006ATE025</v>
          </cell>
        </row>
        <row r="23">
          <cell r="D23" t="str">
            <v>T520V337M006ATE040</v>
          </cell>
        </row>
        <row r="24">
          <cell r="D24" t="str">
            <v>T520V337M006ATE045</v>
          </cell>
        </row>
        <row r="25">
          <cell r="D25" t="str">
            <v>T520V477M2R5ATE015</v>
          </cell>
        </row>
        <row r="26">
          <cell r="D26" t="str">
            <v>T520V477M2R5ATE018</v>
          </cell>
        </row>
        <row r="27">
          <cell r="D27" t="str">
            <v>T520V477M006ATE035</v>
          </cell>
        </row>
        <row r="28">
          <cell r="D28" t="str">
            <v>T520V477M006ATE055</v>
          </cell>
        </row>
        <row r="29">
          <cell r="D29" t="str">
            <v>T520V477M2R5ATE007</v>
          </cell>
          <cell r="M29">
            <v>9817.2466230000009</v>
          </cell>
        </row>
        <row r="30">
          <cell r="D30" t="str">
            <v>T520V477M2R5ATE009</v>
          </cell>
        </row>
        <row r="31">
          <cell r="D31" t="str">
            <v>T520V477M2R5ATE012</v>
          </cell>
          <cell r="M31">
            <v>161213.25010499998</v>
          </cell>
        </row>
        <row r="32">
          <cell r="D32" t="str">
            <v>T520V476M016ATE070</v>
          </cell>
        </row>
        <row r="33">
          <cell r="D33" t="str">
            <v>T520V476M016ATE045</v>
          </cell>
        </row>
        <row r="34">
          <cell r="D34" t="str">
            <v>T520V687M006ATE025</v>
          </cell>
        </row>
        <row r="35">
          <cell r="D35" t="str">
            <v>T520V226M020ATE090</v>
          </cell>
        </row>
        <row r="36">
          <cell r="D36" t="str">
            <v>T520V157M006ATE012E009</v>
          </cell>
        </row>
        <row r="37">
          <cell r="D37" t="str">
            <v>T520V157M006ATE007</v>
          </cell>
        </row>
        <row r="38">
          <cell r="D38" t="str">
            <v>T520V227M004ATE0157280</v>
          </cell>
        </row>
        <row r="39">
          <cell r="D39" t="str">
            <v>T520V227M004ATE009</v>
          </cell>
        </row>
        <row r="40">
          <cell r="D40" t="str">
            <v>T520V227M006ATE009E007</v>
          </cell>
        </row>
        <row r="41">
          <cell r="D41" t="str">
            <v>T520V227M006ATE009</v>
          </cell>
        </row>
        <row r="42">
          <cell r="D42" t="str">
            <v>T520V337M004ATE009E007</v>
          </cell>
        </row>
        <row r="43">
          <cell r="D43" t="str">
            <v>T520V337M004ATE012</v>
          </cell>
        </row>
        <row r="44">
          <cell r="D44" t="str">
            <v>T520V337M2R5ATE015</v>
          </cell>
        </row>
        <row r="45">
          <cell r="M45">
            <v>171030.496728</v>
          </cell>
        </row>
        <row r="46">
          <cell r="D46" t="str">
            <v>T521V106M050ATE090</v>
          </cell>
        </row>
        <row r="47">
          <cell r="D47" t="str">
            <v>T521V226M025ATE0607652</v>
          </cell>
        </row>
        <row r="48">
          <cell r="D48" t="str">
            <v>T521V226M025ATE090</v>
          </cell>
        </row>
        <row r="49">
          <cell r="D49" t="str">
            <v>T521V226M025ATE090NTYY</v>
          </cell>
        </row>
        <row r="50">
          <cell r="D50" t="str">
            <v>T521V226M025ATE040</v>
          </cell>
        </row>
        <row r="51">
          <cell r="D51" t="str">
            <v>T521V336M025ATE040</v>
          </cell>
        </row>
        <row r="52">
          <cell r="D52" t="str">
            <v>T521V336M025ATE060</v>
          </cell>
        </row>
        <row r="53">
          <cell r="D53" t="str">
            <v>T521V476M016ATE040</v>
          </cell>
        </row>
        <row r="54">
          <cell r="D54" t="str">
            <v>T521V476M016ATE070</v>
          </cell>
        </row>
        <row r="55">
          <cell r="D55" t="str">
            <v>T521V476M016ATE055</v>
          </cell>
        </row>
        <row r="56">
          <cell r="D56" t="str">
            <v>T521V476M020ATE055</v>
          </cell>
        </row>
        <row r="57">
          <cell r="D57" t="str">
            <v>T521V476M020ATE0557133</v>
          </cell>
        </row>
        <row r="58">
          <cell r="D58" t="str">
            <v>T521V476M020ATE0557733</v>
          </cell>
        </row>
        <row r="59">
          <cell r="D59" t="str">
            <v>T521V336M025ATE025</v>
          </cell>
        </row>
        <row r="60">
          <cell r="D60" t="str">
            <v>T521V686M016ATE050</v>
          </cell>
        </row>
        <row r="61">
          <cell r="D61" t="str">
            <v>T521V686M016ATE0507656</v>
          </cell>
          <cell r="M61">
            <v>26010.781189000001</v>
          </cell>
        </row>
        <row r="62">
          <cell r="D62" t="str">
            <v>T521V476M035ATE100</v>
          </cell>
        </row>
        <row r="63">
          <cell r="D63" t="str">
            <v>T521V156M035ATE125</v>
          </cell>
        </row>
        <row r="64">
          <cell r="D64" t="str">
            <v>T521V156M035ATE100</v>
          </cell>
        </row>
        <row r="65">
          <cell r="D65" t="str">
            <v>T598V227M004ATE012</v>
          </cell>
        </row>
        <row r="66">
          <cell r="D66" t="str">
            <v>T598V337M2R5ATE015</v>
          </cell>
        </row>
        <row r="67">
          <cell r="D67" t="str">
            <v>T598V337M2R5ATE012</v>
          </cell>
        </row>
        <row r="68">
          <cell r="D68" t="str">
            <v>T591V227M004ATE012</v>
          </cell>
        </row>
        <row r="69">
          <cell r="D69" t="str">
            <v>T591V337M2R5ATE015</v>
          </cell>
        </row>
        <row r="70">
          <cell r="D70" t="str">
            <v>T591V337M2R5ATE009</v>
          </cell>
        </row>
        <row r="71">
          <cell r="M71">
            <v>26010.781189000001</v>
          </cell>
        </row>
        <row r="72">
          <cell r="D72" t="str">
            <v>T521B106M016ATE100</v>
          </cell>
        </row>
        <row r="73">
          <cell r="D73" t="str">
            <v>T520B107M004ATE040</v>
          </cell>
        </row>
        <row r="74">
          <cell r="D74" t="str">
            <v>T520B107M004ATE035</v>
          </cell>
        </row>
        <row r="75">
          <cell r="D75" t="str">
            <v>T520B107M006AHE015</v>
          </cell>
        </row>
        <row r="76">
          <cell r="D76" t="str">
            <v>T520B107M006ATE015</v>
          </cell>
        </row>
        <row r="77">
          <cell r="D77" t="str">
            <v>T520B107M006ATE035</v>
          </cell>
        </row>
        <row r="78">
          <cell r="D78" t="str">
            <v>T520B107M006ATE040</v>
          </cell>
        </row>
        <row r="79">
          <cell r="D79" t="str">
            <v>T520B107M006ATE045</v>
          </cell>
        </row>
        <row r="80">
          <cell r="D80" t="str">
            <v>T520B107M006ATE0457652</v>
          </cell>
        </row>
        <row r="81">
          <cell r="D81" t="str">
            <v>T520B107M006ATE070</v>
          </cell>
        </row>
        <row r="82">
          <cell r="D82" t="str">
            <v>T520B107M006AHE040</v>
          </cell>
        </row>
        <row r="83">
          <cell r="D83" t="str">
            <v>T520B157M004ATE040</v>
          </cell>
        </row>
        <row r="84">
          <cell r="D84" t="str">
            <v>T520B157M004ATE070</v>
          </cell>
        </row>
        <row r="85">
          <cell r="D85" t="str">
            <v>T520B157M004ATE015</v>
          </cell>
        </row>
        <row r="86">
          <cell r="D86" t="str">
            <v>T520B157M006ATE035</v>
          </cell>
        </row>
        <row r="87">
          <cell r="D87" t="str">
            <v>T520B157M006ATE045</v>
          </cell>
        </row>
        <row r="88">
          <cell r="D88" t="str">
            <v>T520B157M006ATE070</v>
          </cell>
        </row>
        <row r="89">
          <cell r="D89" t="str">
            <v>T520B157M006ATE0707028</v>
          </cell>
        </row>
        <row r="90">
          <cell r="D90" t="str">
            <v>T520B227M004ATE035</v>
          </cell>
        </row>
        <row r="91">
          <cell r="D91" t="str">
            <v>T520B227M006ATE035</v>
          </cell>
        </row>
        <row r="92">
          <cell r="D92" t="str">
            <v>T520B227M006ATE045</v>
          </cell>
        </row>
        <row r="93">
          <cell r="D93" t="str">
            <v>T520B227M006ATE070</v>
          </cell>
          <cell r="M93">
            <v>32910.175014</v>
          </cell>
        </row>
        <row r="94">
          <cell r="D94" t="str">
            <v>T520B227M004ATE0452478</v>
          </cell>
        </row>
        <row r="95">
          <cell r="D95" t="str">
            <v>T520B227M006ATE025</v>
          </cell>
        </row>
        <row r="96">
          <cell r="D96" t="str">
            <v>T520B227M006ATE0257652</v>
          </cell>
        </row>
        <row r="97">
          <cell r="D97" t="str">
            <v>T520B227M006ATE0258152</v>
          </cell>
        </row>
        <row r="98">
          <cell r="D98" t="str">
            <v>T520B227M2R5ATE015</v>
          </cell>
        </row>
        <row r="99">
          <cell r="D99" t="str">
            <v>T520B227M2R5ATE035</v>
          </cell>
        </row>
        <row r="100">
          <cell r="D100" t="str">
            <v>T520B337M2R5ATE015</v>
          </cell>
          <cell r="M100">
            <v>190.20742100000001</v>
          </cell>
        </row>
        <row r="101">
          <cell r="D101" t="str">
            <v>T520B337M2R5ATE018</v>
          </cell>
        </row>
        <row r="102">
          <cell r="D102" t="str">
            <v>T520B337M2R5AHE018</v>
          </cell>
        </row>
        <row r="103">
          <cell r="D103" t="str">
            <v>T520B337M2R5ATE045</v>
          </cell>
        </row>
        <row r="104">
          <cell r="D104" t="str">
            <v>T520B476M006ATE070</v>
          </cell>
        </row>
        <row r="105">
          <cell r="D105" t="str">
            <v>T520B476M006AHE070</v>
          </cell>
        </row>
        <row r="106">
          <cell r="D106" t="str">
            <v>T520B476M010ATE035</v>
          </cell>
        </row>
        <row r="107">
          <cell r="D107" t="str">
            <v>T521B106M025ATE100</v>
          </cell>
        </row>
        <row r="108">
          <cell r="D108" t="str">
            <v>T521B106M035ATE150</v>
          </cell>
        </row>
        <row r="109">
          <cell r="D109" t="str">
            <v>T521B106M035ATE200</v>
          </cell>
        </row>
        <row r="110">
          <cell r="D110" t="str">
            <v>T521B335M035ATE150</v>
          </cell>
        </row>
        <row r="111">
          <cell r="D111" t="str">
            <v>T521B335M035ATE200</v>
          </cell>
        </row>
        <row r="112">
          <cell r="D112" t="str">
            <v>T521B475M035ATE150</v>
          </cell>
        </row>
        <row r="113">
          <cell r="D113" t="str">
            <v>T521B475M035ATE200</v>
          </cell>
        </row>
        <row r="114">
          <cell r="D114" t="str">
            <v>T521B685M035ATE150</v>
          </cell>
        </row>
        <row r="115">
          <cell r="D115" t="str">
            <v>T525B336M010ATE080</v>
          </cell>
        </row>
        <row r="116">
          <cell r="D116" t="str">
            <v>T525B336M010AHE080</v>
          </cell>
        </row>
        <row r="117">
          <cell r="D117" t="str">
            <v>T520B107M006ATE018</v>
          </cell>
        </row>
        <row r="118">
          <cell r="D118" t="str">
            <v>T525B476M006AHE070</v>
          </cell>
        </row>
        <row r="119">
          <cell r="D119" t="str">
            <v>T521B155M063ATE200</v>
          </cell>
        </row>
        <row r="120">
          <cell r="D120" t="str">
            <v>T521B156M025ATE100</v>
          </cell>
        </row>
        <row r="121">
          <cell r="D121" t="str">
            <v>T525B686M006ATE080</v>
          </cell>
        </row>
        <row r="122">
          <cell r="D122" t="str">
            <v>T521B226M025ATE100</v>
          </cell>
          <cell r="M122">
            <v>546622.11211999995</v>
          </cell>
        </row>
        <row r="123">
          <cell r="D123" t="str">
            <v>T521B226M025ATE1002478</v>
          </cell>
          <cell r="M123">
            <v>2204.925804</v>
          </cell>
        </row>
        <row r="124">
          <cell r="D124" t="str">
            <v>T525B226M010ATE080</v>
          </cell>
        </row>
        <row r="125">
          <cell r="D125" t="str">
            <v>T520B157M006ATE0187652</v>
          </cell>
          <cell r="M125">
            <v>58936.765824000002</v>
          </cell>
        </row>
        <row r="126">
          <cell r="D126" t="str">
            <v>T520B157M006ATE025</v>
          </cell>
        </row>
        <row r="127">
          <cell r="D127" t="str">
            <v>T521B226M016ATE090</v>
          </cell>
        </row>
        <row r="128">
          <cell r="D128" t="str">
            <v>T520B336M010AHE040</v>
          </cell>
        </row>
        <row r="129">
          <cell r="D129" t="str">
            <v>T520B336M010ATE070</v>
          </cell>
        </row>
        <row r="130">
          <cell r="D130" t="str">
            <v>T520B337M2R5ATE035</v>
          </cell>
        </row>
        <row r="131">
          <cell r="D131" t="str">
            <v>T520B107M006ATE025</v>
          </cell>
        </row>
        <row r="132">
          <cell r="D132" t="str">
            <v>T521B226M020ATE090</v>
          </cell>
        </row>
        <row r="133">
          <cell r="D133" t="str">
            <v>T520B227M2R5AHE015</v>
          </cell>
        </row>
        <row r="134">
          <cell r="M134">
            <v>640864.18618299998</v>
          </cell>
        </row>
        <row r="135">
          <cell r="D135" t="str">
            <v>T520C107M006ATE045</v>
          </cell>
        </row>
        <row r="136">
          <cell r="D136" t="str">
            <v>T520C107M010ATE025</v>
          </cell>
        </row>
        <row r="137">
          <cell r="D137" t="str">
            <v>T520C157M006ATE025</v>
          </cell>
        </row>
        <row r="138">
          <cell r="D138" t="str">
            <v>T520C226M016ATE080</v>
          </cell>
        </row>
        <row r="139">
          <cell r="D139" t="str">
            <v>T520C686M010ATE045</v>
          </cell>
        </row>
        <row r="140">
          <cell r="D140" t="str">
            <v>T520C476M010ATE100</v>
          </cell>
        </row>
        <row r="141">
          <cell r="D141" t="str">
            <v>T520C157M010ATE055</v>
          </cell>
        </row>
        <row r="142">
          <cell r="D142" t="str">
            <v>T520C227M004ATE025</v>
          </cell>
        </row>
        <row r="143">
          <cell r="D143" t="str">
            <v>T520C227M006ATE015</v>
          </cell>
        </row>
        <row r="144">
          <cell r="D144" t="str">
            <v>T520C227M006ATE025</v>
          </cell>
        </row>
        <row r="145">
          <cell r="D145" t="str">
            <v>T520C227M006ATE018</v>
          </cell>
        </row>
        <row r="146">
          <cell r="D146" t="str">
            <v>T520C227M004ATE015</v>
          </cell>
        </row>
        <row r="148">
          <cell r="D148" t="str">
            <v>T520D107M010ATE018</v>
          </cell>
        </row>
        <row r="149">
          <cell r="D149" t="str">
            <v>T520D107M010ATE055</v>
          </cell>
        </row>
        <row r="150">
          <cell r="D150" t="str">
            <v>T520D107M010ATE0557280</v>
          </cell>
        </row>
        <row r="151">
          <cell r="D151" t="str">
            <v>T525D107M010ATE055</v>
          </cell>
        </row>
        <row r="152">
          <cell r="D152" t="str">
            <v>T520D107M010ATE080</v>
          </cell>
        </row>
        <row r="153">
          <cell r="D153" t="str">
            <v>T520D107M010AHE080</v>
          </cell>
        </row>
        <row r="154">
          <cell r="D154" t="str">
            <v>T525D107M010ATE025</v>
          </cell>
        </row>
        <row r="155">
          <cell r="D155" t="str">
            <v>T525D107M010AHE025</v>
          </cell>
        </row>
        <row r="156">
          <cell r="D156" t="str">
            <v>T520D108M2R5ATE006</v>
          </cell>
        </row>
        <row r="157">
          <cell r="D157" t="str">
            <v>T520D157M010ATE015</v>
          </cell>
        </row>
        <row r="158">
          <cell r="D158" t="str">
            <v>T520D157M010ATE040</v>
          </cell>
          <cell r="M158">
            <v>3266.5362960000002</v>
          </cell>
        </row>
        <row r="159">
          <cell r="D159" t="str">
            <v>T520D157M008ATE040</v>
          </cell>
        </row>
        <row r="160">
          <cell r="D160" t="str">
            <v>T525D157M010ATE025</v>
          </cell>
        </row>
        <row r="161">
          <cell r="D161" t="str">
            <v>T525D157M010ATE055</v>
          </cell>
        </row>
        <row r="162">
          <cell r="D162" t="str">
            <v>T520D227M006ATE040</v>
          </cell>
        </row>
        <row r="163">
          <cell r="D163" t="str">
            <v>T520D227M006ATE0407280</v>
          </cell>
        </row>
        <row r="164">
          <cell r="D164" t="str">
            <v>T520D227M006ATE050</v>
          </cell>
        </row>
        <row r="165">
          <cell r="D165" t="str">
            <v>T520D227M010ATE018</v>
          </cell>
        </row>
        <row r="166">
          <cell r="D166" t="str">
            <v>T520D227M010ATE0187280</v>
          </cell>
        </row>
        <row r="167">
          <cell r="D167" t="str">
            <v>T520D227M010ATE025</v>
          </cell>
          <cell r="M167">
            <v>134086.464404</v>
          </cell>
        </row>
        <row r="168">
          <cell r="D168" t="str">
            <v>T520D227M010ATE0257111</v>
          </cell>
          <cell r="M168">
            <v>17900.546616</v>
          </cell>
        </row>
        <row r="169">
          <cell r="D169" t="str">
            <v>T520D227M010ATE040</v>
          </cell>
        </row>
        <row r="170">
          <cell r="D170" t="str">
            <v>T525D227M010ATE025</v>
          </cell>
        </row>
        <row r="171">
          <cell r="D171" t="str">
            <v>T520D337M006ATE015</v>
          </cell>
        </row>
        <row r="172">
          <cell r="D172" t="str">
            <v>T520D337M006ATE025</v>
          </cell>
          <cell r="M172">
            <v>1056.38564</v>
          </cell>
        </row>
        <row r="173">
          <cell r="D173" t="str">
            <v>T520D337M006ATE040</v>
          </cell>
          <cell r="M173">
            <v>9048.8338179999992</v>
          </cell>
        </row>
        <row r="174">
          <cell r="D174" t="str">
            <v>T520D337M006ATE0407280</v>
          </cell>
        </row>
        <row r="175">
          <cell r="D175" t="str">
            <v>T520D337M006ATE045</v>
          </cell>
          <cell r="M175">
            <v>2112.7712799999999</v>
          </cell>
        </row>
        <row r="176">
          <cell r="D176" t="str">
            <v>T525D337M006ATE025</v>
          </cell>
        </row>
        <row r="177">
          <cell r="D177" t="str">
            <v>T520D337M006ATE018</v>
          </cell>
          <cell r="M177">
            <v>2917.6596300000001</v>
          </cell>
        </row>
        <row r="178">
          <cell r="D178" t="str">
            <v>T520D477M004ATE0254539</v>
          </cell>
          <cell r="M178">
            <v>2352.7501889999999</v>
          </cell>
        </row>
        <row r="179">
          <cell r="D179" t="str">
            <v>T520D477M004ATE018</v>
          </cell>
        </row>
        <row r="180">
          <cell r="D180" t="str">
            <v>T520D477M006ATE015</v>
          </cell>
        </row>
        <row r="181">
          <cell r="D181" t="str">
            <v>T520D477M006ATE025</v>
          </cell>
        </row>
        <row r="182">
          <cell r="D182" t="str">
            <v>T520D686M010ATE100</v>
          </cell>
        </row>
        <row r="183">
          <cell r="D183" t="str">
            <v>T520D687M2R5ATE015</v>
          </cell>
        </row>
        <row r="184">
          <cell r="D184" t="str">
            <v>T520D687M004ATE012</v>
          </cell>
          <cell r="M184">
            <v>37465.715640000002</v>
          </cell>
        </row>
        <row r="185">
          <cell r="D185" t="str">
            <v>T520D108M2R5ATE015NTXX</v>
          </cell>
        </row>
        <row r="186">
          <cell r="D186" t="str">
            <v>T521D106M050ATE0907654</v>
          </cell>
        </row>
        <row r="187">
          <cell r="D187" t="str">
            <v>T521D107M016ATE050</v>
          </cell>
        </row>
        <row r="188">
          <cell r="D188" t="str">
            <v>T521D107M020ATE055</v>
          </cell>
          <cell r="M188">
            <v>225111.22586000001</v>
          </cell>
        </row>
        <row r="189">
          <cell r="D189" t="str">
            <v>T521D107K020ATE055</v>
          </cell>
        </row>
        <row r="190">
          <cell r="D190" t="str">
            <v>T521D107M025ATE040</v>
          </cell>
        </row>
        <row r="191">
          <cell r="D191" t="str">
            <v>T521D107M025ATE0407280</v>
          </cell>
        </row>
        <row r="192">
          <cell r="D192" t="str">
            <v>T521D107M025ATE050</v>
          </cell>
          <cell r="M192">
            <v>62011.913731000001</v>
          </cell>
        </row>
        <row r="193">
          <cell r="D193" t="str">
            <v>T521D107M025ATE060</v>
          </cell>
        </row>
        <row r="194">
          <cell r="D194" t="str">
            <v>T521D157M016ATE050</v>
          </cell>
        </row>
        <row r="195">
          <cell r="D195" t="str">
            <v>T521D157M016ATE040</v>
          </cell>
        </row>
        <row r="196">
          <cell r="D196" t="str">
            <v>T521D226M050ATE090</v>
          </cell>
        </row>
        <row r="197">
          <cell r="D197" t="str">
            <v>T521D227M016ATE035</v>
          </cell>
        </row>
        <row r="198">
          <cell r="D198" t="str">
            <v>T521D227M016ATE050</v>
          </cell>
          <cell r="M198">
            <v>21571.717731999997</v>
          </cell>
        </row>
        <row r="199">
          <cell r="D199" t="str">
            <v>T521D227M016ATE025</v>
          </cell>
        </row>
        <row r="200">
          <cell r="D200" t="str">
            <v>T521D686M025ATE070</v>
          </cell>
        </row>
        <row r="201">
          <cell r="D201" t="str">
            <v>T521D686M025ATE0707652</v>
          </cell>
          <cell r="M201">
            <v>235515.668542</v>
          </cell>
        </row>
        <row r="202">
          <cell r="D202" t="str">
            <v>T521D106M050AHE090</v>
          </cell>
        </row>
        <row r="203">
          <cell r="D203" t="str">
            <v>T521D106M050ATE090</v>
          </cell>
        </row>
        <row r="204">
          <cell r="D204" t="str">
            <v>T521D106M050ATE1202478</v>
          </cell>
        </row>
        <row r="205">
          <cell r="D205" t="str">
            <v>T521D475M063ATE075</v>
          </cell>
        </row>
        <row r="206">
          <cell r="D206" t="str">
            <v>T525D476M016ATE035</v>
          </cell>
        </row>
        <row r="207">
          <cell r="D207" t="str">
            <v>T525D476M016ATE065</v>
          </cell>
          <cell r="M207">
            <v>44850.337063999999</v>
          </cell>
        </row>
        <row r="208">
          <cell r="D208" t="str">
            <v>T525D476M016AHE035</v>
          </cell>
        </row>
        <row r="209">
          <cell r="D209" t="str">
            <v>T521D476M020ATE055</v>
          </cell>
          <cell r="M209">
            <v>55607.182308999996</v>
          </cell>
        </row>
        <row r="210">
          <cell r="D210" t="str">
            <v>T521D476M020ATE040</v>
          </cell>
        </row>
        <row r="211">
          <cell r="D211" t="str">
            <v>T525D687M003ATE025</v>
          </cell>
        </row>
        <row r="212">
          <cell r="D212" t="str">
            <v>T520D687M004ATE015</v>
          </cell>
        </row>
        <row r="213">
          <cell r="D213" t="str">
            <v>T521D476M025ATE065</v>
          </cell>
        </row>
        <row r="214">
          <cell r="D214" t="str">
            <v>T520D156M025ATE080</v>
          </cell>
        </row>
        <row r="215">
          <cell r="D215" t="str">
            <v>T521D685M063ATE075</v>
          </cell>
        </row>
        <row r="216">
          <cell r="D216" t="str">
            <v>T521D336M035ATE065</v>
          </cell>
          <cell r="M216">
            <v>47738.884690999999</v>
          </cell>
        </row>
        <row r="217">
          <cell r="D217" t="str">
            <v>T521D336M035ATE0657652</v>
          </cell>
        </row>
        <row r="218">
          <cell r="D218" t="str">
            <v>T521D226M035ATE040</v>
          </cell>
        </row>
        <row r="219">
          <cell r="D219" t="str">
            <v>T521D685M050ATE090</v>
          </cell>
        </row>
        <row r="220">
          <cell r="D220" t="str">
            <v>T520D157M006ATE009E007</v>
          </cell>
        </row>
        <row r="221">
          <cell r="D221" t="str">
            <v>T521D157M025ATE040</v>
          </cell>
          <cell r="M221">
            <v>1249</v>
          </cell>
        </row>
        <row r="222">
          <cell r="D222" t="str">
            <v>T521D157M025ATE050</v>
          </cell>
          <cell r="M222">
            <v>3747</v>
          </cell>
        </row>
        <row r="223">
          <cell r="D223" t="str">
            <v>T521D336M025ATE060</v>
          </cell>
        </row>
        <row r="224">
          <cell r="D224" t="str">
            <v>T521D475M075ATE075</v>
          </cell>
        </row>
        <row r="225">
          <cell r="D225" t="str">
            <v>T521D476M035ATE060</v>
          </cell>
        </row>
        <row r="226">
          <cell r="D226" t="str">
            <v>T521D476M016ATE070</v>
          </cell>
          <cell r="M226">
            <v>1055.3020489999999</v>
          </cell>
        </row>
        <row r="227">
          <cell r="D227" t="str">
            <v>T521D476M016ATE090</v>
          </cell>
        </row>
        <row r="228">
          <cell r="D228" t="str">
            <v>T521D476M016ATE070DSGN</v>
          </cell>
        </row>
        <row r="229">
          <cell r="D229" t="str">
            <v>T520D476M016ATE070</v>
          </cell>
        </row>
        <row r="230">
          <cell r="D230" t="str">
            <v>T520D476M016ATE035</v>
          </cell>
        </row>
        <row r="231">
          <cell r="D231" t="str">
            <v>T520D686M016ATE050</v>
          </cell>
        </row>
        <row r="232">
          <cell r="D232" t="str">
            <v>T520D337M004ATE009E007</v>
          </cell>
        </row>
        <row r="233">
          <cell r="D233" t="str">
            <v>T520D337M004ATE012</v>
          </cell>
        </row>
        <row r="234">
          <cell r="D234" t="str">
            <v>T520D337M006ATE009</v>
          </cell>
          <cell r="M234">
            <v>636322.09730100003</v>
          </cell>
        </row>
        <row r="235">
          <cell r="D235" t="str">
            <v>T520D337M006AHE009</v>
          </cell>
        </row>
        <row r="236">
          <cell r="D236" t="str">
            <v>T520D337M006ATE0097280</v>
          </cell>
        </row>
        <row r="237">
          <cell r="D237" t="str">
            <v>T520D227M006ATE009E006</v>
          </cell>
          <cell r="M237">
            <v>547.50720000000001</v>
          </cell>
        </row>
        <row r="238">
          <cell r="D238" t="str">
            <v>T520D687M2R5ATE010</v>
          </cell>
        </row>
        <row r="239">
          <cell r="D239" t="str">
            <v>T520D477M004ATE010</v>
          </cell>
          <cell r="M239">
            <v>181559.08591199998</v>
          </cell>
        </row>
        <row r="240">
          <cell r="D240" t="str">
            <v>T520D477M004ATE0104539</v>
          </cell>
        </row>
        <row r="241">
          <cell r="D241" t="str">
            <v>T520D477M004ATE012</v>
          </cell>
          <cell r="M241">
            <v>108143.08831000001</v>
          </cell>
        </row>
        <row r="242">
          <cell r="D242" t="str">
            <v>T521D226M035ATE060</v>
          </cell>
        </row>
        <row r="243">
          <cell r="M243">
            <v>1835237.6742140001</v>
          </cell>
        </row>
        <row r="244">
          <cell r="D244" t="str">
            <v>T520T107M006APE070</v>
          </cell>
        </row>
        <row r="245">
          <cell r="D245" t="str">
            <v>T521T685M035APE090</v>
          </cell>
        </row>
        <row r="246">
          <cell r="D246" t="str">
            <v>T521T685M035APE0907652</v>
          </cell>
        </row>
        <row r="248">
          <cell r="D248" t="str">
            <v>T520L107M010ATE025</v>
          </cell>
        </row>
        <row r="249">
          <cell r="D249" t="str">
            <v>T520L337M2R5ATE025</v>
          </cell>
        </row>
        <row r="251">
          <cell r="D251" t="str">
            <v>T520M157M006ATE035</v>
          </cell>
        </row>
        <row r="253">
          <cell r="D253" t="str">
            <v>T520T106M12RATE150</v>
          </cell>
        </row>
        <row r="254">
          <cell r="D254" t="str">
            <v>T520T107M004ATE070</v>
          </cell>
        </row>
        <row r="255">
          <cell r="D255" t="str">
            <v>T520T156M006AHE100</v>
          </cell>
        </row>
        <row r="256">
          <cell r="D256" t="str">
            <v>T520T156M006ATE100</v>
          </cell>
        </row>
        <row r="257">
          <cell r="D257" t="str">
            <v>T520T156M12RATE080</v>
          </cell>
        </row>
        <row r="258">
          <cell r="D258" t="str">
            <v>T520T226M008ATE070</v>
          </cell>
        </row>
        <row r="259">
          <cell r="D259" t="str">
            <v>T520T336M010ATE040</v>
          </cell>
        </row>
        <row r="260">
          <cell r="D260" t="str">
            <v>T520T476M006ATE070</v>
          </cell>
        </row>
        <row r="261">
          <cell r="D261" t="str">
            <v>T525T476M006ATE080</v>
          </cell>
        </row>
        <row r="262">
          <cell r="D262" t="str">
            <v>T521T276M018ATE0557652</v>
          </cell>
        </row>
        <row r="263">
          <cell r="D263" t="str">
            <v>T521T336M016ATE050</v>
          </cell>
        </row>
        <row r="264">
          <cell r="D264" t="str">
            <v>T521T336M016ATE0507652</v>
          </cell>
        </row>
        <row r="265">
          <cell r="D265" t="str">
            <v>T521T336M016ATE0557652</v>
          </cell>
          <cell r="M265">
            <v>96458.706292000003</v>
          </cell>
        </row>
        <row r="266">
          <cell r="D266" t="str">
            <v>T521T336M016ATE0508152</v>
          </cell>
        </row>
        <row r="267">
          <cell r="D267" t="str">
            <v>T521T476M016ATE0907607</v>
          </cell>
        </row>
        <row r="268">
          <cell r="D268" t="str">
            <v>T521T476M12RATE090</v>
          </cell>
        </row>
        <row r="269">
          <cell r="D269" t="str">
            <v>T525T336M010ATE080</v>
          </cell>
        </row>
        <row r="270">
          <cell r="D270" t="str">
            <v>T520T476M006ATE040</v>
          </cell>
        </row>
        <row r="271">
          <cell r="D271" t="str">
            <v>T521T336M016ATE045</v>
          </cell>
        </row>
        <row r="272">
          <cell r="D272" t="str">
            <v>T521T336M016ATE045R025</v>
          </cell>
        </row>
        <row r="273">
          <cell r="D273" t="str">
            <v>T520T336M010ATE070</v>
          </cell>
        </row>
        <row r="274">
          <cell r="D274" t="str">
            <v>T520T336M006ATE070</v>
          </cell>
        </row>
        <row r="275">
          <cell r="M275">
            <v>96458.706292000003</v>
          </cell>
        </row>
        <row r="276">
          <cell r="D276" t="str">
            <v>T520D477M2R5ATE006</v>
          </cell>
        </row>
        <row r="277">
          <cell r="D277" t="str">
            <v>T520V477M2R5ATE006</v>
          </cell>
        </row>
        <row r="279">
          <cell r="D279" t="str">
            <v>T521X226M050ATE050</v>
          </cell>
        </row>
        <row r="280">
          <cell r="D280" t="str">
            <v>T521X226M050ATE075</v>
          </cell>
        </row>
        <row r="281">
          <cell r="D281" t="str">
            <v>T521X226M050ATE0752478</v>
          </cell>
        </row>
        <row r="282">
          <cell r="D282" t="str">
            <v>T521X337M016ATE015</v>
          </cell>
        </row>
        <row r="283">
          <cell r="D283" t="str">
            <v>T521X227M016ATE035</v>
          </cell>
        </row>
        <row r="284">
          <cell r="D284" t="str">
            <v>T521X336M050ATE050</v>
          </cell>
        </row>
        <row r="285">
          <cell r="D285" t="str">
            <v>T521X336M050ATE075</v>
          </cell>
        </row>
        <row r="286">
          <cell r="D286" t="str">
            <v>T521X336M050AHE075</v>
          </cell>
        </row>
        <row r="287">
          <cell r="D287" t="str">
            <v>T521X337M016ATE025</v>
          </cell>
        </row>
        <row r="288">
          <cell r="D288" t="str">
            <v>T521X337M016ATK025</v>
          </cell>
        </row>
        <row r="289">
          <cell r="D289" t="str">
            <v>T521X337M016ATE050</v>
          </cell>
        </row>
        <row r="290">
          <cell r="D290" t="str">
            <v>T521X106M063ATE050</v>
          </cell>
        </row>
        <row r="291">
          <cell r="D291" t="str">
            <v>T521X186M050ATE035</v>
          </cell>
        </row>
        <row r="292">
          <cell r="D292" t="str">
            <v>T521X186M050ATE070</v>
          </cell>
        </row>
        <row r="293">
          <cell r="D293" t="str">
            <v>T598X476M035ATE075</v>
          </cell>
        </row>
        <row r="294">
          <cell r="D294" t="str">
            <v>T598X476M035ATW075</v>
          </cell>
        </row>
        <row r="295">
          <cell r="D295" t="str">
            <v>T598X106M063ATE090</v>
          </cell>
        </row>
        <row r="296">
          <cell r="D296" t="str">
            <v>T598X106M075ATE090</v>
          </cell>
        </row>
        <row r="297">
          <cell r="D297" t="str">
            <v>T598X156M063ATE075</v>
          </cell>
        </row>
        <row r="298">
          <cell r="D298" t="str">
            <v>T598X156M075ATE075</v>
          </cell>
        </row>
        <row r="299">
          <cell r="D299" t="str">
            <v>T598X156M075ATW075</v>
          </cell>
        </row>
        <row r="300">
          <cell r="D300" t="str">
            <v>T598X687M006ATE025</v>
          </cell>
        </row>
        <row r="301">
          <cell r="D301" t="str">
            <v>T598X477M010AT4143</v>
          </cell>
        </row>
        <row r="302">
          <cell r="D302" t="str">
            <v>T598X477M010ATE025</v>
          </cell>
          <cell r="M302">
            <v>1373.4395999999999</v>
          </cell>
        </row>
        <row r="303">
          <cell r="D303" t="str">
            <v>T591X477M010ATE025</v>
          </cell>
        </row>
        <row r="304">
          <cell r="D304" t="str">
            <v>T598X477M006ATE025</v>
          </cell>
        </row>
        <row r="305">
          <cell r="D305" t="str">
            <v>T598X337M010ATE025</v>
          </cell>
        </row>
        <row r="306">
          <cell r="D306" t="str">
            <v>T591X337M010ATE025</v>
          </cell>
        </row>
        <row r="307">
          <cell r="D307" t="str">
            <v>T521X107M025ATE030</v>
          </cell>
        </row>
        <row r="308">
          <cell r="D308" t="str">
            <v>T521X107M025ATE060</v>
          </cell>
        </row>
        <row r="309">
          <cell r="D309" t="str">
            <v>T521X107M025AHE060</v>
          </cell>
        </row>
        <row r="310">
          <cell r="D310" t="str">
            <v>T521X226M063AHE075</v>
          </cell>
        </row>
        <row r="311">
          <cell r="D311" t="str">
            <v>T521X226M063ATE075</v>
          </cell>
        </row>
        <row r="312">
          <cell r="D312" t="str">
            <v>T591X476M035ATE075</v>
          </cell>
        </row>
        <row r="313">
          <cell r="D313" t="str">
            <v>T521X156M063ATE035</v>
          </cell>
        </row>
        <row r="314">
          <cell r="D314" t="str">
            <v>T521X156M075AHE035</v>
          </cell>
        </row>
        <row r="315">
          <cell r="D315" t="str">
            <v>T521X156M075ATE035</v>
          </cell>
        </row>
        <row r="316">
          <cell r="D316" t="str">
            <v>T521X106M075ATE050</v>
          </cell>
        </row>
        <row r="317">
          <cell r="D317" t="str">
            <v>T521X156M063ATE150</v>
          </cell>
        </row>
        <row r="318">
          <cell r="D318" t="str">
            <v>T521X686M035ATE050</v>
          </cell>
        </row>
        <row r="319">
          <cell r="D319" t="str">
            <v>T521X476M035AHE030</v>
          </cell>
        </row>
        <row r="320">
          <cell r="D320" t="str">
            <v>T521X476M035ATE030</v>
          </cell>
        </row>
        <row r="321">
          <cell r="D321" t="str">
            <v>T521X476M035ATE070</v>
          </cell>
        </row>
        <row r="322">
          <cell r="D322" t="str">
            <v>T521X476M035ATE0307652</v>
          </cell>
          <cell r="M322">
            <v>1118.9750180000001</v>
          </cell>
        </row>
        <row r="323">
          <cell r="D323" t="str">
            <v>T521X477M016ATE020</v>
          </cell>
        </row>
        <row r="324">
          <cell r="D324" t="str">
            <v>T521X477M016ATK020</v>
          </cell>
        </row>
        <row r="325">
          <cell r="D325" t="str">
            <v>T521X477M016ATI020</v>
          </cell>
        </row>
        <row r="326">
          <cell r="D326" t="str">
            <v>T591X687M006ATE025</v>
          </cell>
        </row>
        <row r="327">
          <cell r="D327" t="str">
            <v>T521X226M075ATE100</v>
          </cell>
        </row>
        <row r="328">
          <cell r="D328" t="str">
            <v>T521X226M075ATE075</v>
          </cell>
        </row>
        <row r="329">
          <cell r="D329" t="str">
            <v>T521X186M075ATE100</v>
          </cell>
        </row>
        <row r="330">
          <cell r="D330" t="str">
            <v>T521X186M063ATE100</v>
          </cell>
        </row>
        <row r="331">
          <cell r="D331" t="str">
            <v>T521X107M035ATE100</v>
          </cell>
        </row>
        <row r="332">
          <cell r="D332" t="str">
            <v>T591X106M075ATE090</v>
          </cell>
        </row>
        <row r="333">
          <cell r="D333" t="str">
            <v>T591X156M075ATE075</v>
          </cell>
        </row>
        <row r="334">
          <cell r="M334">
            <v>2492.4146179999998</v>
          </cell>
        </row>
        <row r="335">
          <cell r="D335" t="str">
            <v>T523H227M025APE070</v>
          </cell>
        </row>
        <row r="336">
          <cell r="D336" t="str">
            <v>T523H227M016APE070</v>
          </cell>
        </row>
        <row r="337">
          <cell r="D337" t="str">
            <v>T523H108M010APE070</v>
          </cell>
        </row>
        <row r="338">
          <cell r="D338" t="str">
            <v>T523H108M010APE0707105</v>
          </cell>
        </row>
        <row r="339">
          <cell r="D339" t="str">
            <v>T523H477M016APE070</v>
          </cell>
        </row>
        <row r="340">
          <cell r="D340" t="str">
            <v>T523H107M035AP4407</v>
          </cell>
        </row>
        <row r="341">
          <cell r="D341" t="str">
            <v>T523H107M035APE0707729</v>
          </cell>
        </row>
        <row r="343">
          <cell r="D343" t="str">
            <v>T523T157M006APE030</v>
          </cell>
        </row>
        <row r="344">
          <cell r="D344" t="str">
            <v>T523T226M025AP4279</v>
          </cell>
        </row>
        <row r="345">
          <cell r="D345" t="str">
            <v>T523T476M016APE090</v>
          </cell>
        </row>
        <row r="347">
          <cell r="D347" t="str">
            <v>T523V686M035APE100</v>
          </cell>
        </row>
        <row r="348">
          <cell r="D348" t="str">
            <v>T523V686M035APE070</v>
          </cell>
        </row>
        <row r="349">
          <cell r="D349" t="str">
            <v>T593V686M035APE070</v>
          </cell>
        </row>
        <row r="350">
          <cell r="D350" t="str">
            <v>T593V686M035APE100</v>
          </cell>
        </row>
        <row r="351">
          <cell r="D351" t="str">
            <v>T523V476M035APE100</v>
          </cell>
        </row>
        <row r="352">
          <cell r="D352" t="str">
            <v>T523V107M025APE070</v>
          </cell>
        </row>
        <row r="354">
          <cell r="D354" t="str">
            <v>T523W107K020APE100</v>
          </cell>
        </row>
        <row r="355">
          <cell r="D355" t="str">
            <v>T523W157M016APE070</v>
          </cell>
        </row>
        <row r="356">
          <cell r="D356" t="str">
            <v>T523W157M016APE100</v>
          </cell>
        </row>
        <row r="357">
          <cell r="D357" t="str">
            <v>T593W476M035APE100</v>
          </cell>
        </row>
        <row r="358">
          <cell r="D358" t="str">
            <v>T523W226M035APE100</v>
          </cell>
        </row>
        <row r="359">
          <cell r="D359" t="str">
            <v>T523W566M035APE070</v>
          </cell>
        </row>
        <row r="360">
          <cell r="D360" t="str">
            <v>T523W476M035AP42917280</v>
          </cell>
        </row>
        <row r="361">
          <cell r="D361" t="str">
            <v>T523W476M035APE100</v>
          </cell>
        </row>
        <row r="362">
          <cell r="D362" t="str">
            <v>T523W476M035APE1002478</v>
          </cell>
        </row>
        <row r="363">
          <cell r="D363" t="str">
            <v>T523W476M035APE1007105</v>
          </cell>
        </row>
        <row r="364">
          <cell r="D364" t="str">
            <v>T523W476M035APE1007723</v>
          </cell>
        </row>
        <row r="365">
          <cell r="D365" t="str">
            <v>T523W476M035AP4276</v>
          </cell>
        </row>
        <row r="367">
          <cell r="D367" t="str">
            <v>T528B277M002APE006</v>
          </cell>
        </row>
        <row r="368">
          <cell r="D368" t="str">
            <v>T528B277M002APE009</v>
          </cell>
        </row>
        <row r="369">
          <cell r="D369" t="str">
            <v>T528B277M2R5APE006</v>
          </cell>
        </row>
        <row r="371">
          <cell r="D371" t="str">
            <v>T528Z227M004ATE009</v>
          </cell>
        </row>
        <row r="372">
          <cell r="D372" t="str">
            <v>T528Z227M006ATE009</v>
          </cell>
        </row>
        <row r="373">
          <cell r="D373" t="str">
            <v>T528Z337M2R5ATE009E008</v>
          </cell>
        </row>
        <row r="374">
          <cell r="D374" t="str">
            <v>T528Z477M2R5ATE009E008</v>
          </cell>
        </row>
        <row r="375">
          <cell r="D375" t="str">
            <v>T528Z157M006ATE007</v>
          </cell>
        </row>
        <row r="377">
          <cell r="D377" t="str">
            <v>T528Z337M2R5ATE005</v>
          </cell>
        </row>
        <row r="378">
          <cell r="D378" t="str">
            <v>T528Z477M2R5ATE005</v>
          </cell>
        </row>
        <row r="380">
          <cell r="D380" t="str">
            <v>T530D477M004ATE010</v>
          </cell>
        </row>
        <row r="381">
          <cell r="D381" t="str">
            <v>T530D477M2R5ATE010</v>
          </cell>
        </row>
        <row r="382">
          <cell r="D382" t="str">
            <v>T530D687M003ATE010</v>
          </cell>
        </row>
        <row r="383">
          <cell r="D383" t="str">
            <v>T530D337M006AHE010</v>
          </cell>
        </row>
        <row r="384">
          <cell r="D384" t="str">
            <v>T530D337M006ATE010</v>
          </cell>
        </row>
        <row r="385">
          <cell r="D385" t="str">
            <v>T530D687M2R5AHE006</v>
          </cell>
        </row>
        <row r="386">
          <cell r="D386" t="str">
            <v>T530D687M2R5ATE006</v>
          </cell>
        </row>
        <row r="387">
          <cell r="D387" t="str">
            <v>T530D687M2R5ATE010</v>
          </cell>
        </row>
        <row r="388">
          <cell r="D388" t="str">
            <v>T520D337M006ATE010</v>
          </cell>
        </row>
        <row r="389">
          <cell r="D389" t="str">
            <v>T520D337M006AHE010</v>
          </cell>
        </row>
        <row r="391">
          <cell r="D391" t="str">
            <v>T530D337M004ATE005</v>
          </cell>
        </row>
        <row r="392">
          <cell r="D392" t="str">
            <v>T530D337M004AHE005</v>
          </cell>
        </row>
        <row r="393">
          <cell r="D393" t="str">
            <v>T530D337M006AHE006</v>
          </cell>
        </row>
        <row r="394">
          <cell r="D394" t="str">
            <v>T530D337M006ATE006</v>
          </cell>
        </row>
        <row r="395">
          <cell r="D395" t="str">
            <v>T530D477M004ATE006</v>
          </cell>
        </row>
        <row r="396">
          <cell r="D396" t="str">
            <v>T530D477M004AHE006</v>
          </cell>
        </row>
        <row r="397">
          <cell r="D397" t="str">
            <v>T530D477M2R5ATE005</v>
          </cell>
        </row>
        <row r="398">
          <cell r="D398" t="str">
            <v>T530D567M2R5ATE005</v>
          </cell>
        </row>
        <row r="399">
          <cell r="D399" t="str">
            <v>T530D567M2R5AHE005</v>
          </cell>
        </row>
        <row r="400">
          <cell r="D400" t="str">
            <v>T530D157M010ATE005</v>
          </cell>
        </row>
        <row r="401">
          <cell r="D401" t="str">
            <v>T530D227M006ATE005</v>
          </cell>
        </row>
        <row r="402">
          <cell r="D402" t="str">
            <v>T530D227M006ATE006</v>
          </cell>
        </row>
        <row r="403">
          <cell r="D403" t="str">
            <v>T530D227M010AHE010</v>
          </cell>
        </row>
        <row r="404">
          <cell r="D404" t="str">
            <v>T530D227M010ATE006</v>
          </cell>
        </row>
        <row r="405">
          <cell r="D405" t="str">
            <v>T530D227M010ATE010</v>
          </cell>
        </row>
        <row r="406">
          <cell r="D406" t="str">
            <v>T530D227M010AHE006</v>
          </cell>
        </row>
        <row r="407">
          <cell r="D407" t="str">
            <v>T530D157M010ATE010</v>
          </cell>
        </row>
        <row r="408">
          <cell r="D408" t="str">
            <v>T530D477M2R5AHE006</v>
          </cell>
        </row>
        <row r="409">
          <cell r="D409" t="str">
            <v>T530D477M003ATE010</v>
          </cell>
        </row>
        <row r="411">
          <cell r="D411" t="str">
            <v>T530X337M010AHE004</v>
          </cell>
        </row>
        <row r="412">
          <cell r="D412" t="str">
            <v>T530X337M010ATE004</v>
          </cell>
        </row>
        <row r="413">
          <cell r="D413" t="str">
            <v>T530X337M010ATE005</v>
          </cell>
        </row>
        <row r="414">
          <cell r="D414" t="str">
            <v>T530X337M010AHE006</v>
          </cell>
        </row>
        <row r="415">
          <cell r="D415" t="str">
            <v>T530X337M010ATE006</v>
          </cell>
        </row>
        <row r="416">
          <cell r="D416" t="str">
            <v>T530X477M006AHE004</v>
          </cell>
        </row>
        <row r="417">
          <cell r="D417" t="str">
            <v>T530X477M006ATE004</v>
          </cell>
        </row>
        <row r="418">
          <cell r="D418" t="str">
            <v>T530X337M010AHE010</v>
          </cell>
        </row>
        <row r="419">
          <cell r="D419" t="str">
            <v>T530X337M010ATE010</v>
          </cell>
        </row>
        <row r="420">
          <cell r="D420" t="str">
            <v>T530X477M006AHE010</v>
          </cell>
        </row>
        <row r="421">
          <cell r="D421" t="str">
            <v>T530X477M006ATE010</v>
          </cell>
        </row>
        <row r="422">
          <cell r="D422" t="str">
            <v>T530X687M004ATE004</v>
          </cell>
          <cell r="M422">
            <v>32826.842255999996</v>
          </cell>
        </row>
        <row r="423">
          <cell r="D423" t="str">
            <v>T530X687M006ATE010</v>
          </cell>
        </row>
        <row r="424">
          <cell r="D424" t="str">
            <v>T530X687M006AHE010</v>
          </cell>
        </row>
        <row r="425">
          <cell r="D425" t="str">
            <v>T530X687M006ATE018</v>
          </cell>
        </row>
        <row r="426">
          <cell r="D426" t="str">
            <v>T530X687M004ATE010</v>
          </cell>
        </row>
        <row r="427">
          <cell r="D427" t="str">
            <v>T530X687M004AHE010</v>
          </cell>
        </row>
        <row r="428">
          <cell r="D428" t="str">
            <v>T530X108M2R5ATE004</v>
          </cell>
        </row>
        <row r="429">
          <cell r="D429" t="str">
            <v>T530X158M003ATE008</v>
          </cell>
        </row>
        <row r="430">
          <cell r="D430" t="str">
            <v>T530X158M003AHE008</v>
          </cell>
        </row>
        <row r="431">
          <cell r="D431" t="str">
            <v>T530X108M003ATE010</v>
          </cell>
        </row>
        <row r="432">
          <cell r="D432" t="str">
            <v>T530X108M003AHE010</v>
          </cell>
        </row>
        <row r="433">
          <cell r="D433" t="str">
            <v>T530X158M2R5ATE005</v>
          </cell>
        </row>
        <row r="434">
          <cell r="D434" t="str">
            <v>T530X158M2R5AHE005</v>
          </cell>
        </row>
        <row r="435">
          <cell r="D435" t="str">
            <v>T530X157M016ATE015</v>
          </cell>
        </row>
        <row r="436">
          <cell r="D436" t="str">
            <v>T530X157M016ATE025</v>
          </cell>
        </row>
        <row r="437">
          <cell r="D437" t="str">
            <v>T530X157M016AHE015</v>
          </cell>
        </row>
        <row r="438">
          <cell r="D438" t="str">
            <v>T530X108M004ATE006</v>
          </cell>
        </row>
        <row r="439">
          <cell r="D439" t="str">
            <v>T530X477M006AHE006</v>
          </cell>
        </row>
        <row r="440">
          <cell r="D440" t="str">
            <v>T530X687M2R5ATE006</v>
          </cell>
        </row>
        <row r="441">
          <cell r="D441" t="str">
            <v>T530X687M2R5AHE006</v>
          </cell>
        </row>
        <row r="442">
          <cell r="M442">
            <v>32826.842255999996</v>
          </cell>
        </row>
        <row r="443">
          <cell r="D443" t="str">
            <v>T530Y477M006ATE005</v>
          </cell>
        </row>
        <row r="444">
          <cell r="D444" t="str">
            <v>T530Y687M004ATE005</v>
          </cell>
        </row>
        <row r="445">
          <cell r="D445" t="str">
            <v>T530Y108M2R5ATE005</v>
          </cell>
        </row>
        <row r="446">
          <cell r="D446" t="str">
            <v>T520Y477M006ATE010</v>
          </cell>
        </row>
        <row r="447">
          <cell r="D447" t="str">
            <v>T520Y477M006ATE0107280</v>
          </cell>
        </row>
        <row r="448">
          <cell r="D448" t="str">
            <v>T530Y687M2R5ATE005</v>
          </cell>
        </row>
        <row r="449">
          <cell r="D449" t="str">
            <v>T530Y477M004ATE005</v>
          </cell>
        </row>
        <row r="451">
          <cell r="D451" t="str">
            <v>T525B336M016ATE070</v>
          </cell>
        </row>
        <row r="452">
          <cell r="D452" t="str">
            <v>T525B336M016ATE090</v>
          </cell>
        </row>
        <row r="453">
          <cell r="D453" t="str">
            <v>T591B227M006ATE070</v>
          </cell>
        </row>
        <row r="454">
          <cell r="D454" t="str">
            <v>T591B476M010ATE070</v>
          </cell>
        </row>
        <row r="455">
          <cell r="D455" t="str">
            <v>T598B107M2R5ATE055</v>
          </cell>
        </row>
        <row r="456">
          <cell r="D456" t="str">
            <v>T598B107M004ATE070</v>
          </cell>
        </row>
        <row r="457">
          <cell r="D457" t="str">
            <v>T598B107M004ATS070</v>
          </cell>
        </row>
        <row r="458">
          <cell r="D458" t="str">
            <v>T598B107M006ATE045</v>
          </cell>
          <cell r="M458">
            <v>549918.70895200002</v>
          </cell>
        </row>
        <row r="459">
          <cell r="D459" t="str">
            <v>T598B157M006ATE045</v>
          </cell>
        </row>
        <row r="460">
          <cell r="D460" t="str">
            <v>T591B157M006ATE045</v>
          </cell>
        </row>
        <row r="461">
          <cell r="D461" t="str">
            <v>T598B107M006ATE055</v>
          </cell>
        </row>
        <row r="462">
          <cell r="D462" t="str">
            <v>T598B107M006AT4775</v>
          </cell>
        </row>
        <row r="463">
          <cell r="D463" t="str">
            <v>T598B107M004ATE045</v>
          </cell>
        </row>
        <row r="464">
          <cell r="D464" t="str">
            <v>T598B336M010ATE080</v>
          </cell>
        </row>
        <row r="465">
          <cell r="D465" t="str">
            <v>T598B336M010ATE080R025</v>
          </cell>
        </row>
        <row r="466">
          <cell r="D466" t="str">
            <v>T598B475M035ATE200</v>
          </cell>
        </row>
        <row r="467">
          <cell r="D467" t="str">
            <v>T598B476M006AT4336</v>
          </cell>
        </row>
        <row r="468">
          <cell r="D468" t="str">
            <v>T598B476M006ATE070</v>
          </cell>
        </row>
        <row r="469">
          <cell r="D469" t="str">
            <v>T598B476M010ATE070</v>
          </cell>
          <cell r="M469">
            <v>42378.403695000001</v>
          </cell>
        </row>
        <row r="470">
          <cell r="D470" t="str">
            <v>T598B476M010ATE0707280</v>
          </cell>
        </row>
        <row r="471">
          <cell r="D471" t="str">
            <v>T598B686M006ATE070</v>
          </cell>
        </row>
        <row r="472">
          <cell r="D472" t="str">
            <v>T598B227M2R5ATE025</v>
          </cell>
        </row>
        <row r="473">
          <cell r="D473" t="str">
            <v>T598B107M004AT4162</v>
          </cell>
        </row>
        <row r="474">
          <cell r="D474" t="str">
            <v>T521B476M016ATE090</v>
          </cell>
        </row>
        <row r="475">
          <cell r="D475" t="str">
            <v>T521B226M025AT4146</v>
          </cell>
        </row>
        <row r="476">
          <cell r="D476" t="str">
            <v>T521B226M025ATE1007129</v>
          </cell>
        </row>
        <row r="477">
          <cell r="D477" t="str">
            <v>T598B225M035ATE150</v>
          </cell>
        </row>
        <row r="478">
          <cell r="D478" t="str">
            <v>T521B556M016ATE0707654</v>
          </cell>
          <cell r="M478">
            <v>26659.261317</v>
          </cell>
        </row>
        <row r="479">
          <cell r="D479" t="str">
            <v>T591B686M006ATE070</v>
          </cell>
        </row>
        <row r="480">
          <cell r="D480" t="str">
            <v>T599B336M010ATE070</v>
          </cell>
        </row>
        <row r="481">
          <cell r="D481" t="str">
            <v>T520B337M006ATE040</v>
          </cell>
        </row>
        <row r="482">
          <cell r="D482" t="str">
            <v>T520B337M006ATE070</v>
          </cell>
        </row>
        <row r="483">
          <cell r="D483" t="str">
            <v>T521B336M016ATE070</v>
          </cell>
        </row>
        <row r="484">
          <cell r="D484" t="str">
            <v>T521B336M016ATE090</v>
          </cell>
        </row>
        <row r="485">
          <cell r="D485" t="str">
            <v>T598B335M035ATE150</v>
          </cell>
        </row>
        <row r="486">
          <cell r="M486">
            <v>618956.37396400003</v>
          </cell>
        </row>
        <row r="487">
          <cell r="D487" t="str">
            <v>T591D106M050ATE090</v>
          </cell>
        </row>
        <row r="488">
          <cell r="D488" t="str">
            <v>T591D107M016ATE050</v>
          </cell>
        </row>
        <row r="489">
          <cell r="D489" t="str">
            <v>T591D227M010ATE025</v>
          </cell>
        </row>
        <row r="490">
          <cell r="D490" t="str">
            <v>T591D336M025ATE060</v>
          </cell>
        </row>
        <row r="491">
          <cell r="D491" t="str">
            <v>T591D336M035ATE065</v>
          </cell>
        </row>
        <row r="492">
          <cell r="D492" t="str">
            <v>T598D106M035ATE120</v>
          </cell>
        </row>
        <row r="493">
          <cell r="D493" t="str">
            <v>T598D106M035ATW120</v>
          </cell>
        </row>
        <row r="494">
          <cell r="D494" t="str">
            <v>T598D106M050ATE090</v>
          </cell>
        </row>
        <row r="495">
          <cell r="D495" t="str">
            <v>T598D106M050ATE0907133</v>
          </cell>
        </row>
        <row r="496">
          <cell r="D496" t="str">
            <v>T598D106M050AHE090</v>
          </cell>
        </row>
        <row r="497">
          <cell r="D497" t="str">
            <v>T598D107M010ATE025</v>
          </cell>
        </row>
        <row r="498">
          <cell r="D498" t="str">
            <v>T598D107M010ATE040</v>
          </cell>
        </row>
        <row r="499">
          <cell r="D499" t="str">
            <v>T598D107M010ATE080</v>
          </cell>
        </row>
        <row r="500">
          <cell r="D500" t="str">
            <v>T598D107M016ATE050</v>
          </cell>
        </row>
        <row r="501">
          <cell r="D501" t="str">
            <v>T598D157M010ATE025</v>
          </cell>
        </row>
        <row r="502">
          <cell r="D502" t="str">
            <v>T598D157M016ATE065</v>
          </cell>
        </row>
        <row r="503">
          <cell r="D503" t="str">
            <v>T598D226M035AT4164</v>
          </cell>
        </row>
        <row r="504">
          <cell r="D504" t="str">
            <v>T598D226M035AT4334</v>
          </cell>
          <cell r="M504">
            <v>35978</v>
          </cell>
        </row>
        <row r="505">
          <cell r="D505" t="str">
            <v>T598D226M035ATE065</v>
          </cell>
        </row>
        <row r="506">
          <cell r="D506" t="str">
            <v>T598D227M2R5ATE009</v>
          </cell>
        </row>
        <row r="507">
          <cell r="D507" t="str">
            <v>T598D227M006ATE025</v>
          </cell>
        </row>
        <row r="508">
          <cell r="D508" t="str">
            <v>T598D227M010ATE025</v>
          </cell>
        </row>
        <row r="509">
          <cell r="D509" t="str">
            <v>T598D227M010ATE0257280</v>
          </cell>
        </row>
        <row r="510">
          <cell r="D510" t="str">
            <v>T598D227M010ATE040</v>
          </cell>
          <cell r="M510">
            <v>14640.217666</v>
          </cell>
        </row>
        <row r="511">
          <cell r="D511" t="str">
            <v>T598D227M010ATE080</v>
          </cell>
        </row>
        <row r="512">
          <cell r="D512" t="str">
            <v>T598D336M035ATE065</v>
          </cell>
        </row>
        <row r="513">
          <cell r="D513" t="str">
            <v>T598D336M035AHE065</v>
          </cell>
        </row>
        <row r="514">
          <cell r="D514" t="str">
            <v>T598D337M006AT4143</v>
          </cell>
          <cell r="M514">
            <v>44748.007899999997</v>
          </cell>
        </row>
        <row r="515">
          <cell r="D515" t="str">
            <v>T598D337M006AT41437280</v>
          </cell>
        </row>
        <row r="516">
          <cell r="D516" t="str">
            <v>T598D337M006ATE025</v>
          </cell>
          <cell r="M516">
            <v>252175.33859100001</v>
          </cell>
        </row>
        <row r="517">
          <cell r="D517" t="str">
            <v>T598D337M006ATE080</v>
          </cell>
        </row>
        <row r="518">
          <cell r="D518" t="str">
            <v>T598D476M025ATE060</v>
          </cell>
        </row>
        <row r="519">
          <cell r="D519" t="str">
            <v>T598D477M004ATE025</v>
          </cell>
        </row>
        <row r="520">
          <cell r="D520" t="str">
            <v>T599D477M004ATE025</v>
          </cell>
        </row>
        <row r="521">
          <cell r="D521" t="str">
            <v>T598D477M2R5AT4313</v>
          </cell>
        </row>
        <row r="522">
          <cell r="D522" t="str">
            <v>T598D477M2R5ATE009</v>
          </cell>
          <cell r="M522">
            <v>12768.159098</v>
          </cell>
        </row>
        <row r="523">
          <cell r="D523" t="str">
            <v>T598D156M035ATE065</v>
          </cell>
        </row>
        <row r="524">
          <cell r="D524" t="str">
            <v>T591D157M016ATE065</v>
          </cell>
        </row>
        <row r="525">
          <cell r="D525" t="str">
            <v>T591D226M025ATE060</v>
          </cell>
        </row>
        <row r="526">
          <cell r="D526" t="str">
            <v>T591D686M020ATE040</v>
          </cell>
        </row>
        <row r="527">
          <cell r="D527" t="str">
            <v>T598D336M025ATE060</v>
          </cell>
        </row>
        <row r="528">
          <cell r="D528" t="str">
            <v>T591D107M010ATE040</v>
          </cell>
        </row>
        <row r="529">
          <cell r="D529" t="str">
            <v>T591D107M010ATE080</v>
          </cell>
        </row>
        <row r="530">
          <cell r="D530" t="str">
            <v>T591D337M006ATE025</v>
          </cell>
        </row>
        <row r="531">
          <cell r="D531" t="str">
            <v>T591D337M006ATE040</v>
          </cell>
        </row>
        <row r="532">
          <cell r="D532" t="str">
            <v>T591D337M006ATE080</v>
          </cell>
        </row>
        <row r="533">
          <cell r="D533" t="str">
            <v>T591D476M016ATE070</v>
          </cell>
        </row>
        <row r="534">
          <cell r="D534" t="str">
            <v>T591D476M020ATE050</v>
          </cell>
        </row>
        <row r="535">
          <cell r="D535" t="str">
            <v>T598D476M016ATE070</v>
          </cell>
        </row>
        <row r="536">
          <cell r="D536" t="str">
            <v>T591D226M035ATE065</v>
          </cell>
        </row>
        <row r="537">
          <cell r="M537">
            <v>360309.72325499996</v>
          </cell>
        </row>
        <row r="538">
          <cell r="D538" t="str">
            <v>T591D477M2R5ATE006</v>
          </cell>
        </row>
        <row r="539">
          <cell r="D539" t="str">
            <v>T598D477M2R5AT4145</v>
          </cell>
        </row>
        <row r="540">
          <cell r="D540" t="str">
            <v>T598D477M2R5AT4186</v>
          </cell>
        </row>
        <row r="541">
          <cell r="D541" t="str">
            <v>T598D477M2R5ATE006</v>
          </cell>
        </row>
        <row r="542">
          <cell r="D542" t="str">
            <v>T598D477M2R5ATE0067280</v>
          </cell>
        </row>
        <row r="543">
          <cell r="D543" t="str">
            <v>T598D477M2R5AT4143</v>
          </cell>
        </row>
        <row r="544">
          <cell r="D544" t="str">
            <v>T598D227M2R5ATE006</v>
          </cell>
          <cell r="M544">
            <v>2145.8406439999999</v>
          </cell>
        </row>
        <row r="545">
          <cell r="D545" t="str">
            <v>T598D687M2R5ATE006</v>
          </cell>
        </row>
        <row r="546">
          <cell r="D546" t="str">
            <v>T591D687M2R5ATE006</v>
          </cell>
        </row>
        <row r="547">
          <cell r="D547" t="str">
            <v>T598D337M2R5ATE006</v>
          </cell>
        </row>
        <row r="548">
          <cell r="M548">
            <v>2145.8406439999999</v>
          </cell>
        </row>
        <row r="549">
          <cell r="D549" t="str">
            <v>T521V107M016ATE040</v>
          </cell>
        </row>
        <row r="550">
          <cell r="D550" t="str">
            <v>T521V107M016ATE050</v>
          </cell>
          <cell r="M550">
            <v>640362.40342500003</v>
          </cell>
        </row>
        <row r="551">
          <cell r="D551" t="str">
            <v>T545V107M016ATE050</v>
          </cell>
        </row>
        <row r="552">
          <cell r="D552" t="str">
            <v>T521V157M016AT42927280</v>
          </cell>
        </row>
        <row r="553">
          <cell r="D553" t="str">
            <v>T521V157M016ATE050</v>
          </cell>
        </row>
        <row r="554">
          <cell r="D554" t="str">
            <v>T521V157M016ATE040</v>
          </cell>
        </row>
        <row r="555">
          <cell r="D555" t="str">
            <v>T545V227M010ATE045</v>
          </cell>
        </row>
        <row r="556">
          <cell r="D556" t="str">
            <v>T598V227M2R5AT4145</v>
          </cell>
          <cell r="M556">
            <v>7215.9675800000005</v>
          </cell>
        </row>
        <row r="557">
          <cell r="D557" t="str">
            <v>T598V227M006ATE025</v>
          </cell>
        </row>
        <row r="558">
          <cell r="D558" t="str">
            <v>T598V337M004ATE025</v>
          </cell>
        </row>
        <row r="559">
          <cell r="D559" t="str">
            <v>T521V167M018ATE0507654</v>
          </cell>
        </row>
        <row r="560">
          <cell r="D560" t="str">
            <v>T598V157M010ATE045</v>
          </cell>
        </row>
        <row r="561">
          <cell r="D561" t="str">
            <v>T598V107M010ATE025</v>
          </cell>
        </row>
        <row r="562">
          <cell r="D562" t="str">
            <v>T598V157M006ATE025</v>
          </cell>
        </row>
        <row r="563">
          <cell r="D563" t="str">
            <v>T521V107M016AT4146</v>
          </cell>
        </row>
        <row r="564">
          <cell r="D564" t="str">
            <v>T521V107M020ATE055</v>
          </cell>
          <cell r="M564">
            <v>48497.818672000001</v>
          </cell>
        </row>
        <row r="565">
          <cell r="D565" t="str">
            <v>T521V107M020ATE0557111</v>
          </cell>
        </row>
        <row r="566">
          <cell r="D566" t="str">
            <v>T521V107M020ATE0607652</v>
          </cell>
        </row>
        <row r="567">
          <cell r="M567">
            <v>696076.18967700005</v>
          </cell>
        </row>
        <row r="568">
          <cell r="D568" t="str">
            <v>T521T336M018APE0557659</v>
          </cell>
        </row>
        <row r="569">
          <cell r="D569" t="str">
            <v>T521T336M018APE0558159</v>
          </cell>
        </row>
        <row r="571">
          <cell r="D571" t="str">
            <v>T521T106M025ATE060</v>
          </cell>
        </row>
        <row r="572">
          <cell r="D572" t="str">
            <v>T521T106M025ATE0607652</v>
          </cell>
          <cell r="M572">
            <v>55551.405485000003</v>
          </cell>
        </row>
        <row r="573">
          <cell r="D573" t="str">
            <v>T521T106M025ATE100</v>
          </cell>
          <cell r="M573">
            <v>77966.035357000001</v>
          </cell>
        </row>
        <row r="574">
          <cell r="D574" t="str">
            <v>T521T106M025ATE0657652</v>
          </cell>
        </row>
        <row r="575">
          <cell r="M575">
            <v>133517.44084200001</v>
          </cell>
        </row>
        <row r="576">
          <cell r="D576" t="str">
            <v>T520U107M006ATE055</v>
          </cell>
        </row>
        <row r="577">
          <cell r="D577" t="str">
            <v>T520U336M010ATE070</v>
          </cell>
        </row>
        <row r="579">
          <cell r="D579" t="str">
            <v>T520W477M006ATE035</v>
          </cell>
        </row>
        <row r="580">
          <cell r="D580" t="str">
            <v>T520W477M006ATE055</v>
          </cell>
        </row>
        <row r="581">
          <cell r="D581" t="str">
            <v>T521W476M020ATE040</v>
          </cell>
        </row>
        <row r="582">
          <cell r="D582" t="str">
            <v>T521W476M020ATE045</v>
          </cell>
          <cell r="M582">
            <v>13187.258162</v>
          </cell>
        </row>
        <row r="583">
          <cell r="D583" t="str">
            <v>T521W476M020ATE0457733</v>
          </cell>
        </row>
        <row r="584">
          <cell r="D584" t="str">
            <v>T545W477M006ATE035</v>
          </cell>
        </row>
        <row r="585">
          <cell r="D585" t="str">
            <v>T520W337M2R5ATE040</v>
          </cell>
        </row>
        <row r="586">
          <cell r="D586" t="str">
            <v>T521W476K020AT4277</v>
          </cell>
          <cell r="M586">
            <v>99439.923905999996</v>
          </cell>
        </row>
        <row r="587">
          <cell r="D587" t="str">
            <v>T520W107M006ATE040</v>
          </cell>
        </row>
        <row r="588">
          <cell r="M588">
            <v>112627.18206799999</v>
          </cell>
        </row>
        <row r="589">
          <cell r="D589" t="str">
            <v>T520X157M016ATE040</v>
          </cell>
        </row>
        <row r="590">
          <cell r="D590" t="str">
            <v>T520X157M016AHE040</v>
          </cell>
        </row>
        <row r="591">
          <cell r="D591" t="str">
            <v>T520X158M2R5ATE015</v>
          </cell>
        </row>
        <row r="592">
          <cell r="D592" t="str">
            <v>T520X337M010ATE025</v>
          </cell>
        </row>
        <row r="593">
          <cell r="D593" t="str">
            <v>T520X337M010ATE0257111</v>
          </cell>
        </row>
        <row r="594">
          <cell r="D594" t="str">
            <v>T520X337M010ATE040</v>
          </cell>
        </row>
        <row r="595">
          <cell r="D595" t="str">
            <v>T520X337M010ATE035</v>
          </cell>
        </row>
        <row r="596">
          <cell r="D596" t="str">
            <v>T520X337M010AHE040</v>
          </cell>
        </row>
        <row r="597">
          <cell r="D597" t="str">
            <v>T520X477M006AHE040</v>
          </cell>
        </row>
        <row r="598">
          <cell r="D598" t="str">
            <v>T520X477M006ATE018</v>
          </cell>
        </row>
        <row r="599">
          <cell r="D599" t="str">
            <v>T520X477M006AHE018</v>
          </cell>
        </row>
        <row r="600">
          <cell r="D600" t="str">
            <v>T520X687M004ATE015</v>
          </cell>
        </row>
        <row r="601">
          <cell r="D601" t="str">
            <v>T521X227M016ATE050</v>
          </cell>
        </row>
        <row r="602">
          <cell r="D602" t="str">
            <v>T520X687M004ATE035</v>
          </cell>
        </row>
        <row r="604">
          <cell r="D604" t="str">
            <v>T520Y108M2R5ATE015</v>
          </cell>
        </row>
        <row r="605">
          <cell r="D605" t="str">
            <v>T520Y227M010ATE040</v>
          </cell>
        </row>
        <row r="606">
          <cell r="D606" t="str">
            <v>T520Y227M010ATE0407280</v>
          </cell>
        </row>
        <row r="607">
          <cell r="D607" t="str">
            <v>T520Y337M010ATE015</v>
          </cell>
        </row>
        <row r="608">
          <cell r="D608" t="str">
            <v>T520Y337M010ATE035</v>
          </cell>
        </row>
        <row r="609">
          <cell r="D609" t="str">
            <v>T525Y337M010ATE025</v>
          </cell>
        </row>
        <row r="610">
          <cell r="D610" t="str">
            <v>T520Y337M010ATE025</v>
          </cell>
        </row>
        <row r="611">
          <cell r="D611" t="str">
            <v>T520Y337M006ATE040</v>
          </cell>
        </row>
        <row r="612">
          <cell r="D612" t="str">
            <v>T520Y337M006ATE025</v>
          </cell>
        </row>
        <row r="613">
          <cell r="D613" t="str">
            <v>T520Y477M006ATE018</v>
          </cell>
        </row>
        <row r="614">
          <cell r="D614" t="str">
            <v>T520Y477M006ATE015</v>
          </cell>
        </row>
        <row r="615">
          <cell r="D615" t="str">
            <v>T520Y477M006ATE035</v>
          </cell>
        </row>
        <row r="616">
          <cell r="D616" t="str">
            <v>T520Y687M006ATE018</v>
          </cell>
        </row>
        <row r="617">
          <cell r="D617" t="str">
            <v>T520Y687M006ATE025</v>
          </cell>
        </row>
        <row r="618">
          <cell r="D618" t="str">
            <v>T520Y157M010ATE015</v>
          </cell>
        </row>
        <row r="620">
          <cell r="D620" t="str">
            <v>T528W337M2R5ATE009</v>
          </cell>
        </row>
        <row r="622">
          <cell r="D622" t="str">
            <v>T598X336M035AHE065</v>
          </cell>
        </row>
        <row r="624">
          <cell r="D624" t="str">
            <v>T521T106M035APE100</v>
          </cell>
        </row>
        <row r="626">
          <cell r="D626" t="str">
            <v>T521X337M016ATK050</v>
          </cell>
        </row>
        <row r="628">
          <cell r="D628" t="str">
            <v>T598B337M2R5ATE009</v>
          </cell>
          <cell r="M628">
            <v>162308</v>
          </cell>
        </row>
        <row r="629">
          <cell r="M629">
            <v>162308</v>
          </cell>
        </row>
        <row r="630">
          <cell r="D630" t="str">
            <v>T521B156M035ATE100</v>
          </cell>
        </row>
        <row r="632">
          <cell r="M632">
            <v>4890861.8519300018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1">
          <cell r="B1" t="str">
            <v>partNumber</v>
          </cell>
          <cell r="F1" t="str">
            <v>quantity</v>
          </cell>
        </row>
        <row r="2">
          <cell r="B2" t="str">
            <v>T521D106M050ATE0907654</v>
          </cell>
          <cell r="F2">
            <v>16302</v>
          </cell>
        </row>
        <row r="3">
          <cell r="B3" t="str">
            <v>T521D106M050ATE0907654</v>
          </cell>
          <cell r="F3">
            <v>16246</v>
          </cell>
        </row>
        <row r="4">
          <cell r="B4" t="str">
            <v>T521D106M050ATE0907654</v>
          </cell>
          <cell r="F4">
            <v>16229</v>
          </cell>
        </row>
        <row r="5">
          <cell r="B5" t="str">
            <v>T521D106M050ATE0907654</v>
          </cell>
          <cell r="F5">
            <v>16003</v>
          </cell>
        </row>
        <row r="6">
          <cell r="B6" t="str">
            <v>T521D107M025ATE0407280</v>
          </cell>
          <cell r="F6">
            <v>28900</v>
          </cell>
        </row>
        <row r="7">
          <cell r="B7" t="str">
            <v>T521D107M025ATE0407280</v>
          </cell>
          <cell r="F7">
            <v>28853</v>
          </cell>
        </row>
        <row r="8">
          <cell r="B8" t="str">
            <v>T521D107M025ATE0407280</v>
          </cell>
          <cell r="F8">
            <v>28900</v>
          </cell>
        </row>
        <row r="9">
          <cell r="B9" t="str">
            <v>T521D107M025ATE0407280</v>
          </cell>
          <cell r="F9">
            <v>28900</v>
          </cell>
        </row>
        <row r="10">
          <cell r="B10" t="str">
            <v>T521D107M025ATE0407280</v>
          </cell>
          <cell r="F10">
            <v>28900</v>
          </cell>
        </row>
        <row r="11">
          <cell r="B11" t="str">
            <v>T521D107M025ATE0407280</v>
          </cell>
          <cell r="F11">
            <v>28835</v>
          </cell>
        </row>
        <row r="12">
          <cell r="B12" t="str">
            <v>T521D107M025ATE0407280</v>
          </cell>
          <cell r="F12">
            <v>28745</v>
          </cell>
        </row>
        <row r="13">
          <cell r="B13" t="str">
            <v>T521D107M025ATE0407280</v>
          </cell>
          <cell r="F13">
            <v>28838</v>
          </cell>
        </row>
        <row r="14">
          <cell r="B14" t="str">
            <v>T521D107M025ATE0407280</v>
          </cell>
          <cell r="F14">
            <v>28900</v>
          </cell>
        </row>
        <row r="15">
          <cell r="B15" t="str">
            <v>T521D107M025ATE0407280</v>
          </cell>
          <cell r="F15">
            <v>28731</v>
          </cell>
        </row>
        <row r="16">
          <cell r="B16" t="str">
            <v>T521D107M025ATE0407280</v>
          </cell>
          <cell r="F16">
            <v>28900</v>
          </cell>
        </row>
        <row r="17">
          <cell r="B17" t="str">
            <v>T521D107M025ATE0407280</v>
          </cell>
          <cell r="F17">
            <v>28900</v>
          </cell>
        </row>
        <row r="18">
          <cell r="B18" t="str">
            <v>T521D107M025ATE0407280</v>
          </cell>
          <cell r="F18">
            <v>28900</v>
          </cell>
        </row>
        <row r="19">
          <cell r="B19" t="str">
            <v>T521D107M025ATE0407280</v>
          </cell>
          <cell r="F19">
            <v>28187</v>
          </cell>
        </row>
        <row r="20">
          <cell r="B20" t="str">
            <v>T598D337M006ATE025</v>
          </cell>
          <cell r="F20">
            <v>20160</v>
          </cell>
        </row>
        <row r="21">
          <cell r="B21" t="str">
            <v>T598D337M006ATE025</v>
          </cell>
          <cell r="F21">
            <v>20273</v>
          </cell>
        </row>
        <row r="22">
          <cell r="B22" t="str">
            <v>T598D337M006ATE025</v>
          </cell>
          <cell r="F22">
            <v>20311</v>
          </cell>
        </row>
        <row r="23">
          <cell r="B23" t="str">
            <v>T598D337M006ATE025</v>
          </cell>
          <cell r="F23">
            <v>20341</v>
          </cell>
        </row>
        <row r="24">
          <cell r="B24" t="str">
            <v>T521D107M025ATE050</v>
          </cell>
          <cell r="F24">
            <v>28900</v>
          </cell>
        </row>
        <row r="25">
          <cell r="B25" t="str">
            <v>T521D107M025ATE050</v>
          </cell>
          <cell r="F25">
            <v>28900</v>
          </cell>
        </row>
        <row r="26">
          <cell r="B26" t="str">
            <v>T598D337M006AT4143</v>
          </cell>
          <cell r="F26">
            <v>20337</v>
          </cell>
        </row>
        <row r="27">
          <cell r="B27" t="str">
            <v>T598D337M006AT4143</v>
          </cell>
          <cell r="F27">
            <v>20341</v>
          </cell>
        </row>
        <row r="28">
          <cell r="B28" t="str">
            <v>T520B337M2R5ATE015</v>
          </cell>
          <cell r="F28">
            <v>51217</v>
          </cell>
        </row>
        <row r="29">
          <cell r="B29" t="str">
            <v>T520B157M006ATE035</v>
          </cell>
          <cell r="F29">
            <v>50672</v>
          </cell>
        </row>
        <row r="30">
          <cell r="B30" t="str">
            <v>T520B157M006ATE035</v>
          </cell>
          <cell r="F30">
            <v>50665</v>
          </cell>
        </row>
        <row r="31">
          <cell r="B31" t="str">
            <v>T520B157M006ATE035</v>
          </cell>
          <cell r="F31">
            <v>50680</v>
          </cell>
        </row>
        <row r="32">
          <cell r="B32" t="str">
            <v>T520B157M006ATE035</v>
          </cell>
          <cell r="F32">
            <v>50549</v>
          </cell>
        </row>
        <row r="33">
          <cell r="B33" t="str">
            <v>T520B157M006ATE035</v>
          </cell>
          <cell r="F33">
            <v>50700</v>
          </cell>
        </row>
        <row r="34">
          <cell r="B34" t="str">
            <v>T520B157M006ATE035</v>
          </cell>
          <cell r="F34">
            <v>50629</v>
          </cell>
        </row>
        <row r="35">
          <cell r="B35" t="str">
            <v>T520B157M006ATE035</v>
          </cell>
          <cell r="F35">
            <v>50700</v>
          </cell>
        </row>
        <row r="36">
          <cell r="B36" t="str">
            <v>T520B157M006ATE035</v>
          </cell>
          <cell r="F36">
            <v>50700</v>
          </cell>
        </row>
        <row r="37">
          <cell r="B37" t="str">
            <v>T520B157M006ATE0187652</v>
          </cell>
          <cell r="F37">
            <v>50681</v>
          </cell>
        </row>
        <row r="38">
          <cell r="B38" t="str">
            <v>T520B157M006ATE0187652</v>
          </cell>
          <cell r="F38">
            <v>50760</v>
          </cell>
        </row>
        <row r="39">
          <cell r="B39" t="str">
            <v>T520B157M006ATE0187652</v>
          </cell>
          <cell r="F39">
            <v>50718</v>
          </cell>
        </row>
        <row r="40">
          <cell r="B40" t="str">
            <v>T598B107M006ATE045</v>
          </cell>
          <cell r="F40">
            <v>50760</v>
          </cell>
        </row>
        <row r="41">
          <cell r="B41" t="str">
            <v>T598B107M006ATE045</v>
          </cell>
          <cell r="F41">
            <v>50619</v>
          </cell>
        </row>
        <row r="42">
          <cell r="B42" t="str">
            <v>T598B107M006ATE045</v>
          </cell>
          <cell r="F42">
            <v>50760</v>
          </cell>
        </row>
        <row r="43">
          <cell r="B43" t="str">
            <v>T521T336M016ATE0507652</v>
          </cell>
          <cell r="F43">
            <v>53974</v>
          </cell>
        </row>
        <row r="44">
          <cell r="B44" t="str">
            <v>T521T336M016ATE0507652</v>
          </cell>
          <cell r="F44">
            <v>53992</v>
          </cell>
        </row>
        <row r="45">
          <cell r="B45" t="str">
            <v>T521T336M016ATE0557652</v>
          </cell>
          <cell r="F45">
            <v>54000</v>
          </cell>
        </row>
        <row r="46">
          <cell r="B46" t="str">
            <v>T521T336M016ATE0557652</v>
          </cell>
          <cell r="F46">
            <v>54000</v>
          </cell>
        </row>
        <row r="47">
          <cell r="B47" t="str">
            <v>T521T336M016ATE0507652</v>
          </cell>
          <cell r="F47">
            <v>53962</v>
          </cell>
        </row>
        <row r="48">
          <cell r="B48" t="str">
            <v>T521T336M016ATE0507652</v>
          </cell>
          <cell r="F48">
            <v>53918</v>
          </cell>
        </row>
        <row r="49">
          <cell r="B49" t="str">
            <v>T521T336M016ATE0507652</v>
          </cell>
          <cell r="F49">
            <v>53952</v>
          </cell>
        </row>
        <row r="50">
          <cell r="B50" t="str">
            <v>T521T336M016ATE0507652</v>
          </cell>
          <cell r="F50">
            <v>53980</v>
          </cell>
        </row>
        <row r="51">
          <cell r="B51" t="str">
            <v>T521T685M035APE0907652</v>
          </cell>
          <cell r="F51">
            <v>42221</v>
          </cell>
        </row>
        <row r="52">
          <cell r="B52" t="str">
            <v>T521T685M035APE0907652</v>
          </cell>
          <cell r="F52">
            <v>42300</v>
          </cell>
        </row>
        <row r="53">
          <cell r="B53" t="str">
            <v>T521T336M018APE0557659</v>
          </cell>
          <cell r="F53">
            <v>50760</v>
          </cell>
        </row>
        <row r="54">
          <cell r="B54" t="str">
            <v>T521T336M018APE0557659</v>
          </cell>
          <cell r="F54">
            <v>50708</v>
          </cell>
        </row>
        <row r="55">
          <cell r="B55" t="str">
            <v>T521T336M018APE0557659</v>
          </cell>
          <cell r="F55">
            <v>50679</v>
          </cell>
        </row>
        <row r="56">
          <cell r="B56" t="str">
            <v>T521T336M018APE0557659</v>
          </cell>
          <cell r="F56">
            <v>50760</v>
          </cell>
        </row>
        <row r="57">
          <cell r="B57" t="str">
            <v>T521T336M018APE0557659</v>
          </cell>
          <cell r="F57">
            <v>50760</v>
          </cell>
        </row>
        <row r="58">
          <cell r="B58" t="str">
            <v>T521T336M018APE0557659</v>
          </cell>
          <cell r="F58">
            <v>50716</v>
          </cell>
        </row>
        <row r="59">
          <cell r="B59" t="str">
            <v>T521T336M018APE0557659</v>
          </cell>
          <cell r="F59">
            <v>50760</v>
          </cell>
        </row>
        <row r="60">
          <cell r="B60" t="str">
            <v>T521T336M018APE0557659</v>
          </cell>
          <cell r="F60">
            <v>50760</v>
          </cell>
        </row>
        <row r="61">
          <cell r="B61" t="str">
            <v>T521T336M018APE0557659</v>
          </cell>
          <cell r="F61">
            <v>50760</v>
          </cell>
        </row>
        <row r="62">
          <cell r="B62" t="str">
            <v>T521T336M018APE0557659</v>
          </cell>
          <cell r="F62">
            <v>50760</v>
          </cell>
        </row>
        <row r="63">
          <cell r="B63" t="str">
            <v>T521T336M018APE0557659</v>
          </cell>
          <cell r="F63">
            <v>50676</v>
          </cell>
        </row>
        <row r="64">
          <cell r="B64" t="str">
            <v>T521T336M018APE0557659</v>
          </cell>
          <cell r="F64">
            <v>50760</v>
          </cell>
        </row>
        <row r="65">
          <cell r="B65" t="str">
            <v>T521T336M018APE0557659</v>
          </cell>
          <cell r="F65">
            <v>50760</v>
          </cell>
        </row>
        <row r="66">
          <cell r="B66" t="str">
            <v>T521T336M018APE0557659</v>
          </cell>
          <cell r="F66">
            <v>50760</v>
          </cell>
        </row>
        <row r="67">
          <cell r="B67" t="str">
            <v>T521T336M018APE0557659</v>
          </cell>
          <cell r="F67">
            <v>50652</v>
          </cell>
        </row>
        <row r="68">
          <cell r="B68" t="str">
            <v>T521T336M018APE0557659</v>
          </cell>
          <cell r="F68">
            <v>50760</v>
          </cell>
        </row>
        <row r="69">
          <cell r="B69" t="str">
            <v>T521T336M018APE0557659</v>
          </cell>
          <cell r="F69">
            <v>50760</v>
          </cell>
        </row>
        <row r="70">
          <cell r="B70" t="str">
            <v>T521T336M018APE0557659</v>
          </cell>
          <cell r="F70">
            <v>50760</v>
          </cell>
        </row>
        <row r="71">
          <cell r="B71" t="str">
            <v>T521T336M018APE0557659</v>
          </cell>
          <cell r="F71">
            <v>50430</v>
          </cell>
        </row>
        <row r="72">
          <cell r="B72" t="str">
            <v>T521T336M018APE0557659</v>
          </cell>
          <cell r="F72">
            <v>50760</v>
          </cell>
        </row>
        <row r="73">
          <cell r="B73" t="str">
            <v>T521T106M025ATE100</v>
          </cell>
          <cell r="F73">
            <v>50760</v>
          </cell>
        </row>
        <row r="74">
          <cell r="B74" t="str">
            <v>T521T106M025ATE100</v>
          </cell>
          <cell r="F74">
            <v>50756</v>
          </cell>
        </row>
        <row r="75">
          <cell r="B75" t="str">
            <v>T521T106M025ATE100</v>
          </cell>
          <cell r="F75">
            <v>50760</v>
          </cell>
        </row>
        <row r="76">
          <cell r="B76" t="str">
            <v>T520D337M006ATE009</v>
          </cell>
          <cell r="F76">
            <v>33000</v>
          </cell>
        </row>
        <row r="77">
          <cell r="B77" t="str">
            <v>T520D337M006ATE009</v>
          </cell>
          <cell r="F77">
            <v>32988</v>
          </cell>
        </row>
        <row r="78">
          <cell r="B78" t="str">
            <v>T520D337M006ATE009</v>
          </cell>
          <cell r="F78">
            <v>33000</v>
          </cell>
        </row>
        <row r="79">
          <cell r="B79" t="str">
            <v>T520D337M006ATE009</v>
          </cell>
          <cell r="F79">
            <v>33000</v>
          </cell>
        </row>
        <row r="80">
          <cell r="B80" t="str">
            <v>T520D337M006ATE009</v>
          </cell>
          <cell r="F80">
            <v>33000</v>
          </cell>
        </row>
        <row r="81">
          <cell r="B81" t="str">
            <v>T520D337M006ATE009</v>
          </cell>
          <cell r="F81">
            <v>33000</v>
          </cell>
        </row>
        <row r="82">
          <cell r="B82" t="str">
            <v>T520D337M006ATE009</v>
          </cell>
          <cell r="F82">
            <v>32576</v>
          </cell>
        </row>
        <row r="83">
          <cell r="B83" t="str">
            <v>T520D337M006ATE009</v>
          </cell>
          <cell r="F83">
            <v>33000</v>
          </cell>
        </row>
        <row r="84">
          <cell r="B84" t="str">
            <v>T520D337M006ATE009</v>
          </cell>
          <cell r="F84">
            <v>33000</v>
          </cell>
        </row>
        <row r="85">
          <cell r="B85" t="str">
            <v>T520D337M006ATE009</v>
          </cell>
          <cell r="F85">
            <v>32970</v>
          </cell>
        </row>
        <row r="86">
          <cell r="B86" t="str">
            <v>T520D337M006ATE009</v>
          </cell>
          <cell r="F86">
            <v>33000</v>
          </cell>
        </row>
        <row r="87">
          <cell r="B87" t="str">
            <v>T520D337M006ATE009</v>
          </cell>
          <cell r="F87">
            <v>33000</v>
          </cell>
        </row>
        <row r="88">
          <cell r="B88" t="str">
            <v>T520V477M2R5ATE012</v>
          </cell>
          <cell r="F88">
            <v>33507</v>
          </cell>
        </row>
        <row r="89">
          <cell r="B89" t="str">
            <v>T520V477M2R5ATE007</v>
          </cell>
          <cell r="F89">
            <v>33600</v>
          </cell>
        </row>
        <row r="90">
          <cell r="B90" t="str">
            <v>T520V337M2R5ATE007</v>
          </cell>
          <cell r="F90">
            <v>33300</v>
          </cell>
        </row>
        <row r="91">
          <cell r="B91" t="str">
            <v>T520V337M2R5ATE007</v>
          </cell>
          <cell r="F91">
            <v>33157</v>
          </cell>
        </row>
        <row r="92">
          <cell r="B92" t="str">
            <v>T521V476M035ATE100</v>
          </cell>
          <cell r="F92">
            <v>23400</v>
          </cell>
        </row>
        <row r="93">
          <cell r="B93" t="str">
            <v>T521V476M035ATE100</v>
          </cell>
          <cell r="F93">
            <v>23400</v>
          </cell>
        </row>
        <row r="94">
          <cell r="B94" t="str">
            <v>T521V476M035ATE100</v>
          </cell>
          <cell r="F94">
            <v>23400</v>
          </cell>
        </row>
        <row r="95">
          <cell r="B95" t="str">
            <v>T521V686M016ATE0507656</v>
          </cell>
          <cell r="F95">
            <v>45500</v>
          </cell>
        </row>
        <row r="96">
          <cell r="B96" t="str">
            <v>T521V686M016ATE0507656</v>
          </cell>
          <cell r="F96">
            <v>45320</v>
          </cell>
        </row>
        <row r="97">
          <cell r="B97" t="str">
            <v>T521W476K020AT4277</v>
          </cell>
          <cell r="F97">
            <v>23400</v>
          </cell>
        </row>
        <row r="98">
          <cell r="B98" t="str">
            <v>T521W476K020AT4277</v>
          </cell>
          <cell r="F98">
            <v>23400</v>
          </cell>
        </row>
        <row r="99">
          <cell r="B99" t="str">
            <v>T521W476M020ATE045</v>
          </cell>
          <cell r="F99">
            <v>23558</v>
          </cell>
        </row>
        <row r="100">
          <cell r="B100" t="str">
            <v>T520X337M010ATE025</v>
          </cell>
          <cell r="F100">
            <v>33490</v>
          </cell>
        </row>
        <row r="101">
          <cell r="B101" t="str">
            <v>T525Y337M010ATE025</v>
          </cell>
          <cell r="F101">
            <v>33600</v>
          </cell>
        </row>
        <row r="102">
          <cell r="B102" t="str">
            <v>T530D337M006ATE010</v>
          </cell>
          <cell r="F102">
            <v>42300</v>
          </cell>
        </row>
        <row r="103">
          <cell r="B103" t="str">
            <v>T530D687M2R5AHE006</v>
          </cell>
          <cell r="F103">
            <v>42270</v>
          </cell>
        </row>
        <row r="104">
          <cell r="B104" t="str">
            <v>T530D227M006ATE005</v>
          </cell>
          <cell r="F104">
            <v>42077</v>
          </cell>
        </row>
        <row r="105">
          <cell r="B105" t="str">
            <v>T530D227M006ATE005</v>
          </cell>
          <cell r="F105">
            <v>42300</v>
          </cell>
        </row>
        <row r="106">
          <cell r="B106" t="str">
            <v>T530D227M006ATE005</v>
          </cell>
          <cell r="F106">
            <v>40321</v>
          </cell>
        </row>
        <row r="107">
          <cell r="B107" t="str">
            <v>T530D227M006ATE005</v>
          </cell>
          <cell r="F107">
            <v>42300</v>
          </cell>
        </row>
        <row r="108">
          <cell r="B108" t="str">
            <v>T530X337M010ATE010</v>
          </cell>
          <cell r="F108">
            <v>33506</v>
          </cell>
        </row>
        <row r="109">
          <cell r="B109" t="str">
            <v>T530X337M010ATE010</v>
          </cell>
          <cell r="F109">
            <v>33565</v>
          </cell>
        </row>
        <row r="110">
          <cell r="B110" t="str">
            <v>T530X337M010ATE010</v>
          </cell>
          <cell r="F110">
            <v>33560</v>
          </cell>
        </row>
        <row r="111">
          <cell r="B111" t="str">
            <v>T530X337M010ATE010</v>
          </cell>
          <cell r="F111">
            <v>33600</v>
          </cell>
        </row>
        <row r="112">
          <cell r="B112" t="str">
            <v>T530X687M004ATE004</v>
          </cell>
          <cell r="F112">
            <v>33514</v>
          </cell>
        </row>
        <row r="113">
          <cell r="B113" t="str">
            <v>T530X158M2R5ATE005</v>
          </cell>
          <cell r="F113">
            <v>33279</v>
          </cell>
        </row>
        <row r="114">
          <cell r="B114" t="str">
            <v>T521X156M063ATE035</v>
          </cell>
          <cell r="F114">
            <v>14851</v>
          </cell>
        </row>
        <row r="115">
          <cell r="B115" t="str">
            <v>T521X156M063ATE035</v>
          </cell>
          <cell r="F115">
            <v>15220</v>
          </cell>
        </row>
        <row r="116">
          <cell r="B116" t="str">
            <v>T521X226M063ATE075</v>
          </cell>
          <cell r="F116">
            <v>12918</v>
          </cell>
        </row>
        <row r="117">
          <cell r="B117" t="str">
            <v>T521X226M063ATE075</v>
          </cell>
          <cell r="F117">
            <v>16020</v>
          </cell>
        </row>
        <row r="118">
          <cell r="B118" t="str">
            <v>T521X226M063ATE075</v>
          </cell>
          <cell r="F118">
            <v>12122</v>
          </cell>
        </row>
        <row r="119">
          <cell r="B119" t="str">
            <v>T521X156M063ATE035</v>
          </cell>
          <cell r="F119">
            <v>14922</v>
          </cell>
        </row>
        <row r="120">
          <cell r="B120" t="str">
            <v>T521X156M063ATE035</v>
          </cell>
          <cell r="F120">
            <v>14194</v>
          </cell>
        </row>
        <row r="121">
          <cell r="B121" t="str">
            <v>T520Y477M006ATE010</v>
          </cell>
          <cell r="F121">
            <v>39891</v>
          </cell>
        </row>
        <row r="122">
          <cell r="B122" t="str">
            <v>T520Y477M006ATE010</v>
          </cell>
          <cell r="F122">
            <v>39929</v>
          </cell>
        </row>
        <row r="123">
          <cell r="B123" t="str">
            <v>T520Y477M006ATE010</v>
          </cell>
          <cell r="F123">
            <v>39960</v>
          </cell>
        </row>
        <row r="124">
          <cell r="B124" t="str">
            <v>T520Y477M006ATE010</v>
          </cell>
          <cell r="F124">
            <v>39958</v>
          </cell>
        </row>
        <row r="125">
          <cell r="B125" t="str">
            <v>T598D477M2R5ATE0067280</v>
          </cell>
          <cell r="F125">
            <v>42300</v>
          </cell>
        </row>
        <row r="126">
          <cell r="B126" t="str">
            <v>T598D477M2R5ATE0067280</v>
          </cell>
          <cell r="F126">
            <v>42170</v>
          </cell>
        </row>
        <row r="127">
          <cell r="B127" t="str">
            <v>T598D477M2R5ATE0067280</v>
          </cell>
          <cell r="F127">
            <v>41573</v>
          </cell>
        </row>
        <row r="128">
          <cell r="B128" t="str">
            <v>T598D477M2R5ATE0067280</v>
          </cell>
          <cell r="F128">
            <v>42300</v>
          </cell>
        </row>
        <row r="129">
          <cell r="B129" t="str">
            <v>T598D477M2R5ATE0067280</v>
          </cell>
          <cell r="F129">
            <v>41991</v>
          </cell>
        </row>
        <row r="130">
          <cell r="B130" t="str">
            <v>T598D477M2R5ATE0067280</v>
          </cell>
          <cell r="F130">
            <v>42300</v>
          </cell>
        </row>
        <row r="131">
          <cell r="B131" t="str">
            <v>T598D477M2R5ATE0067280</v>
          </cell>
          <cell r="F131">
            <v>42300</v>
          </cell>
        </row>
        <row r="132">
          <cell r="B132" t="str">
            <v>T598D477M2R5ATE0067280</v>
          </cell>
          <cell r="F132">
            <v>42300</v>
          </cell>
        </row>
        <row r="133">
          <cell r="B133" t="str">
            <v>T598D477M2R5ATE0067280</v>
          </cell>
          <cell r="F133">
            <v>42103</v>
          </cell>
        </row>
        <row r="134">
          <cell r="B134" t="str">
            <v>T598D477M2R5AT4145</v>
          </cell>
          <cell r="F134">
            <v>42208</v>
          </cell>
        </row>
        <row r="135">
          <cell r="B135" t="str">
            <v>T598D477M2R5AT4145</v>
          </cell>
          <cell r="F135">
            <v>42300</v>
          </cell>
        </row>
        <row r="136">
          <cell r="B136" t="str">
            <v>T598D477M2R5AT4145</v>
          </cell>
          <cell r="F136">
            <v>42204</v>
          </cell>
        </row>
        <row r="137">
          <cell r="B137" t="str">
            <v>T598D477M2R5AT4145</v>
          </cell>
          <cell r="F137">
            <v>42300</v>
          </cell>
        </row>
        <row r="138">
          <cell r="B138" t="str">
            <v>T598D477M2R5AT4145</v>
          </cell>
          <cell r="F138">
            <v>42300</v>
          </cell>
        </row>
        <row r="139">
          <cell r="B139" t="str">
            <v>T598D477M2R5AT4145</v>
          </cell>
          <cell r="F139">
            <v>42175</v>
          </cell>
        </row>
        <row r="140">
          <cell r="B140" t="str">
            <v>T598D226M035AT4334</v>
          </cell>
          <cell r="F140">
            <v>16500</v>
          </cell>
        </row>
        <row r="141">
          <cell r="B141" t="str">
            <v>T598D226M035AT4334</v>
          </cell>
          <cell r="F141">
            <v>15996</v>
          </cell>
        </row>
        <row r="142">
          <cell r="B142" t="str">
            <v>T598D337M006AT41437280</v>
          </cell>
          <cell r="F142">
            <v>20341</v>
          </cell>
        </row>
        <row r="143">
          <cell r="B143" t="str">
            <v>T598D337M006AT41437280</v>
          </cell>
          <cell r="F143">
            <v>20316</v>
          </cell>
        </row>
        <row r="144">
          <cell r="B144" t="str">
            <v>T521V107M020ATE055</v>
          </cell>
          <cell r="F144">
            <v>33300</v>
          </cell>
        </row>
        <row r="145">
          <cell r="B145" t="str">
            <v>T521V107M020ATE055</v>
          </cell>
          <cell r="F145">
            <v>33300</v>
          </cell>
        </row>
        <row r="146">
          <cell r="B146" t="str">
            <v>T521V107M020ATE055</v>
          </cell>
          <cell r="F146">
            <v>33300</v>
          </cell>
        </row>
        <row r="147">
          <cell r="B147" t="str">
            <v>T521V107M020ATE055</v>
          </cell>
          <cell r="F147">
            <v>33300</v>
          </cell>
        </row>
        <row r="148">
          <cell r="B148" t="str">
            <v>T521V107M020ATE055</v>
          </cell>
          <cell r="F148">
            <v>33300</v>
          </cell>
        </row>
        <row r="149">
          <cell r="B149" t="str">
            <v>T521V107M020ATE055</v>
          </cell>
          <cell r="F149">
            <v>33189</v>
          </cell>
        </row>
        <row r="150">
          <cell r="B150" t="str">
            <v>T521V107M020ATE055</v>
          </cell>
          <cell r="F150">
            <v>33300</v>
          </cell>
        </row>
        <row r="151">
          <cell r="B151" t="str">
            <v>T521V107M020ATE055</v>
          </cell>
          <cell r="F151">
            <v>33297</v>
          </cell>
        </row>
        <row r="152">
          <cell r="B152" t="str">
            <v>T521V107M020ATE055</v>
          </cell>
          <cell r="F152">
            <v>33276</v>
          </cell>
        </row>
        <row r="153">
          <cell r="B153" t="str">
            <v>T521V107M020ATE055</v>
          </cell>
          <cell r="F153">
            <v>33300</v>
          </cell>
        </row>
        <row r="154">
          <cell r="B154" t="str">
            <v>T521V107M020ATE055</v>
          </cell>
          <cell r="F154">
            <v>33282</v>
          </cell>
        </row>
        <row r="155">
          <cell r="B155" t="str">
            <v>T521V107M020ATE055</v>
          </cell>
          <cell r="F155">
            <v>33270</v>
          </cell>
        </row>
        <row r="156">
          <cell r="B156" t="str">
            <v>T521V107M020ATE055</v>
          </cell>
          <cell r="F156">
            <v>33300</v>
          </cell>
        </row>
        <row r="157">
          <cell r="B157" t="str">
            <v>T523W476M035APE1007105</v>
          </cell>
          <cell r="F157">
            <v>23400</v>
          </cell>
        </row>
        <row r="158">
          <cell r="B158" t="str">
            <v>T523W476M035APE1007105</v>
          </cell>
          <cell r="F158">
            <v>23345</v>
          </cell>
        </row>
        <row r="159">
          <cell r="B159" t="str">
            <v>T523W476M035APE1007105</v>
          </cell>
          <cell r="F159">
            <v>23333</v>
          </cell>
        </row>
        <row r="160">
          <cell r="B160" t="str">
            <v>T523W476M035APE1007105</v>
          </cell>
          <cell r="F160">
            <v>23400</v>
          </cell>
        </row>
        <row r="161">
          <cell r="B161" t="str">
            <v>T523W476M035APE1007105</v>
          </cell>
          <cell r="F161">
            <v>23392</v>
          </cell>
        </row>
        <row r="162">
          <cell r="B162" t="str">
            <v>T523W476M035APE1007105</v>
          </cell>
          <cell r="F162">
            <v>23400</v>
          </cell>
        </row>
        <row r="163">
          <cell r="B163" t="str">
            <v>T523W476M035APE1007105</v>
          </cell>
          <cell r="F163">
            <v>23352</v>
          </cell>
        </row>
        <row r="164">
          <cell r="B164" t="str">
            <v>T523W476M035APE1007105</v>
          </cell>
          <cell r="F164">
            <v>23257</v>
          </cell>
        </row>
        <row r="165">
          <cell r="B165" t="str">
            <v>T523W476M035APE1007105</v>
          </cell>
          <cell r="F165">
            <v>23376</v>
          </cell>
        </row>
        <row r="166">
          <cell r="B166" t="str">
            <v>T523W476M035APE1007105</v>
          </cell>
          <cell r="F166">
            <v>23360</v>
          </cell>
        </row>
        <row r="167">
          <cell r="B167" t="str">
            <v>T523W476M035APE1007105</v>
          </cell>
          <cell r="F167">
            <v>23400</v>
          </cell>
        </row>
        <row r="168">
          <cell r="B168" t="str">
            <v>T523W476M035APE1007105</v>
          </cell>
          <cell r="F168">
            <v>23400</v>
          </cell>
        </row>
        <row r="169">
          <cell r="B169" t="str">
            <v>T523W476M035APE1007105</v>
          </cell>
          <cell r="F169">
            <v>23355</v>
          </cell>
        </row>
        <row r="170">
          <cell r="B170" t="str">
            <v>T523W476M035APE1007105</v>
          </cell>
          <cell r="F170">
            <v>23386</v>
          </cell>
        </row>
        <row r="171">
          <cell r="B171" t="str">
            <v>T523H107M035AP4407</v>
          </cell>
          <cell r="F171">
            <v>8493</v>
          </cell>
        </row>
        <row r="172">
          <cell r="B172" t="str">
            <v>T523H107M035AP4407</v>
          </cell>
          <cell r="F172">
            <v>8473</v>
          </cell>
        </row>
        <row r="173">
          <cell r="B173" t="str">
            <v>T523H107M035AP4407</v>
          </cell>
          <cell r="F173">
            <v>8409</v>
          </cell>
        </row>
        <row r="174">
          <cell r="B174" t="str">
            <v>T523H107M035AP4407</v>
          </cell>
          <cell r="F174">
            <v>8468</v>
          </cell>
        </row>
        <row r="175">
          <cell r="B175" t="str">
            <v>T523H107M035AP4407</v>
          </cell>
          <cell r="F175">
            <v>8195</v>
          </cell>
        </row>
        <row r="176">
          <cell r="B176" t="str">
            <v>T523H107M035AP4407</v>
          </cell>
          <cell r="F176">
            <v>8484</v>
          </cell>
        </row>
        <row r="177">
          <cell r="B177" t="str">
            <v>T523H107M035AP4407</v>
          </cell>
          <cell r="F177">
            <v>8466</v>
          </cell>
        </row>
        <row r="178">
          <cell r="B178" t="str">
            <v>T523H107M035AP4407</v>
          </cell>
          <cell r="F178">
            <v>8277</v>
          </cell>
        </row>
        <row r="179">
          <cell r="B179" t="str">
            <v>T523H107M035APE0707729</v>
          </cell>
          <cell r="F179">
            <v>8500</v>
          </cell>
        </row>
        <row r="180">
          <cell r="B180" t="str">
            <v>T523H107M035APE0707729</v>
          </cell>
          <cell r="F180">
            <v>8491</v>
          </cell>
        </row>
        <row r="181">
          <cell r="B181" t="str">
            <v>T521D106M050ATE0907654</v>
          </cell>
          <cell r="F181">
            <v>16268</v>
          </cell>
        </row>
        <row r="182">
          <cell r="B182" t="str">
            <v>T521D106M050ATE0907654</v>
          </cell>
          <cell r="F182">
            <v>16221</v>
          </cell>
        </row>
        <row r="183">
          <cell r="B183" t="str">
            <v>T521D106M050ATE0907654</v>
          </cell>
          <cell r="F183">
            <v>16289</v>
          </cell>
        </row>
        <row r="184">
          <cell r="B184" t="str">
            <v>T521D106M050ATE0907654</v>
          </cell>
          <cell r="F184">
            <v>16312</v>
          </cell>
        </row>
        <row r="185">
          <cell r="B185" t="str">
            <v>T521D107M025ATE0407280</v>
          </cell>
          <cell r="F185">
            <v>28842</v>
          </cell>
        </row>
        <row r="186">
          <cell r="B186" t="str">
            <v>T521D107M025ATE0407280</v>
          </cell>
          <cell r="F186">
            <v>28900</v>
          </cell>
        </row>
        <row r="187">
          <cell r="B187" t="str">
            <v>T521D107M025ATE0407280</v>
          </cell>
          <cell r="F187">
            <v>28900</v>
          </cell>
        </row>
        <row r="188">
          <cell r="B188" t="str">
            <v>T521D107M025ATE0407280</v>
          </cell>
          <cell r="F188">
            <v>28900</v>
          </cell>
        </row>
        <row r="189">
          <cell r="B189" t="str">
            <v>T521D107M025ATE0407280</v>
          </cell>
          <cell r="F189">
            <v>28900</v>
          </cell>
        </row>
        <row r="190">
          <cell r="B190" t="str">
            <v>T521D107M025ATE0407280</v>
          </cell>
          <cell r="F190">
            <v>28874</v>
          </cell>
        </row>
        <row r="191">
          <cell r="B191" t="str">
            <v>T521D107M025ATE0407280</v>
          </cell>
          <cell r="F191">
            <v>28800</v>
          </cell>
        </row>
        <row r="192">
          <cell r="B192" t="str">
            <v>T521D107M025ATE0407280</v>
          </cell>
          <cell r="F192">
            <v>28900</v>
          </cell>
        </row>
        <row r="193">
          <cell r="B193" t="str">
            <v>T521D107M025ATE0407280</v>
          </cell>
          <cell r="F193">
            <v>28660</v>
          </cell>
        </row>
        <row r="194">
          <cell r="B194" t="str">
            <v>T521D107M025ATE0407280</v>
          </cell>
          <cell r="F194">
            <v>28824</v>
          </cell>
        </row>
        <row r="195">
          <cell r="B195" t="str">
            <v>T521D107M025ATE0407280</v>
          </cell>
          <cell r="F195">
            <v>28860</v>
          </cell>
        </row>
        <row r="196">
          <cell r="B196" t="str">
            <v>T521D107M025ATE0407280</v>
          </cell>
          <cell r="F196">
            <v>28302</v>
          </cell>
        </row>
        <row r="197">
          <cell r="B197" t="str">
            <v>T521D107M025ATE0407280</v>
          </cell>
          <cell r="F197">
            <v>28772</v>
          </cell>
        </row>
        <row r="198">
          <cell r="B198" t="str">
            <v>T521D107M025ATE0407280</v>
          </cell>
          <cell r="F198">
            <v>28879</v>
          </cell>
        </row>
        <row r="199">
          <cell r="B199" t="str">
            <v>T598D337M006ATE025</v>
          </cell>
          <cell r="F199">
            <v>20287</v>
          </cell>
        </row>
        <row r="200">
          <cell r="B200" t="str">
            <v>T598D337M006ATE025</v>
          </cell>
          <cell r="F200">
            <v>20338</v>
          </cell>
        </row>
        <row r="201">
          <cell r="B201" t="str">
            <v>T598D337M006ATE025</v>
          </cell>
          <cell r="F201">
            <v>20319</v>
          </cell>
        </row>
        <row r="202">
          <cell r="B202" t="str">
            <v>T598D337M006ATE025</v>
          </cell>
          <cell r="F202">
            <v>20341</v>
          </cell>
        </row>
        <row r="203">
          <cell r="B203" t="str">
            <v>T598D337M006AT41437280</v>
          </cell>
          <cell r="F203">
            <v>20311</v>
          </cell>
        </row>
        <row r="204">
          <cell r="B204" t="str">
            <v>T598D226M035AT4334</v>
          </cell>
          <cell r="F204">
            <v>16293</v>
          </cell>
        </row>
        <row r="205">
          <cell r="B205" t="str">
            <v>T521D107M025ATE050</v>
          </cell>
          <cell r="F205">
            <v>28900</v>
          </cell>
        </row>
        <row r="206">
          <cell r="B206" t="str">
            <v>T521D107M025ATE050</v>
          </cell>
          <cell r="F206">
            <v>28900</v>
          </cell>
        </row>
        <row r="207">
          <cell r="B207" t="str">
            <v>T598D337M006AT4143</v>
          </cell>
          <cell r="F207">
            <v>20249</v>
          </cell>
        </row>
        <row r="208">
          <cell r="B208" t="str">
            <v>T521B226M025ATE100</v>
          </cell>
          <cell r="F208">
            <v>50661</v>
          </cell>
        </row>
        <row r="209">
          <cell r="B209" t="str">
            <v>T521B226M025ATE100</v>
          </cell>
          <cell r="F209">
            <v>50736</v>
          </cell>
        </row>
        <row r="210">
          <cell r="B210" t="str">
            <v>T521B226M025ATE100</v>
          </cell>
          <cell r="F210">
            <v>50692</v>
          </cell>
        </row>
        <row r="211">
          <cell r="B211" t="str">
            <v>T521B226M025ATE100</v>
          </cell>
          <cell r="F211">
            <v>50674</v>
          </cell>
        </row>
        <row r="212">
          <cell r="B212" t="str">
            <v>T521B226M025ATE100</v>
          </cell>
          <cell r="F212">
            <v>50760</v>
          </cell>
        </row>
        <row r="213">
          <cell r="B213" t="str">
            <v>T521B226M025ATE100</v>
          </cell>
          <cell r="F213">
            <v>50760</v>
          </cell>
        </row>
        <row r="214">
          <cell r="B214" t="str">
            <v>T521B226M025ATE100</v>
          </cell>
          <cell r="F214">
            <v>50755</v>
          </cell>
        </row>
        <row r="215">
          <cell r="B215" t="str">
            <v>T521B226M025ATE100</v>
          </cell>
          <cell r="F215">
            <v>50760</v>
          </cell>
        </row>
        <row r="216">
          <cell r="B216" t="str">
            <v>T521B226M025ATE100</v>
          </cell>
          <cell r="F216">
            <v>50760</v>
          </cell>
        </row>
        <row r="217">
          <cell r="B217" t="str">
            <v>T521B226M025ATE100</v>
          </cell>
          <cell r="F217">
            <v>50760</v>
          </cell>
        </row>
        <row r="218">
          <cell r="B218" t="str">
            <v>T521B226M025ATE100</v>
          </cell>
          <cell r="F218">
            <v>50760</v>
          </cell>
        </row>
        <row r="219">
          <cell r="B219" t="str">
            <v>T520B227M006ATE070</v>
          </cell>
          <cell r="F219">
            <v>50990</v>
          </cell>
        </row>
        <row r="220">
          <cell r="B220" t="str">
            <v>T598B107M006ATE045</v>
          </cell>
          <cell r="F220">
            <v>50760</v>
          </cell>
        </row>
        <row r="221">
          <cell r="B221" t="str">
            <v>T598B107M006ATE045</v>
          </cell>
          <cell r="F221">
            <v>50760</v>
          </cell>
        </row>
        <row r="222">
          <cell r="B222" t="str">
            <v>T598B476M010ATE070</v>
          </cell>
          <cell r="F222">
            <v>51028</v>
          </cell>
        </row>
        <row r="223">
          <cell r="B223" t="str">
            <v>T521T336M016ATE0557652</v>
          </cell>
          <cell r="F223">
            <v>53999</v>
          </cell>
        </row>
        <row r="224">
          <cell r="B224" t="str">
            <v>T521T276M018ATE0557652</v>
          </cell>
          <cell r="F224">
            <v>50892</v>
          </cell>
        </row>
        <row r="225">
          <cell r="B225" t="str">
            <v>T521T336M016ATE0507652</v>
          </cell>
          <cell r="F225">
            <v>54000</v>
          </cell>
        </row>
        <row r="226">
          <cell r="B226" t="str">
            <v>T521T336M016ATE0507652</v>
          </cell>
          <cell r="F226">
            <v>53983</v>
          </cell>
        </row>
        <row r="227">
          <cell r="B227" t="str">
            <v>T521T336M016ATE050</v>
          </cell>
          <cell r="F227">
            <v>54000</v>
          </cell>
        </row>
        <row r="228">
          <cell r="B228" t="str">
            <v>T521T336M016ATE0557652</v>
          </cell>
          <cell r="F228">
            <v>54000</v>
          </cell>
        </row>
        <row r="229">
          <cell r="B229" t="str">
            <v>T521T336M016ATE0507652</v>
          </cell>
          <cell r="F229">
            <v>54000</v>
          </cell>
        </row>
        <row r="230">
          <cell r="B230" t="str">
            <v>T521T336M016ATE0507652</v>
          </cell>
          <cell r="F230">
            <v>54000</v>
          </cell>
        </row>
        <row r="231">
          <cell r="B231" t="str">
            <v>T521T685M035APE0907652</v>
          </cell>
          <cell r="F231">
            <v>42243</v>
          </cell>
        </row>
        <row r="232">
          <cell r="B232" t="str">
            <v>T521T685M035APE0907652</v>
          </cell>
          <cell r="F232">
            <v>42300</v>
          </cell>
        </row>
        <row r="233">
          <cell r="B233" t="str">
            <v>T521T336M018APE0557659</v>
          </cell>
          <cell r="F233">
            <v>50760</v>
          </cell>
        </row>
        <row r="234">
          <cell r="B234" t="str">
            <v>T521T336M018APE0557659</v>
          </cell>
          <cell r="F234">
            <v>50361</v>
          </cell>
        </row>
        <row r="235">
          <cell r="B235" t="str">
            <v>T521T336M018APE0557659</v>
          </cell>
          <cell r="F235">
            <v>50643</v>
          </cell>
        </row>
        <row r="236">
          <cell r="B236" t="str">
            <v>T521T336M018APE0557659</v>
          </cell>
          <cell r="F236">
            <v>50512</v>
          </cell>
        </row>
        <row r="237">
          <cell r="B237" t="str">
            <v>T521T336M018APE0557659</v>
          </cell>
          <cell r="F237">
            <v>50760</v>
          </cell>
        </row>
        <row r="238">
          <cell r="B238" t="str">
            <v>T521T336M018APE0557659</v>
          </cell>
          <cell r="F238">
            <v>50760</v>
          </cell>
        </row>
        <row r="239">
          <cell r="B239" t="str">
            <v>T521T336M018APE0557659</v>
          </cell>
          <cell r="F239">
            <v>50760</v>
          </cell>
        </row>
        <row r="240">
          <cell r="B240" t="str">
            <v>T521T336M018APE0557659</v>
          </cell>
          <cell r="F240">
            <v>50760</v>
          </cell>
        </row>
        <row r="241">
          <cell r="B241" t="str">
            <v>T521T336M018APE0557659</v>
          </cell>
          <cell r="F241">
            <v>50760</v>
          </cell>
        </row>
        <row r="242">
          <cell r="B242" t="str">
            <v>T521T336M018APE0557659</v>
          </cell>
          <cell r="F242">
            <v>50742</v>
          </cell>
        </row>
        <row r="243">
          <cell r="B243" t="str">
            <v>T521T336M018APE0557659</v>
          </cell>
          <cell r="F243">
            <v>50760</v>
          </cell>
        </row>
        <row r="244">
          <cell r="B244" t="str">
            <v>T521T336M018APE0557659</v>
          </cell>
          <cell r="F244">
            <v>50760</v>
          </cell>
        </row>
        <row r="245">
          <cell r="B245" t="str">
            <v>T521T336M018APE0557659</v>
          </cell>
          <cell r="F245">
            <v>50760</v>
          </cell>
        </row>
        <row r="246">
          <cell r="B246" t="str">
            <v>T521T336M018APE0557659</v>
          </cell>
          <cell r="F246">
            <v>50760</v>
          </cell>
        </row>
        <row r="247">
          <cell r="B247" t="str">
            <v>T521T336M018APE0557659</v>
          </cell>
          <cell r="F247">
            <v>50361</v>
          </cell>
        </row>
        <row r="248">
          <cell r="B248" t="str">
            <v>T521T336M018APE0557659</v>
          </cell>
          <cell r="F248">
            <v>50760</v>
          </cell>
        </row>
        <row r="249">
          <cell r="B249" t="str">
            <v>T521T336M018APE0557659</v>
          </cell>
          <cell r="F249">
            <v>50760</v>
          </cell>
        </row>
        <row r="250">
          <cell r="B250" t="str">
            <v>T521T336M018APE0557659</v>
          </cell>
          <cell r="F250">
            <v>50683</v>
          </cell>
        </row>
        <row r="251">
          <cell r="B251" t="str">
            <v>T521T336M018APE0557659</v>
          </cell>
          <cell r="F251">
            <v>50760</v>
          </cell>
        </row>
        <row r="252">
          <cell r="B252" t="str">
            <v>T521T336M018APE0557659</v>
          </cell>
          <cell r="F252">
            <v>50173</v>
          </cell>
        </row>
        <row r="253">
          <cell r="B253" t="str">
            <v>T521T106M025ATE100</v>
          </cell>
          <cell r="F253">
            <v>50760</v>
          </cell>
        </row>
        <row r="254">
          <cell r="B254" t="str">
            <v>T521T106M025ATE100</v>
          </cell>
          <cell r="F254">
            <v>50353</v>
          </cell>
        </row>
        <row r="255">
          <cell r="B255" t="str">
            <v>T521T106M025ATE0607652</v>
          </cell>
          <cell r="F255">
            <v>50760</v>
          </cell>
        </row>
        <row r="256">
          <cell r="B256" t="str">
            <v>T521D106M050ATE090</v>
          </cell>
          <cell r="F256">
            <v>22316</v>
          </cell>
        </row>
        <row r="257">
          <cell r="B257" t="str">
            <v>T521D106M050ATE090</v>
          </cell>
          <cell r="F257">
            <v>21101</v>
          </cell>
        </row>
        <row r="258">
          <cell r="B258" t="str">
            <v>T520D477M004ATE010</v>
          </cell>
          <cell r="F258">
            <v>33000</v>
          </cell>
        </row>
        <row r="259">
          <cell r="B259" t="str">
            <v>T520D477M004ATE010</v>
          </cell>
          <cell r="F259">
            <v>32960</v>
          </cell>
        </row>
        <row r="260">
          <cell r="B260" t="str">
            <v>T520D477M004ATE010</v>
          </cell>
          <cell r="F260">
            <v>32848</v>
          </cell>
        </row>
        <row r="261">
          <cell r="B261" t="str">
            <v>T520D477M004ATE010</v>
          </cell>
          <cell r="F261">
            <v>32964</v>
          </cell>
        </row>
        <row r="262">
          <cell r="B262" t="str">
            <v>T520D477M004ATE010</v>
          </cell>
          <cell r="F262">
            <v>32929</v>
          </cell>
        </row>
        <row r="263">
          <cell r="B263" t="str">
            <v>T521D336M035ATE065</v>
          </cell>
          <cell r="F263">
            <v>28724</v>
          </cell>
        </row>
        <row r="264">
          <cell r="B264" t="str">
            <v>T521D336M035ATE065</v>
          </cell>
          <cell r="F264">
            <v>28774</v>
          </cell>
        </row>
        <row r="265">
          <cell r="B265" t="str">
            <v>T520D337M006ATE009</v>
          </cell>
          <cell r="F265">
            <v>33000</v>
          </cell>
        </row>
        <row r="266">
          <cell r="B266" t="str">
            <v>T520D337M006ATE009</v>
          </cell>
          <cell r="F266">
            <v>33000</v>
          </cell>
        </row>
        <row r="267">
          <cell r="B267" t="str">
            <v>T520D337M006ATE009</v>
          </cell>
          <cell r="F267">
            <v>33000</v>
          </cell>
        </row>
        <row r="268">
          <cell r="B268" t="str">
            <v>T520D337M006ATE009</v>
          </cell>
          <cell r="F268">
            <v>33000</v>
          </cell>
        </row>
        <row r="269">
          <cell r="B269" t="str">
            <v>T520V477M2R5ATE012</v>
          </cell>
          <cell r="F269">
            <v>33462</v>
          </cell>
        </row>
        <row r="270">
          <cell r="B270" t="str">
            <v>T520V477M2R5ATE012</v>
          </cell>
          <cell r="F270">
            <v>33381</v>
          </cell>
        </row>
        <row r="271">
          <cell r="B271" t="str">
            <v>T520V477M2R5ATE012</v>
          </cell>
          <cell r="F271">
            <v>33600</v>
          </cell>
        </row>
        <row r="272">
          <cell r="B272" t="str">
            <v>T520V477M2R5ATE012</v>
          </cell>
          <cell r="F272">
            <v>33587</v>
          </cell>
        </row>
        <row r="273">
          <cell r="B273" t="str">
            <v>T521V476M035ATE100</v>
          </cell>
          <cell r="F273">
            <v>23166</v>
          </cell>
        </row>
        <row r="274">
          <cell r="B274" t="str">
            <v>T521V476M035ATE100</v>
          </cell>
          <cell r="F274">
            <v>23327</v>
          </cell>
        </row>
        <row r="275">
          <cell r="B275" t="str">
            <v>T521V476M035ATE100</v>
          </cell>
          <cell r="F275">
            <v>23400</v>
          </cell>
        </row>
        <row r="276">
          <cell r="B276" t="str">
            <v>T521V336M025ATE060</v>
          </cell>
          <cell r="F276">
            <v>45400</v>
          </cell>
        </row>
        <row r="277">
          <cell r="B277" t="str">
            <v>T521V476M035ATE100</v>
          </cell>
          <cell r="F277">
            <v>23400</v>
          </cell>
        </row>
        <row r="278">
          <cell r="B278" t="str">
            <v>T521V476M035ATE100</v>
          </cell>
          <cell r="F278">
            <v>23387</v>
          </cell>
        </row>
        <row r="279">
          <cell r="B279" t="str">
            <v>T521W476K020AT4277</v>
          </cell>
          <cell r="F279">
            <v>23265</v>
          </cell>
        </row>
        <row r="280">
          <cell r="B280" t="str">
            <v>T521W476K020AT4277</v>
          </cell>
          <cell r="F280">
            <v>23400</v>
          </cell>
        </row>
        <row r="281">
          <cell r="B281" t="str">
            <v>T521W476K020AT4277</v>
          </cell>
          <cell r="F281">
            <v>23352</v>
          </cell>
        </row>
        <row r="282">
          <cell r="B282" t="str">
            <v>T520X337M010ATE0257111</v>
          </cell>
          <cell r="F282">
            <v>33598</v>
          </cell>
        </row>
        <row r="283">
          <cell r="B283" t="str">
            <v>T520Y337M010ATE025</v>
          </cell>
          <cell r="F283">
            <v>33378</v>
          </cell>
        </row>
        <row r="284">
          <cell r="B284" t="str">
            <v>T530D337M006ATE010</v>
          </cell>
          <cell r="F284">
            <v>42109</v>
          </cell>
        </row>
        <row r="285">
          <cell r="B285" t="str">
            <v>T530D337M006ATE010</v>
          </cell>
          <cell r="F285">
            <v>42266</v>
          </cell>
        </row>
        <row r="286">
          <cell r="B286" t="str">
            <v>T530D157M010ATE010</v>
          </cell>
          <cell r="F286">
            <v>42681</v>
          </cell>
        </row>
        <row r="287">
          <cell r="B287" t="str">
            <v>T530D157M010ATE010</v>
          </cell>
          <cell r="F287">
            <v>42681</v>
          </cell>
        </row>
        <row r="288">
          <cell r="B288" t="str">
            <v>T530D157M010ATE010</v>
          </cell>
          <cell r="F288">
            <v>42681</v>
          </cell>
        </row>
        <row r="289">
          <cell r="B289" t="str">
            <v>T530D227M006ATE005</v>
          </cell>
          <cell r="F289">
            <v>42300</v>
          </cell>
        </row>
        <row r="290">
          <cell r="B290" t="str">
            <v>T530X158M2R5ATE005</v>
          </cell>
          <cell r="F290">
            <v>33206</v>
          </cell>
        </row>
        <row r="291">
          <cell r="B291" t="str">
            <v>T530X158M2R5ATE005</v>
          </cell>
          <cell r="F291">
            <v>33090</v>
          </cell>
        </row>
        <row r="292">
          <cell r="B292" t="str">
            <v>T530X158M2R5ATE005</v>
          </cell>
          <cell r="F292">
            <v>33300</v>
          </cell>
        </row>
        <row r="293">
          <cell r="B293" t="str">
            <v>T530X337M010ATE010</v>
          </cell>
          <cell r="F293">
            <v>33600</v>
          </cell>
        </row>
        <row r="294">
          <cell r="B294" t="str">
            <v>T530X337M010ATE010</v>
          </cell>
          <cell r="F294">
            <v>33571</v>
          </cell>
        </row>
        <row r="295">
          <cell r="B295" t="str">
            <v>T530X337M010ATE010</v>
          </cell>
          <cell r="F295">
            <v>33600</v>
          </cell>
        </row>
        <row r="296">
          <cell r="B296" t="str">
            <v>T521X336M050ATE075</v>
          </cell>
          <cell r="F296">
            <v>16286</v>
          </cell>
        </row>
        <row r="297">
          <cell r="B297" t="str">
            <v>T521X336M050ATE075</v>
          </cell>
          <cell r="F297">
            <v>16380</v>
          </cell>
        </row>
        <row r="298">
          <cell r="B298" t="str">
            <v>T521X336M050ATE075</v>
          </cell>
          <cell r="F298">
            <v>16334</v>
          </cell>
        </row>
        <row r="299">
          <cell r="B299" t="str">
            <v>T598X476M035ATE075</v>
          </cell>
          <cell r="F299">
            <v>16452</v>
          </cell>
        </row>
        <row r="300">
          <cell r="B300" t="str">
            <v>T598X476M035ATE075</v>
          </cell>
          <cell r="F300">
            <v>16420</v>
          </cell>
        </row>
        <row r="301">
          <cell r="B301" t="str">
            <v>T598X476M035ATE075</v>
          </cell>
          <cell r="F301">
            <v>16434</v>
          </cell>
        </row>
        <row r="302">
          <cell r="B302" t="str">
            <v>T520Y477M006ATE010</v>
          </cell>
          <cell r="F302">
            <v>39829</v>
          </cell>
        </row>
        <row r="303">
          <cell r="B303" t="str">
            <v>T520Y477M006ATE010</v>
          </cell>
          <cell r="F303">
            <v>39872</v>
          </cell>
        </row>
        <row r="304">
          <cell r="B304" t="str">
            <v>T520Y477M006ATE010</v>
          </cell>
          <cell r="F304">
            <v>39960</v>
          </cell>
        </row>
        <row r="305">
          <cell r="B305" t="str">
            <v>T520Y477M006ATE010</v>
          </cell>
          <cell r="F305">
            <v>39960</v>
          </cell>
        </row>
        <row r="306">
          <cell r="B306" t="str">
            <v>T598D227M2R5ATE006</v>
          </cell>
          <cell r="F306">
            <v>14100</v>
          </cell>
        </row>
        <row r="307">
          <cell r="B307" t="str">
            <v>T598D687M2R5ATE006</v>
          </cell>
          <cell r="F307">
            <v>42209</v>
          </cell>
        </row>
        <row r="308">
          <cell r="B308" t="str">
            <v>T598D687M2R5ATE006</v>
          </cell>
          <cell r="F308">
            <v>42245</v>
          </cell>
        </row>
        <row r="309">
          <cell r="B309" t="str">
            <v>T598D687M2R5ATE006</v>
          </cell>
          <cell r="F309">
            <v>42217</v>
          </cell>
        </row>
        <row r="310">
          <cell r="B310" t="str">
            <v>T598D477M2R5ATE006</v>
          </cell>
          <cell r="F310">
            <v>42300</v>
          </cell>
        </row>
        <row r="311">
          <cell r="B311" t="str">
            <v>T598D477M2R5ATE0067280</v>
          </cell>
          <cell r="F311">
            <v>42300</v>
          </cell>
        </row>
        <row r="312">
          <cell r="B312" t="str">
            <v>T598D477M2R5ATE0067280</v>
          </cell>
          <cell r="F312">
            <v>42221</v>
          </cell>
        </row>
        <row r="313">
          <cell r="B313" t="str">
            <v>T598D477M2R5ATE0067280</v>
          </cell>
          <cell r="F313">
            <v>42300</v>
          </cell>
        </row>
        <row r="314">
          <cell r="B314" t="str">
            <v>T598D477M2R5ATE0067280</v>
          </cell>
          <cell r="F314">
            <v>42263</v>
          </cell>
        </row>
        <row r="315">
          <cell r="B315" t="str">
            <v>T598D477M2R5ATE0067280</v>
          </cell>
          <cell r="F315">
            <v>42068</v>
          </cell>
        </row>
        <row r="316">
          <cell r="B316" t="str">
            <v>T598D477M2R5ATE0067280</v>
          </cell>
          <cell r="F316">
            <v>42300</v>
          </cell>
        </row>
        <row r="317">
          <cell r="B317" t="str">
            <v>T598D477M2R5ATE0067280</v>
          </cell>
          <cell r="F317">
            <v>42300</v>
          </cell>
        </row>
        <row r="318">
          <cell r="B318" t="str">
            <v>T598D477M2R5ATE0067280</v>
          </cell>
          <cell r="F318">
            <v>42300</v>
          </cell>
        </row>
        <row r="319">
          <cell r="B319" t="str">
            <v>T598D477M2R5ATE0067280</v>
          </cell>
          <cell r="F319">
            <v>40805</v>
          </cell>
        </row>
        <row r="320">
          <cell r="B320" t="str">
            <v>T598D477M2R5ATE0067280</v>
          </cell>
          <cell r="F320">
            <v>42283</v>
          </cell>
        </row>
        <row r="321">
          <cell r="B321" t="str">
            <v>T598D477M2R5ATE0067280</v>
          </cell>
          <cell r="F321">
            <v>42029</v>
          </cell>
        </row>
        <row r="322">
          <cell r="B322" t="str">
            <v>T598D477M2R5ATE009</v>
          </cell>
          <cell r="F322">
            <v>33288</v>
          </cell>
        </row>
        <row r="323">
          <cell r="B323" t="str">
            <v>T598D227M010ATE040</v>
          </cell>
          <cell r="F323">
            <v>20310</v>
          </cell>
        </row>
        <row r="324">
          <cell r="B324" t="str">
            <v>T521V107M016ATE050</v>
          </cell>
          <cell r="F324">
            <v>33489</v>
          </cell>
        </row>
        <row r="325">
          <cell r="B325" t="str">
            <v>T598V227M2R5AT4145</v>
          </cell>
          <cell r="F325">
            <v>33215</v>
          </cell>
        </row>
        <row r="326">
          <cell r="B326" t="str">
            <v>T521V107M016ATE050</v>
          </cell>
          <cell r="F326">
            <v>33600</v>
          </cell>
        </row>
        <row r="327">
          <cell r="B327" t="str">
            <v>T521V107M016ATE050</v>
          </cell>
          <cell r="F327">
            <v>33558</v>
          </cell>
        </row>
        <row r="328">
          <cell r="B328" t="str">
            <v>T521V107M016ATE050</v>
          </cell>
          <cell r="F328">
            <v>33575</v>
          </cell>
        </row>
        <row r="329">
          <cell r="B329" t="str">
            <v>T521V107M016ATE050</v>
          </cell>
          <cell r="F329">
            <v>33600</v>
          </cell>
        </row>
        <row r="330">
          <cell r="B330" t="str">
            <v>T521V107M016ATE050</v>
          </cell>
          <cell r="F330">
            <v>33588</v>
          </cell>
        </row>
        <row r="331">
          <cell r="B331" t="str">
            <v>T521V107M016ATE050</v>
          </cell>
          <cell r="F331">
            <v>33600</v>
          </cell>
        </row>
        <row r="332">
          <cell r="B332" t="str">
            <v>T521V107M016ATE050</v>
          </cell>
          <cell r="F332">
            <v>33600</v>
          </cell>
        </row>
        <row r="333">
          <cell r="B333" t="str">
            <v>T521V107M016ATE050</v>
          </cell>
          <cell r="F333">
            <v>33600</v>
          </cell>
        </row>
        <row r="334">
          <cell r="B334" t="str">
            <v>T521V107M016ATE050</v>
          </cell>
          <cell r="F334">
            <v>33509</v>
          </cell>
        </row>
        <row r="335">
          <cell r="B335" t="str">
            <v>T521V107M016ATE050</v>
          </cell>
          <cell r="F335">
            <v>33600</v>
          </cell>
        </row>
        <row r="336">
          <cell r="B336" t="str">
            <v>T521V107M016ATE050</v>
          </cell>
          <cell r="F336">
            <v>33439</v>
          </cell>
        </row>
        <row r="337">
          <cell r="B337" t="str">
            <v>T523W476M035APE100</v>
          </cell>
          <cell r="F337">
            <v>23397</v>
          </cell>
        </row>
        <row r="338">
          <cell r="B338" t="str">
            <v>T523W476M035APE100</v>
          </cell>
          <cell r="F338">
            <v>23337</v>
          </cell>
        </row>
        <row r="339">
          <cell r="B339" t="str">
            <v>T523W476M035APE1007105</v>
          </cell>
          <cell r="F339">
            <v>23400</v>
          </cell>
        </row>
        <row r="340">
          <cell r="B340" t="str">
            <v>T523W476M035APE1007105</v>
          </cell>
          <cell r="F340">
            <v>23400</v>
          </cell>
        </row>
        <row r="341">
          <cell r="B341" t="str">
            <v>T523W476M035APE1007105</v>
          </cell>
          <cell r="F341">
            <v>23355</v>
          </cell>
        </row>
        <row r="342">
          <cell r="B342" t="str">
            <v>T523W476M035APE1007105</v>
          </cell>
          <cell r="F342">
            <v>23400</v>
          </cell>
        </row>
        <row r="343">
          <cell r="B343" t="str">
            <v>T523W476M035APE1007105</v>
          </cell>
          <cell r="F343">
            <v>23400</v>
          </cell>
        </row>
        <row r="344">
          <cell r="B344" t="str">
            <v>T523W476M035APE1007105</v>
          </cell>
          <cell r="F344">
            <v>22526</v>
          </cell>
        </row>
        <row r="345">
          <cell r="B345" t="str">
            <v>T523W476M035APE1007105</v>
          </cell>
          <cell r="F345">
            <v>23400</v>
          </cell>
        </row>
        <row r="346">
          <cell r="B346" t="str">
            <v>T523W476M035APE1007105</v>
          </cell>
          <cell r="F346">
            <v>23395</v>
          </cell>
        </row>
        <row r="347">
          <cell r="B347" t="str">
            <v>T523W476M035APE1007105</v>
          </cell>
          <cell r="F347">
            <v>23400</v>
          </cell>
        </row>
        <row r="348">
          <cell r="B348" t="str">
            <v>T523W476M035APE1007105</v>
          </cell>
          <cell r="F348">
            <v>23375</v>
          </cell>
        </row>
        <row r="349">
          <cell r="B349" t="str">
            <v>T523W476M035APE1007105</v>
          </cell>
          <cell r="F349">
            <v>23397</v>
          </cell>
        </row>
        <row r="350">
          <cell r="B350" t="str">
            <v>T523W476M035APE1007105</v>
          </cell>
          <cell r="F350">
            <v>23346</v>
          </cell>
        </row>
        <row r="351">
          <cell r="B351" t="str">
            <v>T523H107M035AP4407</v>
          </cell>
          <cell r="F351">
            <v>8455</v>
          </cell>
        </row>
        <row r="352">
          <cell r="B352" t="str">
            <v>T523H107M035AP4407</v>
          </cell>
          <cell r="F352">
            <v>8473</v>
          </cell>
        </row>
        <row r="353">
          <cell r="B353" t="str">
            <v>T523H107M035AP4407</v>
          </cell>
          <cell r="F353">
            <v>8437</v>
          </cell>
        </row>
        <row r="354">
          <cell r="B354" t="str">
            <v>T523H107M035AP4407</v>
          </cell>
          <cell r="F354">
            <v>8500</v>
          </cell>
        </row>
        <row r="355">
          <cell r="B355" t="str">
            <v>T523H107M035AP4407</v>
          </cell>
          <cell r="F355">
            <v>8500</v>
          </cell>
        </row>
        <row r="356">
          <cell r="B356" t="str">
            <v>T523H107M035AP4407</v>
          </cell>
          <cell r="F356">
            <v>8487</v>
          </cell>
        </row>
        <row r="357">
          <cell r="B357" t="str">
            <v>T523H107M035AP4407</v>
          </cell>
          <cell r="F357">
            <v>8370</v>
          </cell>
        </row>
        <row r="358">
          <cell r="B358" t="str">
            <v>T523H107M035AP4407</v>
          </cell>
          <cell r="F358">
            <v>8481</v>
          </cell>
        </row>
        <row r="359">
          <cell r="B359" t="str">
            <v>T523H107M035AP4407</v>
          </cell>
          <cell r="F359">
            <v>8468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37"/>
  <sheetViews>
    <sheetView workbookViewId="0">
      <selection activeCell="E1" sqref="E1:E1048576"/>
    </sheetView>
  </sheetViews>
  <sheetFormatPr defaultRowHeight="14.5" x14ac:dyDescent="0.35"/>
  <cols>
    <col min="1" max="1" width="14.83203125" customWidth="1"/>
    <col min="2" max="2" width="10.83203125" customWidth="1"/>
    <col min="3" max="3" width="17.83203125" customWidth="1"/>
    <col min="4" max="4" width="11.83203125" customWidth="1"/>
    <col min="5" max="5" width="22.83203125" customWidth="1"/>
    <col min="6" max="6" width="62.83203125" customWidth="1"/>
    <col min="7" max="7" width="10.83203125" customWidth="1"/>
    <col min="8" max="8" width="12.83203125" customWidth="1"/>
    <col min="9" max="9" width="10.83203125" customWidth="1"/>
    <col min="10" max="10" width="16.83203125" customWidth="1"/>
    <col min="11" max="11" width="8.83203125" customWidth="1"/>
  </cols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>
        <v>885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J2" t="s">
        <v>16</v>
      </c>
      <c r="K2" t="s">
        <v>17</v>
      </c>
    </row>
    <row r="3" spans="1:11" ht="15.5" hidden="1" x14ac:dyDescent="0.35">
      <c r="A3">
        <v>885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H3" t="s">
        <v>16</v>
      </c>
      <c r="J3" t="s">
        <v>16</v>
      </c>
      <c r="K3" t="s">
        <v>21</v>
      </c>
    </row>
    <row r="4" spans="1:11" ht="15.5" x14ac:dyDescent="0.35">
      <c r="A4">
        <v>885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H4" t="s">
        <v>16</v>
      </c>
      <c r="J4" t="s">
        <v>16</v>
      </c>
      <c r="K4" t="s">
        <v>17</v>
      </c>
    </row>
    <row r="5" spans="1:11" ht="15.5" x14ac:dyDescent="0.35">
      <c r="A5">
        <v>885</v>
      </c>
      <c r="B5" t="s">
        <v>11</v>
      </c>
      <c r="C5" t="s">
        <v>12</v>
      </c>
      <c r="D5" t="s">
        <v>25</v>
      </c>
      <c r="E5" t="s">
        <v>26</v>
      </c>
      <c r="F5" t="s">
        <v>15</v>
      </c>
      <c r="H5" t="s">
        <v>16</v>
      </c>
      <c r="J5" t="s">
        <v>16</v>
      </c>
      <c r="K5" t="s">
        <v>17</v>
      </c>
    </row>
    <row r="6" spans="1:11" ht="15.5" x14ac:dyDescent="0.35">
      <c r="A6">
        <v>885</v>
      </c>
      <c r="B6" t="s">
        <v>11</v>
      </c>
      <c r="C6" t="s">
        <v>12</v>
      </c>
      <c r="D6" t="s">
        <v>27</v>
      </c>
      <c r="E6" t="s">
        <v>19</v>
      </c>
      <c r="F6" t="s">
        <v>28</v>
      </c>
      <c r="H6" t="s">
        <v>16</v>
      </c>
      <c r="J6" t="s">
        <v>16</v>
      </c>
      <c r="K6" t="s">
        <v>21</v>
      </c>
    </row>
    <row r="7" spans="1:11" ht="15.5" x14ac:dyDescent="0.35">
      <c r="A7">
        <v>885</v>
      </c>
      <c r="B7" t="s">
        <v>11</v>
      </c>
      <c r="C7" t="s">
        <v>12</v>
      </c>
      <c r="D7" t="s">
        <v>29</v>
      </c>
      <c r="E7" t="s">
        <v>30</v>
      </c>
      <c r="F7" t="s">
        <v>31</v>
      </c>
      <c r="H7" t="s">
        <v>16</v>
      </c>
      <c r="J7" t="s">
        <v>16</v>
      </c>
      <c r="K7" t="s">
        <v>17</v>
      </c>
    </row>
    <row r="8" spans="1:11" ht="15.5" hidden="1" x14ac:dyDescent="0.35">
      <c r="A8">
        <v>885</v>
      </c>
      <c r="B8" t="s">
        <v>11</v>
      </c>
      <c r="C8" t="s">
        <v>12</v>
      </c>
      <c r="D8" t="s">
        <v>27</v>
      </c>
      <c r="E8" t="s">
        <v>19</v>
      </c>
      <c r="F8" t="s">
        <v>20</v>
      </c>
      <c r="H8" t="s">
        <v>16</v>
      </c>
      <c r="J8" t="s">
        <v>16</v>
      </c>
      <c r="K8" t="s">
        <v>21</v>
      </c>
    </row>
    <row r="9" spans="1:11" ht="15.5" x14ac:dyDescent="0.35">
      <c r="A9">
        <v>885</v>
      </c>
      <c r="B9" t="s">
        <v>11</v>
      </c>
      <c r="C9" t="s">
        <v>12</v>
      </c>
      <c r="D9" t="s">
        <v>32</v>
      </c>
      <c r="E9" t="s">
        <v>33</v>
      </c>
      <c r="F9" t="s">
        <v>31</v>
      </c>
      <c r="H9" t="s">
        <v>16</v>
      </c>
      <c r="J9" t="s">
        <v>16</v>
      </c>
      <c r="K9" t="s">
        <v>34</v>
      </c>
    </row>
    <row r="10" spans="1:11" ht="15.5" x14ac:dyDescent="0.35">
      <c r="A10">
        <v>885</v>
      </c>
      <c r="B10" t="s">
        <v>11</v>
      </c>
      <c r="C10" t="s">
        <v>12</v>
      </c>
      <c r="D10" t="s">
        <v>35</v>
      </c>
      <c r="E10" t="s">
        <v>36</v>
      </c>
      <c r="F10" t="s">
        <v>37</v>
      </c>
      <c r="H10" t="s">
        <v>16</v>
      </c>
      <c r="J10" t="s">
        <v>16</v>
      </c>
      <c r="K10" t="s">
        <v>17</v>
      </c>
    </row>
    <row r="11" spans="1:11" ht="15.5" x14ac:dyDescent="0.35">
      <c r="A11">
        <v>885</v>
      </c>
      <c r="B11" t="s">
        <v>11</v>
      </c>
      <c r="C11" t="s">
        <v>12</v>
      </c>
      <c r="D11" t="s">
        <v>38</v>
      </c>
      <c r="E11" t="s">
        <v>33</v>
      </c>
      <c r="F11" t="s">
        <v>31</v>
      </c>
      <c r="H11" t="s">
        <v>16</v>
      </c>
      <c r="J11" t="s">
        <v>16</v>
      </c>
      <c r="K11" t="s">
        <v>34</v>
      </c>
    </row>
    <row r="12" spans="1:11" ht="15.5" x14ac:dyDescent="0.35">
      <c r="A12">
        <v>885</v>
      </c>
      <c r="B12" t="s">
        <v>11</v>
      </c>
      <c r="C12" t="s">
        <v>12</v>
      </c>
      <c r="D12" t="s">
        <v>39</v>
      </c>
      <c r="E12" t="s">
        <v>40</v>
      </c>
      <c r="F12" t="s">
        <v>31</v>
      </c>
      <c r="H12" t="s">
        <v>16</v>
      </c>
      <c r="J12" t="s">
        <v>16</v>
      </c>
      <c r="K12" t="s">
        <v>17</v>
      </c>
    </row>
    <row r="13" spans="1:11" ht="15.5" x14ac:dyDescent="0.35">
      <c r="A13">
        <v>885</v>
      </c>
      <c r="B13" t="s">
        <v>11</v>
      </c>
      <c r="C13" t="s">
        <v>12</v>
      </c>
      <c r="D13" t="s">
        <v>41</v>
      </c>
      <c r="E13" t="s">
        <v>30</v>
      </c>
      <c r="F13" t="s">
        <v>31</v>
      </c>
      <c r="H13" t="s">
        <v>16</v>
      </c>
      <c r="J13" t="s">
        <v>16</v>
      </c>
      <c r="K13" t="s">
        <v>17</v>
      </c>
    </row>
    <row r="14" spans="1:11" ht="15.5" x14ac:dyDescent="0.35">
      <c r="A14">
        <v>885</v>
      </c>
      <c r="B14" t="s">
        <v>11</v>
      </c>
      <c r="C14" t="s">
        <v>12</v>
      </c>
      <c r="D14" t="s">
        <v>42</v>
      </c>
      <c r="E14" t="s">
        <v>36</v>
      </c>
      <c r="F14" t="s">
        <v>24</v>
      </c>
      <c r="H14" t="s">
        <v>16</v>
      </c>
      <c r="J14" t="s">
        <v>16</v>
      </c>
      <c r="K14" t="s">
        <v>17</v>
      </c>
    </row>
    <row r="15" spans="1:11" ht="15.5" x14ac:dyDescent="0.35">
      <c r="A15">
        <v>885</v>
      </c>
      <c r="B15" t="s">
        <v>11</v>
      </c>
      <c r="C15" t="s">
        <v>12</v>
      </c>
      <c r="D15" t="s">
        <v>43</v>
      </c>
      <c r="E15" t="s">
        <v>30</v>
      </c>
      <c r="F15" t="s">
        <v>31</v>
      </c>
      <c r="H15" t="s">
        <v>16</v>
      </c>
      <c r="J15" t="s">
        <v>16</v>
      </c>
      <c r="K15" t="s">
        <v>17</v>
      </c>
    </row>
    <row r="16" spans="1:11" ht="15.5" x14ac:dyDescent="0.35">
      <c r="A16">
        <v>885</v>
      </c>
      <c r="B16" t="s">
        <v>11</v>
      </c>
      <c r="C16" t="s">
        <v>12</v>
      </c>
      <c r="D16" t="s">
        <v>44</v>
      </c>
      <c r="E16" t="s">
        <v>45</v>
      </c>
      <c r="F16" t="s">
        <v>15</v>
      </c>
      <c r="H16" t="s">
        <v>16</v>
      </c>
      <c r="J16" t="s">
        <v>16</v>
      </c>
      <c r="K16" t="s">
        <v>17</v>
      </c>
    </row>
    <row r="17" spans="1:11" ht="15.5" x14ac:dyDescent="0.35">
      <c r="A17">
        <v>885</v>
      </c>
      <c r="B17" t="s">
        <v>11</v>
      </c>
      <c r="C17" t="s">
        <v>12</v>
      </c>
      <c r="D17" t="s">
        <v>46</v>
      </c>
      <c r="E17" t="s">
        <v>33</v>
      </c>
      <c r="F17" t="s">
        <v>31</v>
      </c>
      <c r="H17" t="s">
        <v>16</v>
      </c>
      <c r="J17" t="s">
        <v>16</v>
      </c>
      <c r="K17" t="s">
        <v>34</v>
      </c>
    </row>
    <row r="18" spans="1:11" ht="15.5" x14ac:dyDescent="0.35">
      <c r="A18">
        <v>885</v>
      </c>
      <c r="B18" t="s">
        <v>11</v>
      </c>
      <c r="C18" t="s">
        <v>12</v>
      </c>
      <c r="D18" t="s">
        <v>47</v>
      </c>
      <c r="E18" t="s">
        <v>33</v>
      </c>
      <c r="F18" t="s">
        <v>31</v>
      </c>
      <c r="H18" t="s">
        <v>16</v>
      </c>
      <c r="J18" t="s">
        <v>16</v>
      </c>
      <c r="K18" t="s">
        <v>34</v>
      </c>
    </row>
    <row r="19" spans="1:11" ht="15.5" x14ac:dyDescent="0.35">
      <c r="A19">
        <v>885</v>
      </c>
      <c r="B19" t="s">
        <v>11</v>
      </c>
      <c r="C19" t="s">
        <v>12</v>
      </c>
      <c r="D19" t="s">
        <v>48</v>
      </c>
      <c r="E19" t="s">
        <v>30</v>
      </c>
      <c r="F19" t="s">
        <v>31</v>
      </c>
      <c r="H19" t="s">
        <v>16</v>
      </c>
      <c r="J19" t="s">
        <v>16</v>
      </c>
      <c r="K19" t="s">
        <v>17</v>
      </c>
    </row>
    <row r="20" spans="1:11" ht="15.5" x14ac:dyDescent="0.35">
      <c r="A20">
        <v>885</v>
      </c>
      <c r="B20" t="s">
        <v>11</v>
      </c>
      <c r="C20" t="s">
        <v>12</v>
      </c>
      <c r="D20" t="s">
        <v>49</v>
      </c>
      <c r="E20" t="s">
        <v>33</v>
      </c>
      <c r="F20" t="s">
        <v>31</v>
      </c>
      <c r="H20" t="s">
        <v>16</v>
      </c>
      <c r="J20" t="s">
        <v>16</v>
      </c>
      <c r="K20" t="s">
        <v>34</v>
      </c>
    </row>
    <row r="21" spans="1:11" ht="15.5" x14ac:dyDescent="0.35">
      <c r="A21">
        <v>885</v>
      </c>
      <c r="B21" t="s">
        <v>11</v>
      </c>
      <c r="C21" t="s">
        <v>12</v>
      </c>
      <c r="D21" t="s">
        <v>50</v>
      </c>
      <c r="E21" t="s">
        <v>30</v>
      </c>
      <c r="F21" t="s">
        <v>31</v>
      </c>
      <c r="H21" t="s">
        <v>16</v>
      </c>
      <c r="J21" t="s">
        <v>16</v>
      </c>
      <c r="K21" t="s">
        <v>17</v>
      </c>
    </row>
    <row r="22" spans="1:11" ht="15.5" x14ac:dyDescent="0.35">
      <c r="A22">
        <v>885</v>
      </c>
      <c r="B22" t="s">
        <v>11</v>
      </c>
      <c r="C22" t="s">
        <v>12</v>
      </c>
      <c r="D22" t="s">
        <v>51</v>
      </c>
      <c r="E22" t="s">
        <v>33</v>
      </c>
      <c r="F22" t="s">
        <v>31</v>
      </c>
      <c r="H22" t="s">
        <v>16</v>
      </c>
      <c r="J22" t="s">
        <v>16</v>
      </c>
      <c r="K22" t="s">
        <v>34</v>
      </c>
    </row>
    <row r="23" spans="1:11" ht="15.5" x14ac:dyDescent="0.35">
      <c r="A23">
        <v>885</v>
      </c>
      <c r="B23" t="s">
        <v>11</v>
      </c>
      <c r="C23" t="s">
        <v>12</v>
      </c>
      <c r="D23" t="s">
        <v>52</v>
      </c>
      <c r="E23" t="s">
        <v>30</v>
      </c>
      <c r="F23" t="s">
        <v>31</v>
      </c>
      <c r="H23" t="s">
        <v>16</v>
      </c>
      <c r="J23" t="s">
        <v>16</v>
      </c>
      <c r="K23" t="s">
        <v>17</v>
      </c>
    </row>
    <row r="24" spans="1:11" ht="15.5" x14ac:dyDescent="0.35">
      <c r="A24">
        <v>885</v>
      </c>
      <c r="B24" t="s">
        <v>11</v>
      </c>
      <c r="C24" t="s">
        <v>12</v>
      </c>
      <c r="D24" t="s">
        <v>53</v>
      </c>
      <c r="E24" t="s">
        <v>33</v>
      </c>
      <c r="F24" t="s">
        <v>31</v>
      </c>
      <c r="H24" t="s">
        <v>16</v>
      </c>
      <c r="J24" t="s">
        <v>16</v>
      </c>
      <c r="K24" t="s">
        <v>34</v>
      </c>
    </row>
    <row r="25" spans="1:11" ht="15.5" x14ac:dyDescent="0.35">
      <c r="A25">
        <v>885</v>
      </c>
      <c r="B25" t="s">
        <v>11</v>
      </c>
      <c r="C25" t="s">
        <v>12</v>
      </c>
      <c r="D25" t="s">
        <v>54</v>
      </c>
      <c r="E25" t="s">
        <v>55</v>
      </c>
      <c r="F25" t="s">
        <v>37</v>
      </c>
      <c r="H25" t="s">
        <v>16</v>
      </c>
      <c r="J25" t="s">
        <v>16</v>
      </c>
      <c r="K25" t="s">
        <v>56</v>
      </c>
    </row>
    <row r="26" spans="1:11" ht="15.5" x14ac:dyDescent="0.35">
      <c r="A26">
        <v>885</v>
      </c>
      <c r="B26" t="s">
        <v>11</v>
      </c>
      <c r="C26" t="s">
        <v>12</v>
      </c>
      <c r="D26" t="s">
        <v>57</v>
      </c>
      <c r="E26" t="s">
        <v>30</v>
      </c>
      <c r="F26" t="s">
        <v>31</v>
      </c>
      <c r="H26" t="s">
        <v>16</v>
      </c>
      <c r="J26" t="s">
        <v>16</v>
      </c>
      <c r="K26" t="s">
        <v>17</v>
      </c>
    </row>
    <row r="27" spans="1:11" ht="15.5" x14ac:dyDescent="0.35">
      <c r="A27">
        <v>885</v>
      </c>
      <c r="B27" t="s">
        <v>11</v>
      </c>
      <c r="C27" t="s">
        <v>12</v>
      </c>
      <c r="D27" t="s">
        <v>58</v>
      </c>
      <c r="E27" t="s">
        <v>30</v>
      </c>
      <c r="F27" t="s">
        <v>31</v>
      </c>
      <c r="H27" t="s">
        <v>16</v>
      </c>
      <c r="J27" t="s">
        <v>16</v>
      </c>
      <c r="K27" t="s">
        <v>17</v>
      </c>
    </row>
    <row r="28" spans="1:11" ht="15.5" x14ac:dyDescent="0.35">
      <c r="A28">
        <v>885</v>
      </c>
      <c r="B28" t="s">
        <v>11</v>
      </c>
      <c r="C28" t="s">
        <v>12</v>
      </c>
      <c r="D28" t="s">
        <v>59</v>
      </c>
      <c r="E28" t="s">
        <v>33</v>
      </c>
      <c r="F28" t="s">
        <v>31</v>
      </c>
      <c r="H28" t="s">
        <v>16</v>
      </c>
      <c r="J28" t="s">
        <v>16</v>
      </c>
      <c r="K28" t="s">
        <v>34</v>
      </c>
    </row>
    <row r="29" spans="1:11" ht="15.5" x14ac:dyDescent="0.35">
      <c r="A29">
        <v>885</v>
      </c>
      <c r="B29" t="s">
        <v>11</v>
      </c>
      <c r="C29" t="s">
        <v>12</v>
      </c>
      <c r="D29" t="s">
        <v>60</v>
      </c>
      <c r="E29" t="s">
        <v>30</v>
      </c>
      <c r="F29" t="s">
        <v>31</v>
      </c>
      <c r="H29" t="s">
        <v>16</v>
      </c>
      <c r="J29" t="s">
        <v>16</v>
      </c>
      <c r="K29" t="s">
        <v>17</v>
      </c>
    </row>
    <row r="30" spans="1:11" ht="15.5" x14ac:dyDescent="0.35">
      <c r="A30">
        <v>885</v>
      </c>
      <c r="B30" t="s">
        <v>11</v>
      </c>
      <c r="C30" t="s">
        <v>12</v>
      </c>
      <c r="D30" t="s">
        <v>61</v>
      </c>
      <c r="E30" t="s">
        <v>33</v>
      </c>
      <c r="F30" t="s">
        <v>31</v>
      </c>
      <c r="H30" t="s">
        <v>16</v>
      </c>
      <c r="J30" t="s">
        <v>16</v>
      </c>
      <c r="K30" t="s">
        <v>34</v>
      </c>
    </row>
    <row r="31" spans="1:11" ht="15.5" x14ac:dyDescent="0.35">
      <c r="A31">
        <v>885</v>
      </c>
      <c r="B31" t="s">
        <v>11</v>
      </c>
      <c r="C31" t="s">
        <v>12</v>
      </c>
      <c r="D31" t="s">
        <v>62</v>
      </c>
      <c r="E31" t="s">
        <v>30</v>
      </c>
      <c r="F31" t="s">
        <v>31</v>
      </c>
      <c r="H31" t="s">
        <v>16</v>
      </c>
      <c r="J31" t="s">
        <v>16</v>
      </c>
      <c r="K31" t="s">
        <v>17</v>
      </c>
    </row>
    <row r="32" spans="1:11" ht="15.5" x14ac:dyDescent="0.35">
      <c r="A32">
        <v>885</v>
      </c>
      <c r="B32" t="s">
        <v>11</v>
      </c>
      <c r="C32" t="s">
        <v>12</v>
      </c>
      <c r="D32" t="s">
        <v>63</v>
      </c>
      <c r="E32" t="s">
        <v>30</v>
      </c>
      <c r="F32" t="s">
        <v>31</v>
      </c>
      <c r="H32" t="s">
        <v>16</v>
      </c>
      <c r="J32" t="s">
        <v>16</v>
      </c>
      <c r="K32" t="s">
        <v>17</v>
      </c>
    </row>
    <row r="33" spans="1:11" ht="15.5" x14ac:dyDescent="0.35">
      <c r="A33">
        <v>885</v>
      </c>
      <c r="B33" t="s">
        <v>11</v>
      </c>
      <c r="C33" t="s">
        <v>12</v>
      </c>
      <c r="D33" t="s">
        <v>64</v>
      </c>
      <c r="E33" t="s">
        <v>30</v>
      </c>
      <c r="F33" t="s">
        <v>31</v>
      </c>
      <c r="H33" t="s">
        <v>16</v>
      </c>
      <c r="J33" t="s">
        <v>16</v>
      </c>
      <c r="K33" t="s">
        <v>17</v>
      </c>
    </row>
    <row r="34" spans="1:11" ht="15.5" x14ac:dyDescent="0.35">
      <c r="A34">
        <v>885</v>
      </c>
      <c r="B34" t="s">
        <v>11</v>
      </c>
      <c r="C34" t="s">
        <v>12</v>
      </c>
      <c r="D34" t="s">
        <v>65</v>
      </c>
      <c r="E34" t="s">
        <v>30</v>
      </c>
      <c r="F34" t="s">
        <v>31</v>
      </c>
      <c r="H34" t="s">
        <v>16</v>
      </c>
      <c r="J34" t="s">
        <v>16</v>
      </c>
      <c r="K34" t="s">
        <v>17</v>
      </c>
    </row>
    <row r="35" spans="1:11" ht="15.5" x14ac:dyDescent="0.35">
      <c r="A35">
        <v>885</v>
      </c>
      <c r="B35" t="s">
        <v>11</v>
      </c>
      <c r="C35" t="s">
        <v>12</v>
      </c>
      <c r="D35" t="s">
        <v>66</v>
      </c>
      <c r="E35" t="s">
        <v>30</v>
      </c>
      <c r="F35" t="s">
        <v>31</v>
      </c>
      <c r="H35" t="s">
        <v>16</v>
      </c>
      <c r="J35" t="s">
        <v>16</v>
      </c>
      <c r="K35" t="s">
        <v>17</v>
      </c>
    </row>
    <row r="36" spans="1:11" ht="15.5" x14ac:dyDescent="0.35">
      <c r="A36">
        <v>885</v>
      </c>
      <c r="B36" t="s">
        <v>11</v>
      </c>
      <c r="C36" t="s">
        <v>12</v>
      </c>
      <c r="D36" t="s">
        <v>67</v>
      </c>
      <c r="E36" t="s">
        <v>30</v>
      </c>
      <c r="F36" t="s">
        <v>31</v>
      </c>
      <c r="H36" t="s">
        <v>16</v>
      </c>
      <c r="J36" t="s">
        <v>16</v>
      </c>
      <c r="K36" t="s">
        <v>17</v>
      </c>
    </row>
    <row r="37" spans="1:11" ht="15.5" x14ac:dyDescent="0.35">
      <c r="A37">
        <v>885</v>
      </c>
      <c r="B37" t="s">
        <v>11</v>
      </c>
      <c r="C37" t="s">
        <v>12</v>
      </c>
      <c r="D37" t="s">
        <v>68</v>
      </c>
      <c r="E37" t="s">
        <v>30</v>
      </c>
      <c r="F37" t="s">
        <v>31</v>
      </c>
      <c r="H37" t="s">
        <v>16</v>
      </c>
      <c r="J37" t="s">
        <v>16</v>
      </c>
      <c r="K37" t="s">
        <v>17</v>
      </c>
    </row>
    <row r="38" spans="1:11" ht="15.5" x14ac:dyDescent="0.35">
      <c r="A38">
        <v>885</v>
      </c>
      <c r="B38" t="s">
        <v>11</v>
      </c>
      <c r="C38" t="s">
        <v>12</v>
      </c>
      <c r="D38" t="s">
        <v>69</v>
      </c>
      <c r="E38" t="s">
        <v>33</v>
      </c>
      <c r="F38" t="s">
        <v>31</v>
      </c>
      <c r="H38" t="s">
        <v>16</v>
      </c>
      <c r="J38" t="s">
        <v>16</v>
      </c>
      <c r="K38" t="s">
        <v>34</v>
      </c>
    </row>
    <row r="39" spans="1:11" ht="15.5" x14ac:dyDescent="0.35">
      <c r="A39">
        <v>885</v>
      </c>
      <c r="B39" t="s">
        <v>11</v>
      </c>
      <c r="C39" t="s">
        <v>12</v>
      </c>
      <c r="D39" t="s">
        <v>70</v>
      </c>
      <c r="E39" t="s">
        <v>30</v>
      </c>
      <c r="F39" t="s">
        <v>31</v>
      </c>
      <c r="H39" t="s">
        <v>16</v>
      </c>
      <c r="J39" t="s">
        <v>16</v>
      </c>
      <c r="K39" t="s">
        <v>17</v>
      </c>
    </row>
    <row r="40" spans="1:11" ht="15.5" x14ac:dyDescent="0.35">
      <c r="A40">
        <v>885</v>
      </c>
      <c r="B40" t="s">
        <v>11</v>
      </c>
      <c r="C40" t="s">
        <v>12</v>
      </c>
      <c r="D40" t="s">
        <v>71</v>
      </c>
      <c r="E40" t="s">
        <v>30</v>
      </c>
      <c r="F40" t="s">
        <v>31</v>
      </c>
      <c r="H40" t="s">
        <v>16</v>
      </c>
      <c r="J40" t="s">
        <v>16</v>
      </c>
      <c r="K40" t="s">
        <v>17</v>
      </c>
    </row>
    <row r="41" spans="1:11" ht="15.5" x14ac:dyDescent="0.35">
      <c r="A41">
        <v>885</v>
      </c>
      <c r="B41" t="s">
        <v>11</v>
      </c>
      <c r="C41" t="s">
        <v>12</v>
      </c>
      <c r="D41" t="s">
        <v>72</v>
      </c>
      <c r="E41" t="s">
        <v>30</v>
      </c>
      <c r="F41" t="s">
        <v>31</v>
      </c>
      <c r="H41" t="s">
        <v>16</v>
      </c>
      <c r="J41" t="s">
        <v>16</v>
      </c>
      <c r="K41" t="s">
        <v>17</v>
      </c>
    </row>
    <row r="42" spans="1:11" ht="15.5" x14ac:dyDescent="0.35">
      <c r="A42">
        <v>885</v>
      </c>
      <c r="B42" t="s">
        <v>11</v>
      </c>
      <c r="C42" t="s">
        <v>12</v>
      </c>
      <c r="D42" t="s">
        <v>73</v>
      </c>
      <c r="E42" t="s">
        <v>30</v>
      </c>
      <c r="F42" t="s">
        <v>31</v>
      </c>
      <c r="H42" t="s">
        <v>16</v>
      </c>
      <c r="J42" t="s">
        <v>16</v>
      </c>
      <c r="K42" t="s">
        <v>17</v>
      </c>
    </row>
    <row r="43" spans="1:11" ht="15.5" x14ac:dyDescent="0.35">
      <c r="A43">
        <v>885</v>
      </c>
      <c r="B43" t="s">
        <v>11</v>
      </c>
      <c r="C43" t="s">
        <v>12</v>
      </c>
      <c r="D43" t="s">
        <v>74</v>
      </c>
      <c r="E43" t="s">
        <v>30</v>
      </c>
      <c r="F43" t="s">
        <v>31</v>
      </c>
      <c r="H43" t="s">
        <v>16</v>
      </c>
      <c r="J43" t="s">
        <v>16</v>
      </c>
      <c r="K43" t="s">
        <v>17</v>
      </c>
    </row>
    <row r="44" spans="1:11" ht="15.5" x14ac:dyDescent="0.35">
      <c r="A44">
        <v>885</v>
      </c>
      <c r="B44" t="s">
        <v>11</v>
      </c>
      <c r="C44" t="s">
        <v>12</v>
      </c>
      <c r="D44" t="s">
        <v>75</v>
      </c>
      <c r="E44" t="s">
        <v>30</v>
      </c>
      <c r="F44" t="s">
        <v>31</v>
      </c>
      <c r="H44" t="s">
        <v>16</v>
      </c>
      <c r="J44" t="s">
        <v>16</v>
      </c>
      <c r="K44" t="s">
        <v>17</v>
      </c>
    </row>
    <row r="45" spans="1:11" ht="15.5" x14ac:dyDescent="0.35">
      <c r="A45">
        <v>885</v>
      </c>
      <c r="B45" t="s">
        <v>11</v>
      </c>
      <c r="C45" t="s">
        <v>12</v>
      </c>
      <c r="D45" t="s">
        <v>76</v>
      </c>
      <c r="E45" t="s">
        <v>30</v>
      </c>
      <c r="F45" t="s">
        <v>31</v>
      </c>
      <c r="H45" t="s">
        <v>16</v>
      </c>
      <c r="J45" t="s">
        <v>16</v>
      </c>
      <c r="K45" t="s">
        <v>17</v>
      </c>
    </row>
    <row r="46" spans="1:11" ht="15.5" x14ac:dyDescent="0.35">
      <c r="A46">
        <v>885</v>
      </c>
      <c r="B46" t="s">
        <v>11</v>
      </c>
      <c r="C46" t="s">
        <v>12</v>
      </c>
      <c r="D46" t="s">
        <v>77</v>
      </c>
      <c r="E46" t="s">
        <v>30</v>
      </c>
      <c r="F46" t="s">
        <v>31</v>
      </c>
      <c r="H46" t="s">
        <v>16</v>
      </c>
      <c r="J46" t="s">
        <v>16</v>
      </c>
      <c r="K46" t="s">
        <v>17</v>
      </c>
    </row>
    <row r="47" spans="1:11" ht="15.5" x14ac:dyDescent="0.35">
      <c r="A47">
        <v>885</v>
      </c>
      <c r="B47" t="s">
        <v>11</v>
      </c>
      <c r="C47" t="s">
        <v>12</v>
      </c>
      <c r="D47" t="s">
        <v>78</v>
      </c>
      <c r="E47" t="s">
        <v>79</v>
      </c>
      <c r="F47" t="s">
        <v>15</v>
      </c>
      <c r="H47" t="s">
        <v>16</v>
      </c>
      <c r="J47" t="s">
        <v>16</v>
      </c>
      <c r="K47" t="s">
        <v>80</v>
      </c>
    </row>
    <row r="48" spans="1:11" ht="15.5" x14ac:dyDescent="0.35">
      <c r="A48">
        <v>885</v>
      </c>
      <c r="B48" t="s">
        <v>11</v>
      </c>
      <c r="C48" t="s">
        <v>12</v>
      </c>
      <c r="D48" t="s">
        <v>81</v>
      </c>
      <c r="E48" t="s">
        <v>82</v>
      </c>
      <c r="F48" t="s">
        <v>15</v>
      </c>
      <c r="H48" t="s">
        <v>16</v>
      </c>
      <c r="J48" t="s">
        <v>16</v>
      </c>
      <c r="K48" t="s">
        <v>17</v>
      </c>
    </row>
    <row r="49" spans="1:11" ht="15.5" x14ac:dyDescent="0.35">
      <c r="A49">
        <v>885</v>
      </c>
      <c r="B49" t="s">
        <v>11</v>
      </c>
      <c r="C49" t="s">
        <v>12</v>
      </c>
      <c r="D49" t="s">
        <v>83</v>
      </c>
      <c r="E49" t="s">
        <v>30</v>
      </c>
      <c r="F49" t="s">
        <v>31</v>
      </c>
      <c r="H49" t="s">
        <v>16</v>
      </c>
      <c r="J49" t="s">
        <v>16</v>
      </c>
      <c r="K49" t="s">
        <v>17</v>
      </c>
    </row>
    <row r="50" spans="1:11" ht="15.5" x14ac:dyDescent="0.35">
      <c r="A50">
        <v>885</v>
      </c>
      <c r="B50" t="s">
        <v>11</v>
      </c>
      <c r="C50" t="s">
        <v>12</v>
      </c>
      <c r="D50" t="s">
        <v>84</v>
      </c>
      <c r="E50" t="s">
        <v>30</v>
      </c>
      <c r="F50" t="s">
        <v>31</v>
      </c>
      <c r="H50" t="s">
        <v>16</v>
      </c>
      <c r="J50" t="s">
        <v>16</v>
      </c>
      <c r="K50" t="s">
        <v>17</v>
      </c>
    </row>
    <row r="51" spans="1:11" ht="15.5" x14ac:dyDescent="0.35">
      <c r="A51">
        <v>885</v>
      </c>
      <c r="B51" t="s">
        <v>11</v>
      </c>
      <c r="C51" t="s">
        <v>12</v>
      </c>
      <c r="D51" t="s">
        <v>85</v>
      </c>
      <c r="E51" t="s">
        <v>30</v>
      </c>
      <c r="F51" t="s">
        <v>31</v>
      </c>
      <c r="H51" t="s">
        <v>16</v>
      </c>
      <c r="J51" t="s">
        <v>16</v>
      </c>
      <c r="K51" t="s">
        <v>17</v>
      </c>
    </row>
    <row r="52" spans="1:11" ht="15.5" x14ac:dyDescent="0.35">
      <c r="A52">
        <v>885</v>
      </c>
      <c r="B52" t="s">
        <v>11</v>
      </c>
      <c r="C52" t="s">
        <v>12</v>
      </c>
      <c r="D52" t="s">
        <v>86</v>
      </c>
      <c r="E52" t="s">
        <v>30</v>
      </c>
      <c r="F52" t="s">
        <v>31</v>
      </c>
      <c r="H52" t="s">
        <v>16</v>
      </c>
      <c r="J52" t="s">
        <v>16</v>
      </c>
      <c r="K52" t="s">
        <v>17</v>
      </c>
    </row>
    <row r="53" spans="1:11" ht="15.5" x14ac:dyDescent="0.35">
      <c r="A53">
        <v>885</v>
      </c>
      <c r="B53" t="s">
        <v>11</v>
      </c>
      <c r="C53" t="s">
        <v>12</v>
      </c>
      <c r="D53" t="s">
        <v>87</v>
      </c>
      <c r="E53" t="s">
        <v>30</v>
      </c>
      <c r="F53" t="s">
        <v>31</v>
      </c>
      <c r="H53" t="s">
        <v>16</v>
      </c>
      <c r="J53" t="s">
        <v>16</v>
      </c>
      <c r="K53" t="s">
        <v>17</v>
      </c>
    </row>
    <row r="54" spans="1:11" ht="15.5" x14ac:dyDescent="0.35">
      <c r="A54">
        <v>885</v>
      </c>
      <c r="B54" t="s">
        <v>11</v>
      </c>
      <c r="C54" t="s">
        <v>12</v>
      </c>
      <c r="D54" t="s">
        <v>88</v>
      </c>
      <c r="E54" t="s">
        <v>30</v>
      </c>
      <c r="F54" t="s">
        <v>31</v>
      </c>
      <c r="H54" t="s">
        <v>16</v>
      </c>
      <c r="J54" t="s">
        <v>16</v>
      </c>
      <c r="K54" t="s">
        <v>17</v>
      </c>
    </row>
    <row r="55" spans="1:11" ht="15.5" hidden="1" x14ac:dyDescent="0.35">
      <c r="A55">
        <v>885</v>
      </c>
      <c r="B55" t="s">
        <v>11</v>
      </c>
      <c r="C55" t="s">
        <v>12</v>
      </c>
      <c r="D55" t="s">
        <v>89</v>
      </c>
      <c r="E55" t="s">
        <v>90</v>
      </c>
      <c r="F55" t="s">
        <v>91</v>
      </c>
      <c r="H55" t="s">
        <v>16</v>
      </c>
      <c r="J55" t="s">
        <v>16</v>
      </c>
      <c r="K55" t="s">
        <v>21</v>
      </c>
    </row>
    <row r="56" spans="1:11" ht="15.5" hidden="1" x14ac:dyDescent="0.35">
      <c r="A56">
        <v>885</v>
      </c>
      <c r="B56" t="s">
        <v>11</v>
      </c>
      <c r="C56" t="s">
        <v>12</v>
      </c>
      <c r="D56" t="s">
        <v>78</v>
      </c>
      <c r="E56" t="s">
        <v>79</v>
      </c>
      <c r="F56" t="s">
        <v>92</v>
      </c>
      <c r="H56" t="s">
        <v>16</v>
      </c>
      <c r="J56" t="s">
        <v>16</v>
      </c>
      <c r="K56" t="s">
        <v>80</v>
      </c>
    </row>
    <row r="57" spans="1:11" ht="15.5" x14ac:dyDescent="0.35">
      <c r="A57">
        <v>885</v>
      </c>
      <c r="B57" t="s">
        <v>11</v>
      </c>
      <c r="C57" t="s">
        <v>12</v>
      </c>
      <c r="D57" t="s">
        <v>93</v>
      </c>
      <c r="E57" t="s">
        <v>30</v>
      </c>
      <c r="F57" t="s">
        <v>31</v>
      </c>
      <c r="H57" t="s">
        <v>16</v>
      </c>
      <c r="J57" t="s">
        <v>16</v>
      </c>
      <c r="K57" t="s">
        <v>17</v>
      </c>
    </row>
    <row r="58" spans="1:11" ht="15.5" hidden="1" x14ac:dyDescent="0.35">
      <c r="A58">
        <v>885</v>
      </c>
      <c r="B58" t="s">
        <v>11</v>
      </c>
      <c r="C58" t="s">
        <v>12</v>
      </c>
      <c r="D58" t="s">
        <v>94</v>
      </c>
      <c r="E58" t="s">
        <v>79</v>
      </c>
      <c r="F58" t="s">
        <v>92</v>
      </c>
      <c r="H58" t="s">
        <v>16</v>
      </c>
      <c r="J58" t="s">
        <v>16</v>
      </c>
      <c r="K58" t="s">
        <v>80</v>
      </c>
    </row>
    <row r="59" spans="1:11" ht="15.5" x14ac:dyDescent="0.35">
      <c r="A59">
        <v>885</v>
      </c>
      <c r="B59" t="s">
        <v>11</v>
      </c>
      <c r="C59" t="s">
        <v>12</v>
      </c>
      <c r="D59" t="s">
        <v>95</v>
      </c>
      <c r="E59" t="s">
        <v>30</v>
      </c>
      <c r="F59" t="s">
        <v>31</v>
      </c>
      <c r="H59" t="s">
        <v>16</v>
      </c>
      <c r="J59" t="s">
        <v>16</v>
      </c>
      <c r="K59" t="s">
        <v>17</v>
      </c>
    </row>
    <row r="60" spans="1:11" ht="15.5" x14ac:dyDescent="0.35">
      <c r="A60">
        <v>885</v>
      </c>
      <c r="B60" t="s">
        <v>11</v>
      </c>
      <c r="C60" t="s">
        <v>12</v>
      </c>
      <c r="D60" t="s">
        <v>96</v>
      </c>
      <c r="E60" t="s">
        <v>79</v>
      </c>
      <c r="F60" t="s">
        <v>97</v>
      </c>
      <c r="H60" t="s">
        <v>16</v>
      </c>
      <c r="J60" t="s">
        <v>16</v>
      </c>
      <c r="K60" t="s">
        <v>80</v>
      </c>
    </row>
    <row r="61" spans="1:11" ht="15.5" hidden="1" x14ac:dyDescent="0.35">
      <c r="A61">
        <v>885</v>
      </c>
      <c r="B61" t="s">
        <v>11</v>
      </c>
      <c r="C61" t="s">
        <v>12</v>
      </c>
      <c r="D61" t="s">
        <v>98</v>
      </c>
      <c r="E61" t="s">
        <v>79</v>
      </c>
      <c r="F61" t="s">
        <v>92</v>
      </c>
      <c r="H61" t="s">
        <v>16</v>
      </c>
      <c r="J61" t="s">
        <v>16</v>
      </c>
      <c r="K61" t="s">
        <v>80</v>
      </c>
    </row>
    <row r="62" spans="1:11" ht="15.5" x14ac:dyDescent="0.35">
      <c r="A62">
        <v>885</v>
      </c>
      <c r="B62" t="s">
        <v>11</v>
      </c>
      <c r="C62" t="s">
        <v>12</v>
      </c>
      <c r="D62" t="s">
        <v>99</v>
      </c>
      <c r="E62" t="s">
        <v>30</v>
      </c>
      <c r="F62" t="s">
        <v>31</v>
      </c>
      <c r="H62" t="s">
        <v>16</v>
      </c>
      <c r="J62" t="s">
        <v>16</v>
      </c>
      <c r="K62" t="s">
        <v>17</v>
      </c>
    </row>
    <row r="63" spans="1:11" ht="15.5" hidden="1" x14ac:dyDescent="0.35">
      <c r="A63">
        <v>885</v>
      </c>
      <c r="B63" t="s">
        <v>11</v>
      </c>
      <c r="C63" t="s">
        <v>12</v>
      </c>
      <c r="D63" t="s">
        <v>100</v>
      </c>
      <c r="E63" t="s">
        <v>90</v>
      </c>
      <c r="F63" t="s">
        <v>91</v>
      </c>
      <c r="H63" t="s">
        <v>16</v>
      </c>
      <c r="J63" t="s">
        <v>16</v>
      </c>
      <c r="K63" t="s">
        <v>21</v>
      </c>
    </row>
    <row r="64" spans="1:11" ht="15.5" x14ac:dyDescent="0.35">
      <c r="A64">
        <v>885</v>
      </c>
      <c r="B64" t="s">
        <v>11</v>
      </c>
      <c r="C64" t="s">
        <v>12</v>
      </c>
      <c r="D64" t="s">
        <v>101</v>
      </c>
      <c r="E64" t="s">
        <v>79</v>
      </c>
      <c r="F64" t="s">
        <v>15</v>
      </c>
      <c r="H64" t="s">
        <v>16</v>
      </c>
      <c r="J64" t="s">
        <v>16</v>
      </c>
      <c r="K64" t="s">
        <v>80</v>
      </c>
    </row>
    <row r="65" spans="1:11" ht="15.5" x14ac:dyDescent="0.35">
      <c r="A65">
        <v>885</v>
      </c>
      <c r="B65" t="s">
        <v>11</v>
      </c>
      <c r="C65" t="s">
        <v>12</v>
      </c>
      <c r="D65" t="s">
        <v>102</v>
      </c>
      <c r="E65" t="s">
        <v>30</v>
      </c>
      <c r="F65" t="s">
        <v>31</v>
      </c>
      <c r="H65" t="s">
        <v>16</v>
      </c>
      <c r="J65" t="s">
        <v>16</v>
      </c>
      <c r="K65" t="s">
        <v>17</v>
      </c>
    </row>
    <row r="66" spans="1:11" ht="15.5" x14ac:dyDescent="0.35">
      <c r="A66">
        <v>885</v>
      </c>
      <c r="B66" t="s">
        <v>11</v>
      </c>
      <c r="C66" t="s">
        <v>12</v>
      </c>
      <c r="D66" t="s">
        <v>103</v>
      </c>
      <c r="E66" t="s">
        <v>79</v>
      </c>
      <c r="F66" t="s">
        <v>37</v>
      </c>
      <c r="H66" t="s">
        <v>16</v>
      </c>
      <c r="J66" t="s">
        <v>16</v>
      </c>
      <c r="K66" t="s">
        <v>80</v>
      </c>
    </row>
    <row r="67" spans="1:11" ht="15.5" x14ac:dyDescent="0.35">
      <c r="A67">
        <v>885</v>
      </c>
      <c r="B67" t="s">
        <v>11</v>
      </c>
      <c r="C67" t="s">
        <v>12</v>
      </c>
      <c r="D67" t="s">
        <v>104</v>
      </c>
      <c r="E67" t="s">
        <v>30</v>
      </c>
      <c r="F67" t="s">
        <v>31</v>
      </c>
      <c r="H67" t="s">
        <v>16</v>
      </c>
      <c r="J67" t="s">
        <v>16</v>
      </c>
      <c r="K67" t="s">
        <v>17</v>
      </c>
    </row>
    <row r="68" spans="1:11" ht="15.5" hidden="1" x14ac:dyDescent="0.35">
      <c r="A68">
        <v>885</v>
      </c>
      <c r="B68" t="s">
        <v>11</v>
      </c>
      <c r="C68" t="s">
        <v>12</v>
      </c>
      <c r="D68" t="s">
        <v>105</v>
      </c>
      <c r="E68" t="s">
        <v>79</v>
      </c>
      <c r="F68" t="s">
        <v>92</v>
      </c>
      <c r="H68" t="s">
        <v>16</v>
      </c>
      <c r="J68" t="s">
        <v>16</v>
      </c>
      <c r="K68" t="s">
        <v>80</v>
      </c>
    </row>
    <row r="69" spans="1:11" ht="15.5" hidden="1" x14ac:dyDescent="0.35">
      <c r="A69">
        <v>885</v>
      </c>
      <c r="B69" t="s">
        <v>11</v>
      </c>
      <c r="C69" t="s">
        <v>12</v>
      </c>
      <c r="D69" t="s">
        <v>106</v>
      </c>
      <c r="E69" t="s">
        <v>79</v>
      </c>
      <c r="F69" t="s">
        <v>92</v>
      </c>
      <c r="H69" t="s">
        <v>16</v>
      </c>
      <c r="J69" t="s">
        <v>16</v>
      </c>
      <c r="K69" t="s">
        <v>80</v>
      </c>
    </row>
    <row r="70" spans="1:11" ht="15.5" x14ac:dyDescent="0.35">
      <c r="A70">
        <v>885</v>
      </c>
      <c r="B70" t="s">
        <v>11</v>
      </c>
      <c r="C70" t="s">
        <v>12</v>
      </c>
      <c r="D70" t="s">
        <v>107</v>
      </c>
      <c r="E70" t="s">
        <v>30</v>
      </c>
      <c r="F70" t="s">
        <v>31</v>
      </c>
      <c r="H70" t="s">
        <v>16</v>
      </c>
      <c r="J70" t="s">
        <v>16</v>
      </c>
      <c r="K70" t="s">
        <v>17</v>
      </c>
    </row>
    <row r="71" spans="1:11" ht="15.5" hidden="1" x14ac:dyDescent="0.35">
      <c r="A71">
        <v>885</v>
      </c>
      <c r="B71" t="s">
        <v>11</v>
      </c>
      <c r="C71" t="s">
        <v>12</v>
      </c>
      <c r="D71" t="s">
        <v>108</v>
      </c>
      <c r="E71" t="s">
        <v>90</v>
      </c>
      <c r="F71" t="s">
        <v>91</v>
      </c>
      <c r="H71" t="s">
        <v>16</v>
      </c>
      <c r="J71" t="s">
        <v>16</v>
      </c>
      <c r="K71" t="s">
        <v>21</v>
      </c>
    </row>
    <row r="72" spans="1:11" ht="15.5" hidden="1" x14ac:dyDescent="0.35">
      <c r="A72">
        <v>885</v>
      </c>
      <c r="B72" t="s">
        <v>11</v>
      </c>
      <c r="C72" t="s">
        <v>12</v>
      </c>
      <c r="D72" t="s">
        <v>103</v>
      </c>
      <c r="E72" t="s">
        <v>79</v>
      </c>
      <c r="F72" t="s">
        <v>92</v>
      </c>
      <c r="H72" t="s">
        <v>16</v>
      </c>
      <c r="J72" t="s">
        <v>16</v>
      </c>
      <c r="K72" t="s">
        <v>80</v>
      </c>
    </row>
    <row r="73" spans="1:11" ht="15.5" x14ac:dyDescent="0.35">
      <c r="A73">
        <v>885</v>
      </c>
      <c r="B73" t="s">
        <v>11</v>
      </c>
      <c r="C73" t="s">
        <v>12</v>
      </c>
      <c r="D73" t="s">
        <v>109</v>
      </c>
      <c r="E73" t="s">
        <v>30</v>
      </c>
      <c r="F73" t="s">
        <v>31</v>
      </c>
      <c r="H73" t="s">
        <v>16</v>
      </c>
      <c r="J73" t="s">
        <v>16</v>
      </c>
      <c r="K73" t="s">
        <v>17</v>
      </c>
    </row>
    <row r="74" spans="1:11" ht="15.5" hidden="1" x14ac:dyDescent="0.35">
      <c r="A74">
        <v>885</v>
      </c>
      <c r="B74" t="s">
        <v>11</v>
      </c>
      <c r="C74" t="s">
        <v>12</v>
      </c>
      <c r="D74" t="s">
        <v>110</v>
      </c>
      <c r="E74" t="s">
        <v>79</v>
      </c>
      <c r="F74" t="s">
        <v>92</v>
      </c>
      <c r="H74" t="s">
        <v>16</v>
      </c>
      <c r="J74" t="s">
        <v>16</v>
      </c>
      <c r="K74" t="s">
        <v>80</v>
      </c>
    </row>
    <row r="75" spans="1:11" ht="15.5" x14ac:dyDescent="0.35">
      <c r="A75">
        <v>885</v>
      </c>
      <c r="B75" t="s">
        <v>11</v>
      </c>
      <c r="C75" t="s">
        <v>12</v>
      </c>
      <c r="D75" t="s">
        <v>111</v>
      </c>
      <c r="E75" t="s">
        <v>30</v>
      </c>
      <c r="F75" t="s">
        <v>31</v>
      </c>
      <c r="H75" t="s">
        <v>16</v>
      </c>
      <c r="J75" t="s">
        <v>16</v>
      </c>
      <c r="K75" t="s">
        <v>17</v>
      </c>
    </row>
    <row r="76" spans="1:11" ht="15.5" x14ac:dyDescent="0.35">
      <c r="A76">
        <v>885</v>
      </c>
      <c r="B76" t="s">
        <v>11</v>
      </c>
      <c r="C76" t="s">
        <v>12</v>
      </c>
      <c r="D76" t="s">
        <v>94</v>
      </c>
      <c r="E76" t="s">
        <v>79</v>
      </c>
      <c r="F76" t="s">
        <v>15</v>
      </c>
      <c r="H76" t="s">
        <v>16</v>
      </c>
      <c r="J76" t="s">
        <v>16</v>
      </c>
      <c r="K76" t="s">
        <v>80</v>
      </c>
    </row>
    <row r="77" spans="1:11" ht="15.5" hidden="1" x14ac:dyDescent="0.35">
      <c r="A77">
        <v>885</v>
      </c>
      <c r="B77" t="s">
        <v>11</v>
      </c>
      <c r="C77" t="s">
        <v>12</v>
      </c>
      <c r="D77" t="s">
        <v>112</v>
      </c>
      <c r="E77" t="s">
        <v>79</v>
      </c>
      <c r="F77" t="s">
        <v>92</v>
      </c>
      <c r="H77" t="s">
        <v>16</v>
      </c>
      <c r="J77" t="s">
        <v>16</v>
      </c>
      <c r="K77" t="s">
        <v>80</v>
      </c>
    </row>
    <row r="78" spans="1:11" ht="15.5" x14ac:dyDescent="0.35">
      <c r="A78">
        <v>885</v>
      </c>
      <c r="B78" t="s">
        <v>11</v>
      </c>
      <c r="C78" t="s">
        <v>12</v>
      </c>
      <c r="D78" t="s">
        <v>113</v>
      </c>
      <c r="E78" t="s">
        <v>30</v>
      </c>
      <c r="F78" t="s">
        <v>31</v>
      </c>
      <c r="H78" t="s">
        <v>16</v>
      </c>
      <c r="J78" t="s">
        <v>16</v>
      </c>
      <c r="K78" t="s">
        <v>17</v>
      </c>
    </row>
    <row r="79" spans="1:11" ht="15.5" hidden="1" x14ac:dyDescent="0.35">
      <c r="A79">
        <v>885</v>
      </c>
      <c r="B79" t="s">
        <v>11</v>
      </c>
      <c r="C79" t="s">
        <v>12</v>
      </c>
      <c r="D79" t="s">
        <v>114</v>
      </c>
      <c r="E79" t="s">
        <v>115</v>
      </c>
      <c r="F79" t="s">
        <v>116</v>
      </c>
      <c r="H79" t="s">
        <v>16</v>
      </c>
      <c r="J79" t="s">
        <v>16</v>
      </c>
      <c r="K79" t="s">
        <v>21</v>
      </c>
    </row>
    <row r="80" spans="1:11" ht="15.5" hidden="1" x14ac:dyDescent="0.35">
      <c r="A80">
        <v>885</v>
      </c>
      <c r="B80" t="s">
        <v>11</v>
      </c>
      <c r="C80" t="s">
        <v>12</v>
      </c>
      <c r="D80" t="s">
        <v>117</v>
      </c>
      <c r="E80" t="s">
        <v>118</v>
      </c>
      <c r="F80" t="s">
        <v>119</v>
      </c>
      <c r="H80" t="s">
        <v>16</v>
      </c>
      <c r="J80" t="s">
        <v>16</v>
      </c>
      <c r="K80" t="s">
        <v>21</v>
      </c>
    </row>
    <row r="81" spans="1:11" ht="15.5" x14ac:dyDescent="0.35">
      <c r="A81">
        <v>885</v>
      </c>
      <c r="B81" t="s">
        <v>11</v>
      </c>
      <c r="C81" t="s">
        <v>12</v>
      </c>
      <c r="D81" t="s">
        <v>120</v>
      </c>
      <c r="E81" t="s">
        <v>30</v>
      </c>
      <c r="F81" t="s">
        <v>31</v>
      </c>
      <c r="H81" t="s">
        <v>16</v>
      </c>
      <c r="J81" t="s">
        <v>16</v>
      </c>
      <c r="K81" t="s">
        <v>17</v>
      </c>
    </row>
    <row r="82" spans="1:11" ht="15.5" hidden="1" x14ac:dyDescent="0.35">
      <c r="A82">
        <v>885</v>
      </c>
      <c r="B82" t="s">
        <v>11</v>
      </c>
      <c r="C82" t="s">
        <v>12</v>
      </c>
      <c r="D82" t="s">
        <v>121</v>
      </c>
      <c r="E82" t="s">
        <v>122</v>
      </c>
      <c r="F82" t="s">
        <v>123</v>
      </c>
      <c r="H82" t="s">
        <v>16</v>
      </c>
      <c r="J82" t="s">
        <v>16</v>
      </c>
      <c r="K82" t="s">
        <v>21</v>
      </c>
    </row>
    <row r="83" spans="1:11" ht="15.5" x14ac:dyDescent="0.35">
      <c r="A83">
        <v>885</v>
      </c>
      <c r="B83" t="s">
        <v>11</v>
      </c>
      <c r="C83" t="s">
        <v>12</v>
      </c>
      <c r="D83" t="s">
        <v>124</v>
      </c>
      <c r="E83" t="s">
        <v>30</v>
      </c>
      <c r="F83" t="s">
        <v>31</v>
      </c>
      <c r="H83" t="s">
        <v>16</v>
      </c>
      <c r="J83" t="s">
        <v>16</v>
      </c>
      <c r="K83" t="s">
        <v>17</v>
      </c>
    </row>
    <row r="84" spans="1:11" ht="15.5" hidden="1" x14ac:dyDescent="0.35">
      <c r="A84">
        <v>885</v>
      </c>
      <c r="B84" t="s">
        <v>11</v>
      </c>
      <c r="C84" t="s">
        <v>12</v>
      </c>
      <c r="D84" t="s">
        <v>125</v>
      </c>
      <c r="E84" t="s">
        <v>79</v>
      </c>
      <c r="F84" t="s">
        <v>92</v>
      </c>
      <c r="H84" t="s">
        <v>16</v>
      </c>
      <c r="J84" t="s">
        <v>16</v>
      </c>
      <c r="K84" t="s">
        <v>80</v>
      </c>
    </row>
    <row r="85" spans="1:11" ht="15.5" hidden="1" x14ac:dyDescent="0.35">
      <c r="A85">
        <v>885</v>
      </c>
      <c r="B85" t="s">
        <v>11</v>
      </c>
      <c r="C85" t="s">
        <v>12</v>
      </c>
      <c r="D85" t="s">
        <v>126</v>
      </c>
      <c r="E85" t="s">
        <v>79</v>
      </c>
      <c r="F85" t="s">
        <v>92</v>
      </c>
      <c r="H85" t="s">
        <v>16</v>
      </c>
      <c r="J85" t="s">
        <v>16</v>
      </c>
      <c r="K85" t="s">
        <v>80</v>
      </c>
    </row>
    <row r="86" spans="1:11" ht="15.5" x14ac:dyDescent="0.35">
      <c r="A86">
        <v>885</v>
      </c>
      <c r="B86" t="s">
        <v>11</v>
      </c>
      <c r="C86" t="s">
        <v>12</v>
      </c>
      <c r="D86" t="s">
        <v>127</v>
      </c>
      <c r="E86" t="s">
        <v>30</v>
      </c>
      <c r="F86" t="s">
        <v>31</v>
      </c>
      <c r="H86" t="s">
        <v>16</v>
      </c>
      <c r="J86" t="s">
        <v>16</v>
      </c>
      <c r="K86" t="s">
        <v>17</v>
      </c>
    </row>
    <row r="87" spans="1:11" ht="15.5" hidden="1" x14ac:dyDescent="0.35">
      <c r="A87">
        <v>885</v>
      </c>
      <c r="B87" t="s">
        <v>11</v>
      </c>
      <c r="C87" t="s">
        <v>12</v>
      </c>
      <c r="D87" t="s">
        <v>128</v>
      </c>
      <c r="E87" t="s">
        <v>129</v>
      </c>
      <c r="F87" t="s">
        <v>130</v>
      </c>
      <c r="H87" t="s">
        <v>16</v>
      </c>
      <c r="J87" t="s">
        <v>16</v>
      </c>
      <c r="K87" t="s">
        <v>21</v>
      </c>
    </row>
    <row r="88" spans="1:11" ht="15.5" hidden="1" x14ac:dyDescent="0.35">
      <c r="A88">
        <v>885</v>
      </c>
      <c r="B88" t="s">
        <v>11</v>
      </c>
      <c r="C88" t="s">
        <v>12</v>
      </c>
      <c r="D88" t="s">
        <v>131</v>
      </c>
      <c r="E88" t="s">
        <v>118</v>
      </c>
      <c r="F88" t="s">
        <v>119</v>
      </c>
      <c r="H88" t="s">
        <v>16</v>
      </c>
      <c r="J88" t="s">
        <v>16</v>
      </c>
      <c r="K88" t="s">
        <v>21</v>
      </c>
    </row>
    <row r="89" spans="1:11" ht="15.5" x14ac:dyDescent="0.35">
      <c r="A89">
        <v>885</v>
      </c>
      <c r="B89" t="s">
        <v>11</v>
      </c>
      <c r="C89" t="s">
        <v>12</v>
      </c>
      <c r="D89" t="s">
        <v>132</v>
      </c>
      <c r="E89" t="s">
        <v>30</v>
      </c>
      <c r="F89" t="s">
        <v>31</v>
      </c>
      <c r="H89" t="s">
        <v>16</v>
      </c>
      <c r="J89" t="s">
        <v>16</v>
      </c>
      <c r="K89" t="s">
        <v>17</v>
      </c>
    </row>
    <row r="90" spans="1:11" ht="15.5" hidden="1" x14ac:dyDescent="0.35">
      <c r="A90">
        <v>885</v>
      </c>
      <c r="B90" t="s">
        <v>11</v>
      </c>
      <c r="C90" t="s">
        <v>12</v>
      </c>
      <c r="D90" t="s">
        <v>133</v>
      </c>
      <c r="E90" t="s">
        <v>90</v>
      </c>
      <c r="F90" t="s">
        <v>91</v>
      </c>
      <c r="H90" t="s">
        <v>16</v>
      </c>
      <c r="J90" t="s">
        <v>16</v>
      </c>
      <c r="K90" t="s">
        <v>21</v>
      </c>
    </row>
    <row r="91" spans="1:11" ht="15.5" x14ac:dyDescent="0.35">
      <c r="A91">
        <v>885</v>
      </c>
      <c r="B91" t="s">
        <v>11</v>
      </c>
      <c r="C91" t="s">
        <v>12</v>
      </c>
      <c r="D91" t="s">
        <v>134</v>
      </c>
      <c r="E91" t="s">
        <v>30</v>
      </c>
      <c r="F91" t="s">
        <v>31</v>
      </c>
      <c r="H91" t="s">
        <v>16</v>
      </c>
      <c r="J91" t="s">
        <v>16</v>
      </c>
      <c r="K91" t="s">
        <v>17</v>
      </c>
    </row>
    <row r="92" spans="1:11" ht="15.5" hidden="1" x14ac:dyDescent="0.35">
      <c r="A92">
        <v>885</v>
      </c>
      <c r="B92" t="s">
        <v>11</v>
      </c>
      <c r="C92" t="s">
        <v>12</v>
      </c>
      <c r="D92" t="s">
        <v>135</v>
      </c>
      <c r="E92" t="s">
        <v>79</v>
      </c>
      <c r="F92" t="s">
        <v>92</v>
      </c>
      <c r="H92" t="s">
        <v>16</v>
      </c>
      <c r="J92" t="s">
        <v>16</v>
      </c>
      <c r="K92" t="s">
        <v>80</v>
      </c>
    </row>
    <row r="93" spans="1:11" ht="15.5" hidden="1" x14ac:dyDescent="0.35">
      <c r="A93">
        <v>885</v>
      </c>
      <c r="B93" t="s">
        <v>11</v>
      </c>
      <c r="C93" t="s">
        <v>12</v>
      </c>
      <c r="D93" t="s">
        <v>136</v>
      </c>
      <c r="E93" t="s">
        <v>137</v>
      </c>
      <c r="F93" t="s">
        <v>138</v>
      </c>
      <c r="H93" t="s">
        <v>16</v>
      </c>
      <c r="J93" t="s">
        <v>16</v>
      </c>
      <c r="K93" t="s">
        <v>21</v>
      </c>
    </row>
    <row r="94" spans="1:11" ht="15.5" x14ac:dyDescent="0.35">
      <c r="A94">
        <v>885</v>
      </c>
      <c r="B94" t="s">
        <v>11</v>
      </c>
      <c r="C94" t="s">
        <v>12</v>
      </c>
      <c r="D94" t="s">
        <v>139</v>
      </c>
      <c r="E94" t="s">
        <v>30</v>
      </c>
      <c r="F94" t="s">
        <v>31</v>
      </c>
      <c r="H94" t="s">
        <v>16</v>
      </c>
      <c r="J94" t="s">
        <v>16</v>
      </c>
      <c r="K94" t="s">
        <v>17</v>
      </c>
    </row>
    <row r="95" spans="1:11" ht="15.5" hidden="1" x14ac:dyDescent="0.35">
      <c r="A95">
        <v>885</v>
      </c>
      <c r="B95" t="s">
        <v>11</v>
      </c>
      <c r="C95" t="s">
        <v>12</v>
      </c>
      <c r="D95" t="s">
        <v>140</v>
      </c>
      <c r="E95" t="s">
        <v>129</v>
      </c>
      <c r="F95" t="s">
        <v>130</v>
      </c>
      <c r="H95" t="s">
        <v>16</v>
      </c>
      <c r="J95" t="s">
        <v>16</v>
      </c>
      <c r="K95" t="s">
        <v>21</v>
      </c>
    </row>
    <row r="96" spans="1:11" ht="15.5" hidden="1" x14ac:dyDescent="0.35">
      <c r="A96">
        <v>885</v>
      </c>
      <c r="B96" t="s">
        <v>11</v>
      </c>
      <c r="C96" t="s">
        <v>12</v>
      </c>
      <c r="D96" t="s">
        <v>141</v>
      </c>
      <c r="E96" t="s">
        <v>118</v>
      </c>
      <c r="F96" t="s">
        <v>119</v>
      </c>
      <c r="H96" t="s">
        <v>16</v>
      </c>
      <c r="J96" t="s">
        <v>16</v>
      </c>
      <c r="K96" t="s">
        <v>21</v>
      </c>
    </row>
    <row r="97" spans="1:11" ht="15.5" x14ac:dyDescent="0.35">
      <c r="A97">
        <v>885</v>
      </c>
      <c r="B97" t="s">
        <v>11</v>
      </c>
      <c r="C97" t="s">
        <v>12</v>
      </c>
      <c r="D97" t="s">
        <v>142</v>
      </c>
      <c r="E97" t="s">
        <v>30</v>
      </c>
      <c r="F97" t="s">
        <v>31</v>
      </c>
      <c r="H97" t="s">
        <v>16</v>
      </c>
      <c r="J97" t="s">
        <v>16</v>
      </c>
      <c r="K97" t="s">
        <v>17</v>
      </c>
    </row>
    <row r="98" spans="1:11" ht="15.5" hidden="1" x14ac:dyDescent="0.35">
      <c r="A98">
        <v>885</v>
      </c>
      <c r="B98" t="s">
        <v>11</v>
      </c>
      <c r="C98" t="s">
        <v>12</v>
      </c>
      <c r="D98" t="s">
        <v>143</v>
      </c>
      <c r="E98" t="s">
        <v>115</v>
      </c>
      <c r="F98" t="s">
        <v>116</v>
      </c>
      <c r="H98" t="s">
        <v>16</v>
      </c>
      <c r="J98" t="s">
        <v>16</v>
      </c>
      <c r="K98" t="s">
        <v>21</v>
      </c>
    </row>
    <row r="99" spans="1:11" ht="15.5" hidden="1" x14ac:dyDescent="0.35">
      <c r="A99">
        <v>885</v>
      </c>
      <c r="B99" t="s">
        <v>11</v>
      </c>
      <c r="C99" t="s">
        <v>12</v>
      </c>
      <c r="D99" t="s">
        <v>144</v>
      </c>
      <c r="E99" t="s">
        <v>79</v>
      </c>
      <c r="F99" t="s">
        <v>92</v>
      </c>
      <c r="H99" t="s">
        <v>16</v>
      </c>
      <c r="J99" t="s">
        <v>16</v>
      </c>
      <c r="K99" t="s">
        <v>80</v>
      </c>
    </row>
    <row r="100" spans="1:11" ht="15.5" hidden="1" x14ac:dyDescent="0.35">
      <c r="A100">
        <v>885</v>
      </c>
      <c r="B100" t="s">
        <v>11</v>
      </c>
      <c r="C100" t="s">
        <v>12</v>
      </c>
      <c r="D100" t="s">
        <v>145</v>
      </c>
      <c r="E100" t="s">
        <v>122</v>
      </c>
      <c r="F100" t="s">
        <v>123</v>
      </c>
      <c r="H100" t="s">
        <v>16</v>
      </c>
      <c r="J100" t="s">
        <v>16</v>
      </c>
      <c r="K100" t="s">
        <v>21</v>
      </c>
    </row>
    <row r="101" spans="1:11" ht="15.5" hidden="1" x14ac:dyDescent="0.35">
      <c r="A101">
        <v>885</v>
      </c>
      <c r="B101" t="s">
        <v>11</v>
      </c>
      <c r="C101" t="s">
        <v>12</v>
      </c>
      <c r="D101" t="s">
        <v>146</v>
      </c>
      <c r="E101" t="s">
        <v>122</v>
      </c>
      <c r="F101" t="s">
        <v>123</v>
      </c>
      <c r="H101" t="s">
        <v>16</v>
      </c>
      <c r="J101" t="s">
        <v>16</v>
      </c>
      <c r="K101" t="s">
        <v>21</v>
      </c>
    </row>
    <row r="102" spans="1:11" ht="15.5" x14ac:dyDescent="0.35">
      <c r="A102">
        <v>885</v>
      </c>
      <c r="B102" t="s">
        <v>11</v>
      </c>
      <c r="C102" t="s">
        <v>12</v>
      </c>
      <c r="D102" t="s">
        <v>147</v>
      </c>
      <c r="E102" t="s">
        <v>30</v>
      </c>
      <c r="F102" t="s">
        <v>31</v>
      </c>
      <c r="H102" t="s">
        <v>16</v>
      </c>
      <c r="J102" t="s">
        <v>16</v>
      </c>
      <c r="K102" t="s">
        <v>17</v>
      </c>
    </row>
    <row r="103" spans="1:11" ht="15.5" hidden="1" x14ac:dyDescent="0.35">
      <c r="A103">
        <v>885</v>
      </c>
      <c r="B103" t="s">
        <v>11</v>
      </c>
      <c r="C103" t="s">
        <v>12</v>
      </c>
      <c r="D103" t="s">
        <v>148</v>
      </c>
      <c r="E103" t="s">
        <v>129</v>
      </c>
      <c r="F103" t="s">
        <v>130</v>
      </c>
      <c r="H103" t="s">
        <v>16</v>
      </c>
      <c r="J103" t="s">
        <v>16</v>
      </c>
      <c r="K103" t="s">
        <v>21</v>
      </c>
    </row>
    <row r="104" spans="1:11" ht="15.5" hidden="1" x14ac:dyDescent="0.35">
      <c r="A104">
        <v>885</v>
      </c>
      <c r="B104" t="s">
        <v>11</v>
      </c>
      <c r="C104" t="s">
        <v>12</v>
      </c>
      <c r="D104" t="s">
        <v>149</v>
      </c>
      <c r="E104" t="s">
        <v>118</v>
      </c>
      <c r="F104" t="s">
        <v>119</v>
      </c>
      <c r="H104" t="s">
        <v>16</v>
      </c>
      <c r="J104" t="s">
        <v>16</v>
      </c>
      <c r="K104" t="s">
        <v>21</v>
      </c>
    </row>
    <row r="105" spans="1:11" ht="15.5" x14ac:dyDescent="0.35">
      <c r="A105">
        <v>885</v>
      </c>
      <c r="B105" t="s">
        <v>11</v>
      </c>
      <c r="C105" t="s">
        <v>12</v>
      </c>
      <c r="D105" t="s">
        <v>150</v>
      </c>
      <c r="E105" t="s">
        <v>82</v>
      </c>
      <c r="F105" t="s">
        <v>15</v>
      </c>
      <c r="H105" t="s">
        <v>16</v>
      </c>
      <c r="J105" t="s">
        <v>16</v>
      </c>
      <c r="K105" t="s">
        <v>17</v>
      </c>
    </row>
    <row r="106" spans="1:11" ht="15.5" hidden="1" x14ac:dyDescent="0.35">
      <c r="A106">
        <v>885</v>
      </c>
      <c r="B106" t="s">
        <v>11</v>
      </c>
      <c r="C106" t="s">
        <v>12</v>
      </c>
      <c r="D106" t="s">
        <v>151</v>
      </c>
      <c r="E106" t="s">
        <v>129</v>
      </c>
      <c r="F106" t="s">
        <v>130</v>
      </c>
      <c r="H106" t="s">
        <v>16</v>
      </c>
      <c r="J106" t="s">
        <v>16</v>
      </c>
      <c r="K106" t="s">
        <v>21</v>
      </c>
    </row>
    <row r="107" spans="1:11" ht="15.5" x14ac:dyDescent="0.35">
      <c r="A107">
        <v>885</v>
      </c>
      <c r="B107" t="s">
        <v>11</v>
      </c>
      <c r="C107" t="s">
        <v>12</v>
      </c>
      <c r="D107" t="s">
        <v>152</v>
      </c>
      <c r="E107" t="s">
        <v>79</v>
      </c>
      <c r="F107" t="s">
        <v>97</v>
      </c>
      <c r="H107" t="s">
        <v>16</v>
      </c>
      <c r="J107" t="s">
        <v>16</v>
      </c>
      <c r="K107" t="s">
        <v>80</v>
      </c>
    </row>
    <row r="108" spans="1:11" ht="15.5" hidden="1" x14ac:dyDescent="0.35">
      <c r="A108">
        <v>885</v>
      </c>
      <c r="B108" t="s">
        <v>11</v>
      </c>
      <c r="C108" t="s">
        <v>12</v>
      </c>
      <c r="D108" t="s">
        <v>153</v>
      </c>
      <c r="E108" t="s">
        <v>122</v>
      </c>
      <c r="F108" t="s">
        <v>123</v>
      </c>
      <c r="H108" t="s">
        <v>16</v>
      </c>
      <c r="J108" t="s">
        <v>16</v>
      </c>
      <c r="K108" t="s">
        <v>21</v>
      </c>
    </row>
    <row r="109" spans="1:11" ht="15.5" hidden="1" x14ac:dyDescent="0.35">
      <c r="A109">
        <v>885</v>
      </c>
      <c r="B109" t="s">
        <v>11</v>
      </c>
      <c r="C109" t="s">
        <v>12</v>
      </c>
      <c r="D109" t="s">
        <v>154</v>
      </c>
      <c r="E109" t="s">
        <v>122</v>
      </c>
      <c r="F109" t="s">
        <v>123</v>
      </c>
      <c r="H109" t="s">
        <v>16</v>
      </c>
      <c r="J109" t="s">
        <v>16</v>
      </c>
      <c r="K109" t="s">
        <v>21</v>
      </c>
    </row>
    <row r="110" spans="1:11" ht="15.5" x14ac:dyDescent="0.35">
      <c r="A110">
        <v>885</v>
      </c>
      <c r="B110" t="s">
        <v>11</v>
      </c>
      <c r="C110" t="s">
        <v>12</v>
      </c>
      <c r="D110" t="s">
        <v>155</v>
      </c>
      <c r="E110" t="s">
        <v>156</v>
      </c>
      <c r="F110" t="s">
        <v>15</v>
      </c>
      <c r="H110" t="s">
        <v>16</v>
      </c>
      <c r="J110" t="s">
        <v>16</v>
      </c>
      <c r="K110" t="s">
        <v>17</v>
      </c>
    </row>
    <row r="111" spans="1:11" ht="15.5" hidden="1" x14ac:dyDescent="0.35">
      <c r="A111">
        <v>885</v>
      </c>
      <c r="B111" t="s">
        <v>11</v>
      </c>
      <c r="C111" t="s">
        <v>12</v>
      </c>
      <c r="D111" t="s">
        <v>157</v>
      </c>
      <c r="E111" t="s">
        <v>129</v>
      </c>
      <c r="F111" t="s">
        <v>130</v>
      </c>
      <c r="H111" t="s">
        <v>16</v>
      </c>
      <c r="J111" t="s">
        <v>16</v>
      </c>
      <c r="K111" t="s">
        <v>21</v>
      </c>
    </row>
    <row r="112" spans="1:11" ht="15.5" hidden="1" x14ac:dyDescent="0.35">
      <c r="A112">
        <v>885</v>
      </c>
      <c r="B112" t="s">
        <v>11</v>
      </c>
      <c r="C112" t="s">
        <v>12</v>
      </c>
      <c r="D112" t="s">
        <v>158</v>
      </c>
      <c r="E112" t="s">
        <v>90</v>
      </c>
      <c r="F112" t="s">
        <v>91</v>
      </c>
      <c r="H112" t="s">
        <v>16</v>
      </c>
      <c r="J112" t="s">
        <v>16</v>
      </c>
      <c r="K112" t="s">
        <v>21</v>
      </c>
    </row>
    <row r="113" spans="1:11" ht="15.5" hidden="1" x14ac:dyDescent="0.35">
      <c r="A113">
        <v>885</v>
      </c>
      <c r="B113" t="s">
        <v>11</v>
      </c>
      <c r="C113" t="s">
        <v>12</v>
      </c>
      <c r="D113" t="s">
        <v>96</v>
      </c>
      <c r="E113" t="s">
        <v>79</v>
      </c>
      <c r="F113" t="s">
        <v>92</v>
      </c>
      <c r="H113" t="s">
        <v>16</v>
      </c>
      <c r="J113" t="s">
        <v>16</v>
      </c>
      <c r="K113" t="s">
        <v>80</v>
      </c>
    </row>
    <row r="114" spans="1:11" ht="15.5" hidden="1" x14ac:dyDescent="0.35">
      <c r="A114">
        <v>885</v>
      </c>
      <c r="B114" t="s">
        <v>11</v>
      </c>
      <c r="C114" t="s">
        <v>12</v>
      </c>
      <c r="D114" t="s">
        <v>159</v>
      </c>
      <c r="E114" t="s">
        <v>129</v>
      </c>
      <c r="F114" t="s">
        <v>130</v>
      </c>
      <c r="H114" t="s">
        <v>16</v>
      </c>
      <c r="J114" t="s">
        <v>16</v>
      </c>
      <c r="K114" t="s">
        <v>21</v>
      </c>
    </row>
    <row r="115" spans="1:11" ht="15.5" x14ac:dyDescent="0.35">
      <c r="A115">
        <v>885</v>
      </c>
      <c r="B115" t="s">
        <v>11</v>
      </c>
      <c r="C115" t="s">
        <v>12</v>
      </c>
      <c r="D115" t="s">
        <v>160</v>
      </c>
      <c r="E115" t="s">
        <v>79</v>
      </c>
      <c r="F115" t="s">
        <v>97</v>
      </c>
      <c r="H115" t="s">
        <v>16</v>
      </c>
      <c r="J115" t="s">
        <v>16</v>
      </c>
      <c r="K115" t="s">
        <v>80</v>
      </c>
    </row>
    <row r="116" spans="1:11" ht="15.5" hidden="1" x14ac:dyDescent="0.35">
      <c r="A116">
        <v>885</v>
      </c>
      <c r="B116" t="s">
        <v>11</v>
      </c>
      <c r="C116" t="s">
        <v>12</v>
      </c>
      <c r="D116" t="s">
        <v>161</v>
      </c>
      <c r="E116" t="s">
        <v>90</v>
      </c>
      <c r="F116" t="s">
        <v>91</v>
      </c>
      <c r="H116" t="s">
        <v>16</v>
      </c>
      <c r="J116" t="s">
        <v>16</v>
      </c>
      <c r="K116" t="s">
        <v>21</v>
      </c>
    </row>
    <row r="117" spans="1:11" ht="15.5" hidden="1" x14ac:dyDescent="0.35">
      <c r="A117">
        <v>885</v>
      </c>
      <c r="B117" t="s">
        <v>11</v>
      </c>
      <c r="C117" t="s">
        <v>12</v>
      </c>
      <c r="D117" t="s">
        <v>162</v>
      </c>
      <c r="E117" t="s">
        <v>122</v>
      </c>
      <c r="F117" t="s">
        <v>123</v>
      </c>
      <c r="H117" t="s">
        <v>16</v>
      </c>
      <c r="J117" t="s">
        <v>16</v>
      </c>
      <c r="K117" t="s">
        <v>21</v>
      </c>
    </row>
    <row r="118" spans="1:11" ht="15.5" hidden="1" x14ac:dyDescent="0.35">
      <c r="A118">
        <v>885</v>
      </c>
      <c r="B118" t="s">
        <v>11</v>
      </c>
      <c r="C118" t="s">
        <v>12</v>
      </c>
      <c r="D118" t="s">
        <v>152</v>
      </c>
      <c r="E118" t="s">
        <v>79</v>
      </c>
      <c r="F118" t="s">
        <v>92</v>
      </c>
      <c r="H118" t="s">
        <v>16</v>
      </c>
      <c r="J118" t="s">
        <v>16</v>
      </c>
      <c r="K118" t="s">
        <v>80</v>
      </c>
    </row>
    <row r="119" spans="1:11" ht="15.5" hidden="1" x14ac:dyDescent="0.35">
      <c r="A119">
        <v>885</v>
      </c>
      <c r="B119" t="s">
        <v>11</v>
      </c>
      <c r="C119" t="s">
        <v>12</v>
      </c>
      <c r="D119" t="s">
        <v>163</v>
      </c>
      <c r="E119" t="s">
        <v>129</v>
      </c>
      <c r="F119" t="s">
        <v>130</v>
      </c>
      <c r="H119" t="s">
        <v>16</v>
      </c>
      <c r="J119" t="s">
        <v>16</v>
      </c>
      <c r="K119" t="s">
        <v>21</v>
      </c>
    </row>
    <row r="120" spans="1:11" ht="15.5" hidden="1" x14ac:dyDescent="0.35">
      <c r="A120">
        <v>885</v>
      </c>
      <c r="B120" t="s">
        <v>11</v>
      </c>
      <c r="C120" t="s">
        <v>12</v>
      </c>
      <c r="D120" t="s">
        <v>164</v>
      </c>
      <c r="E120" t="s">
        <v>90</v>
      </c>
      <c r="F120" t="s">
        <v>91</v>
      </c>
      <c r="H120" t="s">
        <v>16</v>
      </c>
      <c r="J120" t="s">
        <v>16</v>
      </c>
      <c r="K120" t="s">
        <v>21</v>
      </c>
    </row>
    <row r="121" spans="1:11" ht="15.5" hidden="1" x14ac:dyDescent="0.35">
      <c r="A121">
        <v>885</v>
      </c>
      <c r="B121" t="s">
        <v>11</v>
      </c>
      <c r="C121" t="s">
        <v>12</v>
      </c>
      <c r="D121" t="s">
        <v>165</v>
      </c>
      <c r="E121" t="s">
        <v>79</v>
      </c>
      <c r="F121" t="s">
        <v>92</v>
      </c>
      <c r="H121" t="s">
        <v>16</v>
      </c>
      <c r="J121" t="s">
        <v>16</v>
      </c>
      <c r="K121" t="s">
        <v>80</v>
      </c>
    </row>
    <row r="122" spans="1:11" ht="15.5" hidden="1" x14ac:dyDescent="0.35">
      <c r="A122">
        <v>885</v>
      </c>
      <c r="B122" t="s">
        <v>11</v>
      </c>
      <c r="C122" t="s">
        <v>12</v>
      </c>
      <c r="D122" t="s">
        <v>166</v>
      </c>
      <c r="E122" t="s">
        <v>129</v>
      </c>
      <c r="F122" t="s">
        <v>130</v>
      </c>
      <c r="H122" t="s">
        <v>16</v>
      </c>
      <c r="J122" t="s">
        <v>16</v>
      </c>
      <c r="K122" t="s">
        <v>21</v>
      </c>
    </row>
    <row r="123" spans="1:11" ht="15.5" x14ac:dyDescent="0.35">
      <c r="A123">
        <v>885</v>
      </c>
      <c r="B123" t="s">
        <v>11</v>
      </c>
      <c r="C123" t="s">
        <v>12</v>
      </c>
      <c r="D123" t="s">
        <v>105</v>
      </c>
      <c r="E123" t="s">
        <v>79</v>
      </c>
      <c r="F123" t="s">
        <v>15</v>
      </c>
      <c r="H123" t="s">
        <v>16</v>
      </c>
      <c r="J123" t="s">
        <v>16</v>
      </c>
      <c r="K123" t="s">
        <v>80</v>
      </c>
    </row>
    <row r="124" spans="1:11" ht="15.5" hidden="1" x14ac:dyDescent="0.35">
      <c r="A124">
        <v>885</v>
      </c>
      <c r="B124" t="s">
        <v>11</v>
      </c>
      <c r="C124" t="s">
        <v>12</v>
      </c>
      <c r="D124" t="s">
        <v>167</v>
      </c>
      <c r="E124" t="s">
        <v>90</v>
      </c>
      <c r="F124" t="s">
        <v>91</v>
      </c>
      <c r="H124" t="s">
        <v>16</v>
      </c>
      <c r="J124" t="s">
        <v>16</v>
      </c>
      <c r="K124" t="s">
        <v>21</v>
      </c>
    </row>
    <row r="125" spans="1:11" ht="15.5" hidden="1" x14ac:dyDescent="0.35">
      <c r="A125">
        <v>885</v>
      </c>
      <c r="B125" t="s">
        <v>11</v>
      </c>
      <c r="C125" t="s">
        <v>12</v>
      </c>
      <c r="D125" t="s">
        <v>168</v>
      </c>
      <c r="E125" t="s">
        <v>122</v>
      </c>
      <c r="F125" t="s">
        <v>123</v>
      </c>
      <c r="H125" t="s">
        <v>16</v>
      </c>
      <c r="J125" t="s">
        <v>16</v>
      </c>
      <c r="K125" t="s">
        <v>21</v>
      </c>
    </row>
    <row r="126" spans="1:11" ht="15.5" hidden="1" x14ac:dyDescent="0.35">
      <c r="A126">
        <v>885</v>
      </c>
      <c r="B126" t="s">
        <v>11</v>
      </c>
      <c r="C126" t="s">
        <v>12</v>
      </c>
      <c r="D126" t="s">
        <v>160</v>
      </c>
      <c r="E126" t="s">
        <v>79</v>
      </c>
      <c r="F126" t="s">
        <v>92</v>
      </c>
      <c r="H126" t="s">
        <v>16</v>
      </c>
      <c r="J126" t="s">
        <v>16</v>
      </c>
      <c r="K126" t="s">
        <v>80</v>
      </c>
    </row>
    <row r="127" spans="1:11" ht="15.5" hidden="1" x14ac:dyDescent="0.35">
      <c r="A127">
        <v>885</v>
      </c>
      <c r="B127" t="s">
        <v>11</v>
      </c>
      <c r="C127" t="s">
        <v>12</v>
      </c>
      <c r="D127" t="s">
        <v>169</v>
      </c>
      <c r="E127" t="s">
        <v>129</v>
      </c>
      <c r="F127" t="s">
        <v>130</v>
      </c>
      <c r="H127" t="s">
        <v>16</v>
      </c>
      <c r="J127" t="s">
        <v>16</v>
      </c>
      <c r="K127" t="s">
        <v>21</v>
      </c>
    </row>
    <row r="128" spans="1:11" ht="15.5" hidden="1" x14ac:dyDescent="0.35">
      <c r="A128">
        <v>885</v>
      </c>
      <c r="B128" t="s">
        <v>11</v>
      </c>
      <c r="C128" t="s">
        <v>12</v>
      </c>
      <c r="D128" t="s">
        <v>170</v>
      </c>
      <c r="E128" t="s">
        <v>90</v>
      </c>
      <c r="F128" t="s">
        <v>91</v>
      </c>
      <c r="H128" t="s">
        <v>16</v>
      </c>
      <c r="J128" t="s">
        <v>16</v>
      </c>
      <c r="K128" t="s">
        <v>21</v>
      </c>
    </row>
    <row r="129" spans="1:11" ht="15.5" hidden="1" x14ac:dyDescent="0.35">
      <c r="A129">
        <v>885</v>
      </c>
      <c r="B129" t="s">
        <v>11</v>
      </c>
      <c r="C129" t="s">
        <v>12</v>
      </c>
      <c r="D129" t="s">
        <v>171</v>
      </c>
      <c r="E129" t="s">
        <v>122</v>
      </c>
      <c r="F129" t="s">
        <v>123</v>
      </c>
      <c r="H129" t="s">
        <v>16</v>
      </c>
      <c r="J129" t="s">
        <v>16</v>
      </c>
      <c r="K129" t="s">
        <v>21</v>
      </c>
    </row>
    <row r="130" spans="1:11" ht="15.5" x14ac:dyDescent="0.35">
      <c r="A130">
        <v>885</v>
      </c>
      <c r="B130" t="s">
        <v>11</v>
      </c>
      <c r="C130" t="s">
        <v>12</v>
      </c>
      <c r="D130" t="s">
        <v>172</v>
      </c>
      <c r="E130" t="s">
        <v>173</v>
      </c>
      <c r="F130" t="s">
        <v>37</v>
      </c>
      <c r="H130" t="s">
        <v>16</v>
      </c>
      <c r="J130" t="s">
        <v>16</v>
      </c>
      <c r="K130" t="s">
        <v>174</v>
      </c>
    </row>
    <row r="131" spans="1:11" ht="15.5" hidden="1" x14ac:dyDescent="0.35">
      <c r="A131">
        <v>885</v>
      </c>
      <c r="B131" t="s">
        <v>11</v>
      </c>
      <c r="C131" t="s">
        <v>12</v>
      </c>
      <c r="D131" t="s">
        <v>175</v>
      </c>
      <c r="E131" t="s">
        <v>79</v>
      </c>
      <c r="F131" t="s">
        <v>92</v>
      </c>
      <c r="H131" t="s">
        <v>16</v>
      </c>
      <c r="J131" t="s">
        <v>16</v>
      </c>
      <c r="K131" t="s">
        <v>80</v>
      </c>
    </row>
    <row r="132" spans="1:11" ht="15.5" hidden="1" x14ac:dyDescent="0.35">
      <c r="A132">
        <v>885</v>
      </c>
      <c r="B132" t="s">
        <v>11</v>
      </c>
      <c r="C132" t="s">
        <v>12</v>
      </c>
      <c r="D132" t="s">
        <v>176</v>
      </c>
      <c r="E132" t="s">
        <v>115</v>
      </c>
      <c r="F132" t="s">
        <v>116</v>
      </c>
      <c r="H132" t="s">
        <v>16</v>
      </c>
      <c r="J132" t="s">
        <v>16</v>
      </c>
      <c r="K132" t="s">
        <v>21</v>
      </c>
    </row>
    <row r="133" spans="1:11" ht="15.5" hidden="1" x14ac:dyDescent="0.35">
      <c r="A133">
        <v>885</v>
      </c>
      <c r="B133" t="s">
        <v>11</v>
      </c>
      <c r="C133" t="s">
        <v>12</v>
      </c>
      <c r="D133" t="s">
        <v>177</v>
      </c>
      <c r="E133" t="s">
        <v>115</v>
      </c>
      <c r="F133" t="s">
        <v>116</v>
      </c>
      <c r="H133" t="s">
        <v>16</v>
      </c>
      <c r="J133" t="s">
        <v>16</v>
      </c>
      <c r="K133" t="s">
        <v>21</v>
      </c>
    </row>
    <row r="134" spans="1:11" ht="15.5" hidden="1" x14ac:dyDescent="0.35">
      <c r="A134">
        <v>885</v>
      </c>
      <c r="B134" t="s">
        <v>11</v>
      </c>
      <c r="C134" t="s">
        <v>12</v>
      </c>
      <c r="D134" t="s">
        <v>101</v>
      </c>
      <c r="E134" t="s">
        <v>79</v>
      </c>
      <c r="F134" t="s">
        <v>92</v>
      </c>
      <c r="H134" t="s">
        <v>16</v>
      </c>
      <c r="J134" t="s">
        <v>16</v>
      </c>
      <c r="K134" t="s">
        <v>80</v>
      </c>
    </row>
    <row r="135" spans="1:11" ht="15.5" hidden="1" x14ac:dyDescent="0.35">
      <c r="A135">
        <v>885</v>
      </c>
      <c r="B135" t="s">
        <v>11</v>
      </c>
      <c r="C135" t="s">
        <v>12</v>
      </c>
      <c r="D135" t="s">
        <v>178</v>
      </c>
      <c r="E135" t="s">
        <v>179</v>
      </c>
      <c r="F135" t="s">
        <v>180</v>
      </c>
      <c r="H135" t="s">
        <v>16</v>
      </c>
      <c r="J135" t="s">
        <v>16</v>
      </c>
      <c r="K135" t="s">
        <v>181</v>
      </c>
    </row>
    <row r="136" spans="1:11" ht="15.5" hidden="1" x14ac:dyDescent="0.35">
      <c r="A136">
        <v>885</v>
      </c>
      <c r="B136" t="s">
        <v>11</v>
      </c>
      <c r="C136" t="s">
        <v>12</v>
      </c>
      <c r="D136" t="s">
        <v>182</v>
      </c>
      <c r="E136" t="s">
        <v>115</v>
      </c>
      <c r="F136" t="s">
        <v>116</v>
      </c>
      <c r="H136" t="s">
        <v>16</v>
      </c>
      <c r="J136" t="s">
        <v>16</v>
      </c>
      <c r="K136" t="s">
        <v>21</v>
      </c>
    </row>
    <row r="137" spans="1:11" ht="15.5" hidden="1" x14ac:dyDescent="0.35">
      <c r="A137">
        <v>885</v>
      </c>
      <c r="B137" t="s">
        <v>11</v>
      </c>
      <c r="C137" t="s">
        <v>12</v>
      </c>
      <c r="D137" t="s">
        <v>183</v>
      </c>
      <c r="E137" t="s">
        <v>122</v>
      </c>
      <c r="F137" t="s">
        <v>123</v>
      </c>
      <c r="H137" t="s">
        <v>16</v>
      </c>
      <c r="J137" t="s">
        <v>16</v>
      </c>
      <c r="K137" t="s">
        <v>21</v>
      </c>
    </row>
    <row r="138" spans="1:11" ht="15.5" x14ac:dyDescent="0.35">
      <c r="A138">
        <v>885</v>
      </c>
      <c r="B138" t="s">
        <v>11</v>
      </c>
      <c r="C138" t="s">
        <v>12</v>
      </c>
      <c r="D138" t="s">
        <v>165</v>
      </c>
      <c r="E138" t="s">
        <v>79</v>
      </c>
      <c r="F138" t="s">
        <v>15</v>
      </c>
      <c r="H138" t="s">
        <v>16</v>
      </c>
      <c r="J138" t="s">
        <v>16</v>
      </c>
      <c r="K138" t="s">
        <v>80</v>
      </c>
    </row>
    <row r="139" spans="1:11" ht="15.5" hidden="1" x14ac:dyDescent="0.35">
      <c r="A139">
        <v>885</v>
      </c>
      <c r="B139" t="s">
        <v>11</v>
      </c>
      <c r="C139" t="s">
        <v>12</v>
      </c>
      <c r="D139" t="s">
        <v>184</v>
      </c>
      <c r="E139" t="s">
        <v>118</v>
      </c>
      <c r="F139" t="s">
        <v>119</v>
      </c>
      <c r="H139" t="s">
        <v>16</v>
      </c>
      <c r="J139" t="s">
        <v>16</v>
      </c>
      <c r="K139" t="s">
        <v>21</v>
      </c>
    </row>
    <row r="140" spans="1:11" ht="15.5" hidden="1" x14ac:dyDescent="0.35">
      <c r="A140">
        <v>885</v>
      </c>
      <c r="B140" t="s">
        <v>11</v>
      </c>
      <c r="C140" t="s">
        <v>12</v>
      </c>
      <c r="D140" t="s">
        <v>185</v>
      </c>
      <c r="E140" t="s">
        <v>129</v>
      </c>
      <c r="F140" t="s">
        <v>130</v>
      </c>
      <c r="H140" t="s">
        <v>16</v>
      </c>
      <c r="J140" t="s">
        <v>16</v>
      </c>
      <c r="K140" t="s">
        <v>21</v>
      </c>
    </row>
    <row r="141" spans="1:11" ht="15.5" hidden="1" x14ac:dyDescent="0.35">
      <c r="A141">
        <v>885</v>
      </c>
      <c r="B141" t="s">
        <v>11</v>
      </c>
      <c r="C141" t="s">
        <v>12</v>
      </c>
      <c r="D141" t="s">
        <v>186</v>
      </c>
      <c r="E141" t="s">
        <v>115</v>
      </c>
      <c r="F141" t="s">
        <v>116</v>
      </c>
      <c r="H141" t="s">
        <v>16</v>
      </c>
      <c r="J141" t="s">
        <v>16</v>
      </c>
      <c r="K141" t="s">
        <v>21</v>
      </c>
    </row>
    <row r="142" spans="1:11" ht="15.5" hidden="1" x14ac:dyDescent="0.35">
      <c r="A142">
        <v>885</v>
      </c>
      <c r="B142" t="s">
        <v>11</v>
      </c>
      <c r="C142" t="s">
        <v>12</v>
      </c>
      <c r="D142" t="s">
        <v>187</v>
      </c>
      <c r="E142" t="s">
        <v>118</v>
      </c>
      <c r="F142" t="s">
        <v>119</v>
      </c>
      <c r="H142" t="s">
        <v>16</v>
      </c>
      <c r="J142" t="s">
        <v>16</v>
      </c>
      <c r="K142" t="s">
        <v>21</v>
      </c>
    </row>
    <row r="143" spans="1:11" ht="15.5" hidden="1" x14ac:dyDescent="0.35">
      <c r="A143">
        <v>885</v>
      </c>
      <c r="B143" t="s">
        <v>11</v>
      </c>
      <c r="C143" t="s">
        <v>12</v>
      </c>
      <c r="D143" t="s">
        <v>188</v>
      </c>
      <c r="E143" t="s">
        <v>189</v>
      </c>
      <c r="F143" t="s">
        <v>190</v>
      </c>
      <c r="H143" t="s">
        <v>16</v>
      </c>
      <c r="J143" t="s">
        <v>16</v>
      </c>
      <c r="K143" t="s">
        <v>21</v>
      </c>
    </row>
    <row r="144" spans="1:11" ht="15.5" hidden="1" x14ac:dyDescent="0.35">
      <c r="A144">
        <v>885</v>
      </c>
      <c r="B144" t="s">
        <v>11</v>
      </c>
      <c r="C144" t="s">
        <v>12</v>
      </c>
      <c r="D144" t="s">
        <v>191</v>
      </c>
      <c r="E144" t="s">
        <v>129</v>
      </c>
      <c r="F144" t="s">
        <v>130</v>
      </c>
      <c r="H144" t="s">
        <v>16</v>
      </c>
      <c r="J144" t="s">
        <v>16</v>
      </c>
      <c r="K144" t="s">
        <v>21</v>
      </c>
    </row>
    <row r="145" spans="1:11" ht="15.5" hidden="1" x14ac:dyDescent="0.35">
      <c r="A145">
        <v>885</v>
      </c>
      <c r="B145" t="s">
        <v>11</v>
      </c>
      <c r="C145" t="s">
        <v>12</v>
      </c>
      <c r="D145" t="s">
        <v>192</v>
      </c>
      <c r="E145" t="s">
        <v>122</v>
      </c>
      <c r="F145" t="s">
        <v>123</v>
      </c>
      <c r="H145" t="s">
        <v>16</v>
      </c>
      <c r="J145" t="s">
        <v>16</v>
      </c>
      <c r="K145" t="s">
        <v>21</v>
      </c>
    </row>
    <row r="146" spans="1:11" ht="15.5" hidden="1" x14ac:dyDescent="0.35">
      <c r="A146">
        <v>885</v>
      </c>
      <c r="B146" t="s">
        <v>11</v>
      </c>
      <c r="C146" t="s">
        <v>12</v>
      </c>
      <c r="D146" t="s">
        <v>193</v>
      </c>
      <c r="E146" t="s">
        <v>118</v>
      </c>
      <c r="F146" t="s">
        <v>119</v>
      </c>
      <c r="H146" t="s">
        <v>16</v>
      </c>
      <c r="J146" t="s">
        <v>16</v>
      </c>
      <c r="K146" t="s">
        <v>21</v>
      </c>
    </row>
    <row r="147" spans="1:11" ht="15.5" hidden="1" x14ac:dyDescent="0.35">
      <c r="A147">
        <v>885</v>
      </c>
      <c r="B147" t="s">
        <v>11</v>
      </c>
      <c r="C147" t="s">
        <v>12</v>
      </c>
      <c r="D147" t="s">
        <v>194</v>
      </c>
      <c r="E147" t="s">
        <v>122</v>
      </c>
      <c r="F147" t="s">
        <v>123</v>
      </c>
      <c r="H147" t="s">
        <v>16</v>
      </c>
      <c r="J147" t="s">
        <v>16</v>
      </c>
      <c r="K147" t="s">
        <v>21</v>
      </c>
    </row>
    <row r="148" spans="1:11" ht="15.5" hidden="1" x14ac:dyDescent="0.35">
      <c r="A148">
        <v>885</v>
      </c>
      <c r="B148" t="s">
        <v>11</v>
      </c>
      <c r="C148" t="s">
        <v>12</v>
      </c>
      <c r="D148" t="s">
        <v>195</v>
      </c>
      <c r="E148" t="s">
        <v>129</v>
      </c>
      <c r="F148" t="s">
        <v>130</v>
      </c>
      <c r="H148" t="s">
        <v>16</v>
      </c>
      <c r="J148" t="s">
        <v>16</v>
      </c>
      <c r="K148" t="s">
        <v>21</v>
      </c>
    </row>
    <row r="149" spans="1:11" ht="15.5" hidden="1" x14ac:dyDescent="0.35">
      <c r="A149">
        <v>885</v>
      </c>
      <c r="B149" t="s">
        <v>11</v>
      </c>
      <c r="C149" t="s">
        <v>12</v>
      </c>
      <c r="D149" t="s">
        <v>196</v>
      </c>
      <c r="E149" t="s">
        <v>197</v>
      </c>
      <c r="F149" t="s">
        <v>198</v>
      </c>
      <c r="H149" t="s">
        <v>16</v>
      </c>
      <c r="J149" t="s">
        <v>16</v>
      </c>
      <c r="K149" t="s">
        <v>199</v>
      </c>
    </row>
    <row r="150" spans="1:11" ht="15.5" hidden="1" x14ac:dyDescent="0.35">
      <c r="A150">
        <v>885</v>
      </c>
      <c r="B150" t="s">
        <v>11</v>
      </c>
      <c r="C150" t="s">
        <v>12</v>
      </c>
      <c r="D150" t="s">
        <v>200</v>
      </c>
      <c r="E150" t="s">
        <v>122</v>
      </c>
      <c r="F150" t="s">
        <v>123</v>
      </c>
      <c r="H150" t="s">
        <v>16</v>
      </c>
      <c r="J150" t="s">
        <v>16</v>
      </c>
      <c r="K150" t="s">
        <v>21</v>
      </c>
    </row>
    <row r="151" spans="1:11" ht="15.5" hidden="1" x14ac:dyDescent="0.35">
      <c r="A151">
        <v>885</v>
      </c>
      <c r="B151" t="s">
        <v>11</v>
      </c>
      <c r="C151" t="s">
        <v>12</v>
      </c>
      <c r="D151" t="s">
        <v>201</v>
      </c>
      <c r="E151" t="s">
        <v>202</v>
      </c>
      <c r="F151" t="s">
        <v>203</v>
      </c>
      <c r="H151" t="s">
        <v>16</v>
      </c>
      <c r="J151" t="s">
        <v>16</v>
      </c>
      <c r="K151" t="s">
        <v>21</v>
      </c>
    </row>
    <row r="152" spans="1:11" ht="15.5" hidden="1" x14ac:dyDescent="0.35">
      <c r="A152">
        <v>885</v>
      </c>
      <c r="B152" t="s">
        <v>11</v>
      </c>
      <c r="C152" t="s">
        <v>12</v>
      </c>
      <c r="D152" t="s">
        <v>204</v>
      </c>
      <c r="E152" t="s">
        <v>129</v>
      </c>
      <c r="F152" t="s">
        <v>130</v>
      </c>
      <c r="H152" t="s">
        <v>16</v>
      </c>
      <c r="J152" t="s">
        <v>16</v>
      </c>
      <c r="K152" t="s">
        <v>21</v>
      </c>
    </row>
    <row r="153" spans="1:11" ht="15.5" hidden="1" x14ac:dyDescent="0.35">
      <c r="A153">
        <v>885</v>
      </c>
      <c r="B153" t="s">
        <v>11</v>
      </c>
      <c r="C153" t="s">
        <v>12</v>
      </c>
      <c r="D153" t="s">
        <v>205</v>
      </c>
      <c r="E153" t="s">
        <v>122</v>
      </c>
      <c r="F153" t="s">
        <v>123</v>
      </c>
      <c r="H153" t="s">
        <v>16</v>
      </c>
      <c r="J153" t="s">
        <v>16</v>
      </c>
      <c r="K153" t="s">
        <v>21</v>
      </c>
    </row>
    <row r="154" spans="1:11" ht="15.5" hidden="1" x14ac:dyDescent="0.35">
      <c r="A154">
        <v>885</v>
      </c>
      <c r="B154" t="s">
        <v>11</v>
      </c>
      <c r="C154" t="s">
        <v>12</v>
      </c>
      <c r="D154" t="s">
        <v>206</v>
      </c>
      <c r="E154" t="s">
        <v>122</v>
      </c>
      <c r="F154" t="s">
        <v>123</v>
      </c>
      <c r="H154" t="s">
        <v>16</v>
      </c>
      <c r="J154" t="s">
        <v>16</v>
      </c>
      <c r="K154" t="s">
        <v>21</v>
      </c>
    </row>
    <row r="155" spans="1:11" ht="15.5" hidden="1" x14ac:dyDescent="0.35">
      <c r="A155">
        <v>885</v>
      </c>
      <c r="B155" t="s">
        <v>11</v>
      </c>
      <c r="C155" t="s">
        <v>12</v>
      </c>
      <c r="D155" t="s">
        <v>207</v>
      </c>
      <c r="E155" t="s">
        <v>122</v>
      </c>
      <c r="F155" t="s">
        <v>123</v>
      </c>
      <c r="H155" t="s">
        <v>16</v>
      </c>
      <c r="J155" t="s">
        <v>16</v>
      </c>
      <c r="K155" t="s">
        <v>21</v>
      </c>
    </row>
    <row r="156" spans="1:11" ht="15.5" hidden="1" x14ac:dyDescent="0.35">
      <c r="A156">
        <v>885</v>
      </c>
      <c r="B156" t="s">
        <v>11</v>
      </c>
      <c r="C156" t="s">
        <v>12</v>
      </c>
      <c r="D156" t="s">
        <v>208</v>
      </c>
      <c r="E156" t="s">
        <v>129</v>
      </c>
      <c r="F156" t="s">
        <v>130</v>
      </c>
      <c r="H156" t="s">
        <v>16</v>
      </c>
      <c r="J156" t="s">
        <v>16</v>
      </c>
      <c r="K156" t="s">
        <v>21</v>
      </c>
    </row>
    <row r="157" spans="1:11" ht="15.5" x14ac:dyDescent="0.35">
      <c r="A157">
        <v>885</v>
      </c>
      <c r="B157" t="s">
        <v>11</v>
      </c>
      <c r="C157" t="s">
        <v>12</v>
      </c>
      <c r="D157" t="s">
        <v>209</v>
      </c>
      <c r="E157" t="s">
        <v>210</v>
      </c>
      <c r="F157" t="s">
        <v>31</v>
      </c>
      <c r="H157" t="s">
        <v>16</v>
      </c>
      <c r="J157" t="s">
        <v>16</v>
      </c>
      <c r="K157" t="s">
        <v>211</v>
      </c>
    </row>
    <row r="158" spans="1:11" ht="15.5" hidden="1" x14ac:dyDescent="0.35">
      <c r="A158">
        <v>885</v>
      </c>
      <c r="B158" t="s">
        <v>11</v>
      </c>
      <c r="C158" t="s">
        <v>12</v>
      </c>
      <c r="D158" t="s">
        <v>212</v>
      </c>
      <c r="E158" t="s">
        <v>122</v>
      </c>
      <c r="F158" t="s">
        <v>123</v>
      </c>
      <c r="H158" t="s">
        <v>16</v>
      </c>
      <c r="J158" t="s">
        <v>16</v>
      </c>
      <c r="K158" t="s">
        <v>21</v>
      </c>
    </row>
    <row r="159" spans="1:11" ht="15.5" x14ac:dyDescent="0.35">
      <c r="A159">
        <v>885</v>
      </c>
      <c r="B159" t="s">
        <v>11</v>
      </c>
      <c r="C159" t="s">
        <v>12</v>
      </c>
      <c r="D159" t="s">
        <v>213</v>
      </c>
      <c r="E159" t="s">
        <v>210</v>
      </c>
      <c r="F159" t="s">
        <v>31</v>
      </c>
      <c r="H159" t="s">
        <v>16</v>
      </c>
      <c r="J159" t="s">
        <v>16</v>
      </c>
      <c r="K159" t="s">
        <v>211</v>
      </c>
    </row>
    <row r="160" spans="1:11" ht="15.5" hidden="1" x14ac:dyDescent="0.35">
      <c r="A160">
        <v>885</v>
      </c>
      <c r="B160" t="s">
        <v>11</v>
      </c>
      <c r="C160" t="s">
        <v>12</v>
      </c>
      <c r="D160" t="s">
        <v>214</v>
      </c>
      <c r="E160" t="s">
        <v>129</v>
      </c>
      <c r="F160" t="s">
        <v>130</v>
      </c>
      <c r="H160" t="s">
        <v>16</v>
      </c>
      <c r="J160" t="s">
        <v>16</v>
      </c>
      <c r="K160" t="s">
        <v>21</v>
      </c>
    </row>
    <row r="161" spans="1:11" ht="15.5" hidden="1" x14ac:dyDescent="0.35">
      <c r="A161">
        <v>885</v>
      </c>
      <c r="B161" t="s">
        <v>11</v>
      </c>
      <c r="C161" t="s">
        <v>12</v>
      </c>
      <c r="D161" t="s">
        <v>215</v>
      </c>
      <c r="E161" t="s">
        <v>90</v>
      </c>
      <c r="F161" t="s">
        <v>91</v>
      </c>
      <c r="H161" t="s">
        <v>16</v>
      </c>
      <c r="J161" t="s">
        <v>16</v>
      </c>
      <c r="K161" t="s">
        <v>21</v>
      </c>
    </row>
    <row r="162" spans="1:11" ht="15.5" hidden="1" x14ac:dyDescent="0.35">
      <c r="A162">
        <v>885</v>
      </c>
      <c r="B162" t="s">
        <v>11</v>
      </c>
      <c r="C162" t="s">
        <v>12</v>
      </c>
      <c r="D162" t="s">
        <v>216</v>
      </c>
      <c r="E162" t="s">
        <v>90</v>
      </c>
      <c r="F162" t="s">
        <v>91</v>
      </c>
      <c r="H162" t="s">
        <v>16</v>
      </c>
      <c r="J162" t="s">
        <v>16</v>
      </c>
      <c r="K162" t="s">
        <v>21</v>
      </c>
    </row>
    <row r="163" spans="1:11" ht="15.5" hidden="1" x14ac:dyDescent="0.35">
      <c r="A163">
        <v>885</v>
      </c>
      <c r="B163" t="s">
        <v>11</v>
      </c>
      <c r="C163" t="s">
        <v>12</v>
      </c>
      <c r="D163" t="s">
        <v>217</v>
      </c>
      <c r="E163" t="s">
        <v>122</v>
      </c>
      <c r="F163" t="s">
        <v>123</v>
      </c>
      <c r="H163" t="s">
        <v>16</v>
      </c>
      <c r="J163" t="s">
        <v>16</v>
      </c>
      <c r="K163" t="s">
        <v>21</v>
      </c>
    </row>
    <row r="164" spans="1:11" ht="15.5" hidden="1" x14ac:dyDescent="0.35">
      <c r="A164">
        <v>885</v>
      </c>
      <c r="B164" t="s">
        <v>11</v>
      </c>
      <c r="C164" t="s">
        <v>12</v>
      </c>
      <c r="D164" t="s">
        <v>218</v>
      </c>
      <c r="E164" t="s">
        <v>129</v>
      </c>
      <c r="F164" t="s">
        <v>130</v>
      </c>
      <c r="H164" t="s">
        <v>16</v>
      </c>
      <c r="J164" t="s">
        <v>16</v>
      </c>
      <c r="K164" t="s">
        <v>21</v>
      </c>
    </row>
    <row r="165" spans="1:11" ht="15.5" hidden="1" x14ac:dyDescent="0.35">
      <c r="A165">
        <v>885</v>
      </c>
      <c r="B165" t="s">
        <v>11</v>
      </c>
      <c r="C165" t="s">
        <v>12</v>
      </c>
      <c r="D165" t="s">
        <v>219</v>
      </c>
      <c r="E165" t="s">
        <v>115</v>
      </c>
      <c r="F165" t="s">
        <v>116</v>
      </c>
      <c r="H165" t="s">
        <v>16</v>
      </c>
      <c r="J165" t="s">
        <v>16</v>
      </c>
      <c r="K165" t="s">
        <v>21</v>
      </c>
    </row>
    <row r="166" spans="1:11" ht="15.5" hidden="1" x14ac:dyDescent="0.35">
      <c r="A166">
        <v>885</v>
      </c>
      <c r="B166" t="s">
        <v>11</v>
      </c>
      <c r="C166" t="s">
        <v>12</v>
      </c>
      <c r="D166" t="s">
        <v>220</v>
      </c>
      <c r="E166" t="s">
        <v>90</v>
      </c>
      <c r="F166" t="s">
        <v>91</v>
      </c>
      <c r="H166" t="s">
        <v>16</v>
      </c>
      <c r="J166" t="s">
        <v>16</v>
      </c>
      <c r="K166" t="s">
        <v>21</v>
      </c>
    </row>
    <row r="167" spans="1:11" ht="15.5" hidden="1" x14ac:dyDescent="0.35">
      <c r="A167">
        <v>885</v>
      </c>
      <c r="B167" t="s">
        <v>11</v>
      </c>
      <c r="C167" t="s">
        <v>12</v>
      </c>
      <c r="D167" t="s">
        <v>221</v>
      </c>
      <c r="E167" t="s">
        <v>90</v>
      </c>
      <c r="F167" t="s">
        <v>91</v>
      </c>
      <c r="H167" t="s">
        <v>16</v>
      </c>
      <c r="J167" t="s">
        <v>16</v>
      </c>
      <c r="K167" t="s">
        <v>21</v>
      </c>
    </row>
    <row r="168" spans="1:11" ht="15.5" hidden="1" x14ac:dyDescent="0.35">
      <c r="A168">
        <v>885</v>
      </c>
      <c r="B168" t="s">
        <v>11</v>
      </c>
      <c r="C168" t="s">
        <v>12</v>
      </c>
      <c r="D168" t="s">
        <v>222</v>
      </c>
      <c r="E168" t="s">
        <v>129</v>
      </c>
      <c r="F168" t="s">
        <v>130</v>
      </c>
      <c r="H168" t="s">
        <v>16</v>
      </c>
      <c r="J168" t="s">
        <v>16</v>
      </c>
      <c r="K168" t="s">
        <v>21</v>
      </c>
    </row>
    <row r="169" spans="1:11" ht="15.5" hidden="1" x14ac:dyDescent="0.35">
      <c r="A169">
        <v>885</v>
      </c>
      <c r="B169" t="s">
        <v>11</v>
      </c>
      <c r="C169" t="s">
        <v>12</v>
      </c>
      <c r="D169" t="s">
        <v>223</v>
      </c>
      <c r="E169" t="s">
        <v>129</v>
      </c>
      <c r="F169" t="s">
        <v>130</v>
      </c>
      <c r="H169" t="s">
        <v>16</v>
      </c>
      <c r="J169" t="s">
        <v>16</v>
      </c>
      <c r="K169" t="s">
        <v>21</v>
      </c>
    </row>
    <row r="170" spans="1:11" ht="15.5" hidden="1" x14ac:dyDescent="0.35">
      <c r="A170">
        <v>885</v>
      </c>
      <c r="B170" t="s">
        <v>11</v>
      </c>
      <c r="C170" t="s">
        <v>12</v>
      </c>
      <c r="D170" t="s">
        <v>224</v>
      </c>
      <c r="E170" t="s">
        <v>129</v>
      </c>
      <c r="F170" t="s">
        <v>130</v>
      </c>
      <c r="H170" t="s">
        <v>16</v>
      </c>
      <c r="J170" t="s">
        <v>16</v>
      </c>
      <c r="K170" t="s">
        <v>21</v>
      </c>
    </row>
    <row r="171" spans="1:11" ht="15.5" hidden="1" x14ac:dyDescent="0.35">
      <c r="A171">
        <v>885</v>
      </c>
      <c r="B171" t="s">
        <v>11</v>
      </c>
      <c r="C171" t="s">
        <v>12</v>
      </c>
      <c r="D171" t="s">
        <v>225</v>
      </c>
      <c r="E171" t="s">
        <v>90</v>
      </c>
      <c r="F171" t="s">
        <v>91</v>
      </c>
      <c r="H171" t="s">
        <v>16</v>
      </c>
      <c r="J171" t="s">
        <v>16</v>
      </c>
      <c r="K171" t="s">
        <v>21</v>
      </c>
    </row>
    <row r="172" spans="1:11" ht="15.5" hidden="1" x14ac:dyDescent="0.35">
      <c r="A172">
        <v>885</v>
      </c>
      <c r="B172" t="s">
        <v>11</v>
      </c>
      <c r="C172" t="s">
        <v>12</v>
      </c>
      <c r="D172" t="s">
        <v>226</v>
      </c>
      <c r="E172" t="s">
        <v>129</v>
      </c>
      <c r="F172" t="s">
        <v>130</v>
      </c>
      <c r="H172" t="s">
        <v>16</v>
      </c>
      <c r="J172" t="s">
        <v>16</v>
      </c>
      <c r="K172" t="s">
        <v>21</v>
      </c>
    </row>
    <row r="173" spans="1:11" ht="15.5" hidden="1" x14ac:dyDescent="0.35">
      <c r="A173">
        <v>885</v>
      </c>
      <c r="B173" t="s">
        <v>11</v>
      </c>
      <c r="C173" t="s">
        <v>12</v>
      </c>
      <c r="D173" t="s">
        <v>227</v>
      </c>
      <c r="E173" t="s">
        <v>129</v>
      </c>
      <c r="F173" t="s">
        <v>130</v>
      </c>
      <c r="H173" t="s">
        <v>16</v>
      </c>
      <c r="J173" t="s">
        <v>16</v>
      </c>
      <c r="K173" t="s">
        <v>21</v>
      </c>
    </row>
    <row r="174" spans="1:11" ht="15.5" hidden="1" x14ac:dyDescent="0.35">
      <c r="A174">
        <v>885</v>
      </c>
      <c r="B174" t="s">
        <v>11</v>
      </c>
      <c r="C174" t="s">
        <v>12</v>
      </c>
      <c r="D174" t="s">
        <v>228</v>
      </c>
      <c r="E174" t="s">
        <v>129</v>
      </c>
      <c r="F174" t="s">
        <v>130</v>
      </c>
      <c r="H174" t="s">
        <v>16</v>
      </c>
      <c r="J174" t="s">
        <v>16</v>
      </c>
      <c r="K174" t="s">
        <v>21</v>
      </c>
    </row>
    <row r="175" spans="1:11" ht="15.5" hidden="1" x14ac:dyDescent="0.35">
      <c r="A175">
        <v>885</v>
      </c>
      <c r="B175" t="s">
        <v>11</v>
      </c>
      <c r="C175" t="s">
        <v>12</v>
      </c>
      <c r="D175" t="s">
        <v>229</v>
      </c>
      <c r="E175" t="s">
        <v>129</v>
      </c>
      <c r="F175" t="s">
        <v>130</v>
      </c>
      <c r="H175" t="s">
        <v>16</v>
      </c>
      <c r="J175" t="s">
        <v>16</v>
      </c>
      <c r="K175" t="s">
        <v>21</v>
      </c>
    </row>
    <row r="176" spans="1:11" ht="15.5" hidden="1" x14ac:dyDescent="0.35">
      <c r="A176">
        <v>885</v>
      </c>
      <c r="B176" t="s">
        <v>11</v>
      </c>
      <c r="C176" t="s">
        <v>12</v>
      </c>
      <c r="D176" t="s">
        <v>230</v>
      </c>
      <c r="E176" t="s">
        <v>129</v>
      </c>
      <c r="F176" t="s">
        <v>130</v>
      </c>
      <c r="H176" t="s">
        <v>16</v>
      </c>
      <c r="J176" t="s">
        <v>16</v>
      </c>
      <c r="K176" t="s">
        <v>21</v>
      </c>
    </row>
    <row r="177" spans="1:11" ht="15.5" hidden="1" x14ac:dyDescent="0.35">
      <c r="A177">
        <v>885</v>
      </c>
      <c r="B177" t="s">
        <v>11</v>
      </c>
      <c r="C177" t="s">
        <v>12</v>
      </c>
      <c r="D177" t="s">
        <v>231</v>
      </c>
      <c r="E177" t="s">
        <v>232</v>
      </c>
      <c r="F177" t="s">
        <v>233</v>
      </c>
      <c r="H177" t="s">
        <v>16</v>
      </c>
      <c r="J177" t="s">
        <v>16</v>
      </c>
      <c r="K177" t="s">
        <v>174</v>
      </c>
    </row>
    <row r="178" spans="1:11" ht="15.5" hidden="1" x14ac:dyDescent="0.35">
      <c r="A178">
        <v>885</v>
      </c>
      <c r="B178" t="s">
        <v>11</v>
      </c>
      <c r="C178" t="s">
        <v>12</v>
      </c>
      <c r="D178" t="s">
        <v>234</v>
      </c>
      <c r="E178" t="s">
        <v>129</v>
      </c>
      <c r="F178" t="s">
        <v>130</v>
      </c>
      <c r="H178" t="s">
        <v>16</v>
      </c>
      <c r="J178" t="s">
        <v>16</v>
      </c>
      <c r="K178" t="s">
        <v>21</v>
      </c>
    </row>
    <row r="179" spans="1:11" ht="15.5" hidden="1" x14ac:dyDescent="0.35">
      <c r="A179">
        <v>885</v>
      </c>
      <c r="B179" t="s">
        <v>11</v>
      </c>
      <c r="C179" t="s">
        <v>12</v>
      </c>
      <c r="D179" t="s">
        <v>235</v>
      </c>
      <c r="E179" t="s">
        <v>129</v>
      </c>
      <c r="F179" t="s">
        <v>130</v>
      </c>
      <c r="H179" t="s">
        <v>16</v>
      </c>
      <c r="J179" t="s">
        <v>16</v>
      </c>
      <c r="K179" t="s">
        <v>21</v>
      </c>
    </row>
    <row r="180" spans="1:11" ht="15.5" hidden="1" x14ac:dyDescent="0.35">
      <c r="A180">
        <v>885</v>
      </c>
      <c r="B180" t="s">
        <v>11</v>
      </c>
      <c r="C180" t="s">
        <v>12</v>
      </c>
      <c r="D180" t="s">
        <v>236</v>
      </c>
      <c r="E180" t="s">
        <v>189</v>
      </c>
      <c r="F180" t="s">
        <v>190</v>
      </c>
      <c r="H180" t="s">
        <v>16</v>
      </c>
      <c r="J180" t="s">
        <v>16</v>
      </c>
      <c r="K180" t="s">
        <v>21</v>
      </c>
    </row>
    <row r="181" spans="1:11" ht="15.5" hidden="1" x14ac:dyDescent="0.35">
      <c r="A181">
        <v>885</v>
      </c>
      <c r="B181" t="s">
        <v>11</v>
      </c>
      <c r="C181" t="s">
        <v>12</v>
      </c>
      <c r="D181" t="s">
        <v>237</v>
      </c>
      <c r="E181" t="s">
        <v>189</v>
      </c>
      <c r="F181" t="s">
        <v>190</v>
      </c>
      <c r="H181" t="s">
        <v>16</v>
      </c>
      <c r="J181" t="s">
        <v>16</v>
      </c>
      <c r="K181" t="s">
        <v>21</v>
      </c>
    </row>
    <row r="182" spans="1:11" ht="15.5" x14ac:dyDescent="0.35">
      <c r="A182">
        <v>885</v>
      </c>
      <c r="B182" t="s">
        <v>11</v>
      </c>
      <c r="C182" t="s">
        <v>12</v>
      </c>
      <c r="D182" t="s">
        <v>238</v>
      </c>
      <c r="E182" t="s">
        <v>239</v>
      </c>
      <c r="F182" t="s">
        <v>31</v>
      </c>
      <c r="H182" t="s">
        <v>16</v>
      </c>
      <c r="J182" t="s">
        <v>16</v>
      </c>
      <c r="K182" t="s">
        <v>211</v>
      </c>
    </row>
    <row r="183" spans="1:11" ht="15.5" hidden="1" x14ac:dyDescent="0.35">
      <c r="A183">
        <v>885</v>
      </c>
      <c r="B183" t="s">
        <v>11</v>
      </c>
      <c r="C183" t="s">
        <v>12</v>
      </c>
      <c r="D183" t="s">
        <v>240</v>
      </c>
      <c r="E183" t="s">
        <v>129</v>
      </c>
      <c r="F183" t="s">
        <v>130</v>
      </c>
      <c r="H183" t="s">
        <v>16</v>
      </c>
      <c r="J183" t="s">
        <v>16</v>
      </c>
      <c r="K183" t="s">
        <v>21</v>
      </c>
    </row>
    <row r="184" spans="1:11" ht="15.5" hidden="1" x14ac:dyDescent="0.35">
      <c r="A184">
        <v>885</v>
      </c>
      <c r="B184" t="s">
        <v>11</v>
      </c>
      <c r="C184" t="s">
        <v>12</v>
      </c>
      <c r="D184" t="s">
        <v>241</v>
      </c>
      <c r="E184" t="s">
        <v>189</v>
      </c>
      <c r="F184" t="s">
        <v>190</v>
      </c>
      <c r="H184" t="s">
        <v>16</v>
      </c>
      <c r="J184" t="s">
        <v>16</v>
      </c>
      <c r="K184" t="s">
        <v>21</v>
      </c>
    </row>
    <row r="185" spans="1:11" ht="15.5" x14ac:dyDescent="0.35">
      <c r="A185">
        <v>885</v>
      </c>
      <c r="B185" t="s">
        <v>11</v>
      </c>
      <c r="C185" t="s">
        <v>12</v>
      </c>
      <c r="D185" t="s">
        <v>242</v>
      </c>
      <c r="E185" t="s">
        <v>210</v>
      </c>
      <c r="F185" t="s">
        <v>31</v>
      </c>
      <c r="H185" t="s">
        <v>16</v>
      </c>
      <c r="J185" t="s">
        <v>16</v>
      </c>
      <c r="K185" t="s">
        <v>211</v>
      </c>
    </row>
    <row r="186" spans="1:11" ht="15.5" x14ac:dyDescent="0.35">
      <c r="A186">
        <v>885</v>
      </c>
      <c r="B186" t="s">
        <v>11</v>
      </c>
      <c r="C186" t="s">
        <v>12</v>
      </c>
      <c r="D186" t="s">
        <v>243</v>
      </c>
      <c r="E186" t="s">
        <v>244</v>
      </c>
      <c r="F186" t="s">
        <v>31</v>
      </c>
      <c r="H186" t="s">
        <v>16</v>
      </c>
      <c r="J186" t="s">
        <v>16</v>
      </c>
      <c r="K186" t="s">
        <v>174</v>
      </c>
    </row>
    <row r="187" spans="1:11" ht="15.5" hidden="1" x14ac:dyDescent="0.35">
      <c r="A187">
        <v>885</v>
      </c>
      <c r="B187" t="s">
        <v>11</v>
      </c>
      <c r="C187" t="s">
        <v>12</v>
      </c>
      <c r="D187" t="s">
        <v>245</v>
      </c>
      <c r="E187" t="s">
        <v>129</v>
      </c>
      <c r="F187" t="s">
        <v>130</v>
      </c>
      <c r="H187" t="s">
        <v>16</v>
      </c>
      <c r="J187" t="s">
        <v>16</v>
      </c>
      <c r="K187" t="s">
        <v>21</v>
      </c>
    </row>
    <row r="188" spans="1:11" ht="15.5" x14ac:dyDescent="0.35">
      <c r="A188">
        <v>885</v>
      </c>
      <c r="B188" t="s">
        <v>11</v>
      </c>
      <c r="C188" t="s">
        <v>12</v>
      </c>
      <c r="D188" t="s">
        <v>246</v>
      </c>
      <c r="E188" t="s">
        <v>210</v>
      </c>
      <c r="F188" t="s">
        <v>31</v>
      </c>
      <c r="H188" t="s">
        <v>16</v>
      </c>
      <c r="J188" t="s">
        <v>16</v>
      </c>
      <c r="K188" t="s">
        <v>211</v>
      </c>
    </row>
    <row r="189" spans="1:11" ht="15.5" x14ac:dyDescent="0.35">
      <c r="A189">
        <v>885</v>
      </c>
      <c r="B189" t="s">
        <v>11</v>
      </c>
      <c r="C189" t="s">
        <v>12</v>
      </c>
      <c r="D189" t="s">
        <v>247</v>
      </c>
      <c r="E189" t="s">
        <v>210</v>
      </c>
      <c r="F189" t="s">
        <v>31</v>
      </c>
      <c r="H189" t="s">
        <v>16</v>
      </c>
      <c r="J189" t="s">
        <v>16</v>
      </c>
      <c r="K189" t="s">
        <v>211</v>
      </c>
    </row>
    <row r="190" spans="1:11" ht="15.5" hidden="1" x14ac:dyDescent="0.35">
      <c r="A190">
        <v>885</v>
      </c>
      <c r="B190" t="s">
        <v>11</v>
      </c>
      <c r="C190" t="s">
        <v>12</v>
      </c>
      <c r="D190" t="s">
        <v>248</v>
      </c>
      <c r="E190" t="s">
        <v>129</v>
      </c>
      <c r="F190" t="s">
        <v>130</v>
      </c>
      <c r="H190" t="s">
        <v>16</v>
      </c>
      <c r="J190" t="s">
        <v>16</v>
      </c>
      <c r="K190" t="s">
        <v>21</v>
      </c>
    </row>
    <row r="191" spans="1:11" ht="15.5" hidden="1" x14ac:dyDescent="0.35">
      <c r="A191">
        <v>885</v>
      </c>
      <c r="B191" t="s">
        <v>11</v>
      </c>
      <c r="C191" t="s">
        <v>12</v>
      </c>
      <c r="D191" t="s">
        <v>249</v>
      </c>
      <c r="E191" t="s">
        <v>250</v>
      </c>
      <c r="F191" t="s">
        <v>251</v>
      </c>
      <c r="H191" t="s">
        <v>16</v>
      </c>
      <c r="J191" t="s">
        <v>16</v>
      </c>
      <c r="K191" t="s">
        <v>252</v>
      </c>
    </row>
    <row r="192" spans="1:11" ht="15.5" hidden="1" x14ac:dyDescent="0.35">
      <c r="A192">
        <v>885</v>
      </c>
      <c r="B192" t="s">
        <v>11</v>
      </c>
      <c r="C192" t="s">
        <v>12</v>
      </c>
      <c r="D192" t="s">
        <v>253</v>
      </c>
      <c r="E192" t="s">
        <v>189</v>
      </c>
      <c r="F192" t="s">
        <v>190</v>
      </c>
      <c r="H192" t="s">
        <v>16</v>
      </c>
      <c r="J192" t="s">
        <v>16</v>
      </c>
      <c r="K192" t="s">
        <v>21</v>
      </c>
    </row>
    <row r="193" spans="1:11" ht="15.5" hidden="1" x14ac:dyDescent="0.35">
      <c r="A193">
        <v>885</v>
      </c>
      <c r="B193" t="s">
        <v>254</v>
      </c>
      <c r="C193" t="s">
        <v>12</v>
      </c>
      <c r="D193" t="s">
        <v>18</v>
      </c>
      <c r="E193" t="s">
        <v>19</v>
      </c>
      <c r="F193" t="s">
        <v>20</v>
      </c>
      <c r="H193" t="s">
        <v>16</v>
      </c>
      <c r="J193" t="s">
        <v>16</v>
      </c>
      <c r="K193" t="s">
        <v>21</v>
      </c>
    </row>
    <row r="194" spans="1:11" ht="15.5" x14ac:dyDescent="0.35">
      <c r="A194">
        <v>885</v>
      </c>
      <c r="B194" t="s">
        <v>254</v>
      </c>
      <c r="C194" t="s">
        <v>12</v>
      </c>
      <c r="D194" t="s">
        <v>255</v>
      </c>
      <c r="E194" t="s">
        <v>256</v>
      </c>
      <c r="F194" t="s">
        <v>257</v>
      </c>
      <c r="H194" t="s">
        <v>16</v>
      </c>
      <c r="J194" t="s">
        <v>16</v>
      </c>
      <c r="K194" t="s">
        <v>17</v>
      </c>
    </row>
    <row r="195" spans="1:11" ht="15.5" x14ac:dyDescent="0.35">
      <c r="A195">
        <v>885</v>
      </c>
      <c r="B195" t="s">
        <v>254</v>
      </c>
      <c r="C195" t="s">
        <v>12</v>
      </c>
      <c r="D195" t="s">
        <v>258</v>
      </c>
      <c r="E195" t="s">
        <v>36</v>
      </c>
      <c r="F195" t="s">
        <v>259</v>
      </c>
      <c r="H195" t="s">
        <v>16</v>
      </c>
      <c r="J195" t="s">
        <v>16</v>
      </c>
      <c r="K195" t="s">
        <v>17</v>
      </c>
    </row>
    <row r="196" spans="1:11" ht="15.5" hidden="1" x14ac:dyDescent="0.35">
      <c r="A196">
        <v>885</v>
      </c>
      <c r="B196" t="s">
        <v>254</v>
      </c>
      <c r="C196" t="s">
        <v>12</v>
      </c>
      <c r="D196" t="s">
        <v>27</v>
      </c>
      <c r="E196" t="s">
        <v>19</v>
      </c>
      <c r="F196" t="s">
        <v>20</v>
      </c>
      <c r="H196" t="s">
        <v>16</v>
      </c>
      <c r="J196" t="s">
        <v>16</v>
      </c>
      <c r="K196" t="s">
        <v>21</v>
      </c>
    </row>
    <row r="197" spans="1:11" ht="15.5" x14ac:dyDescent="0.35">
      <c r="A197">
        <v>885</v>
      </c>
      <c r="B197" t="s">
        <v>254</v>
      </c>
      <c r="C197" t="s">
        <v>12</v>
      </c>
      <c r="D197" t="s">
        <v>260</v>
      </c>
      <c r="E197" t="s">
        <v>261</v>
      </c>
      <c r="F197" t="s">
        <v>28</v>
      </c>
      <c r="H197" t="s">
        <v>16</v>
      </c>
      <c r="J197" t="s">
        <v>16</v>
      </c>
      <c r="K197" t="s">
        <v>17</v>
      </c>
    </row>
    <row r="198" spans="1:11" ht="15.5" x14ac:dyDescent="0.35">
      <c r="A198">
        <v>885</v>
      </c>
      <c r="B198" t="s">
        <v>254</v>
      </c>
      <c r="C198" t="s">
        <v>12</v>
      </c>
      <c r="D198" t="s">
        <v>27</v>
      </c>
      <c r="E198" t="s">
        <v>19</v>
      </c>
      <c r="F198" t="s">
        <v>28</v>
      </c>
      <c r="H198" t="s">
        <v>16</v>
      </c>
      <c r="J198" t="s">
        <v>16</v>
      </c>
      <c r="K198" t="s">
        <v>21</v>
      </c>
    </row>
    <row r="199" spans="1:11" ht="15.5" x14ac:dyDescent="0.35">
      <c r="A199">
        <v>885</v>
      </c>
      <c r="B199" t="s">
        <v>254</v>
      </c>
      <c r="C199" t="s">
        <v>12</v>
      </c>
      <c r="D199" t="s">
        <v>262</v>
      </c>
      <c r="E199" t="s">
        <v>256</v>
      </c>
      <c r="F199" t="s">
        <v>257</v>
      </c>
      <c r="H199" t="s">
        <v>16</v>
      </c>
      <c r="J199" t="s">
        <v>16</v>
      </c>
      <c r="K199" t="s">
        <v>17</v>
      </c>
    </row>
    <row r="200" spans="1:11" ht="15.5" x14ac:dyDescent="0.35">
      <c r="A200">
        <v>885</v>
      </c>
      <c r="B200" t="s">
        <v>254</v>
      </c>
      <c r="C200" t="s">
        <v>12</v>
      </c>
      <c r="D200" t="s">
        <v>13</v>
      </c>
      <c r="E200" t="s">
        <v>14</v>
      </c>
      <c r="F200" t="s">
        <v>15</v>
      </c>
      <c r="H200" t="s">
        <v>16</v>
      </c>
      <c r="J200" t="s">
        <v>16</v>
      </c>
      <c r="K200" t="s">
        <v>17</v>
      </c>
    </row>
    <row r="201" spans="1:11" ht="15.5" x14ac:dyDescent="0.35">
      <c r="A201">
        <v>885</v>
      </c>
      <c r="B201" t="s">
        <v>254</v>
      </c>
      <c r="C201" t="s">
        <v>12</v>
      </c>
      <c r="D201" t="s">
        <v>263</v>
      </c>
      <c r="E201" t="s">
        <v>256</v>
      </c>
      <c r="F201" t="s">
        <v>257</v>
      </c>
      <c r="H201" t="s">
        <v>16</v>
      </c>
      <c r="J201" t="s">
        <v>16</v>
      </c>
      <c r="K201" t="s">
        <v>17</v>
      </c>
    </row>
    <row r="202" spans="1:11" ht="15.5" x14ac:dyDescent="0.35">
      <c r="A202">
        <v>885</v>
      </c>
      <c r="B202" t="s">
        <v>254</v>
      </c>
      <c r="C202" t="s">
        <v>12</v>
      </c>
      <c r="D202" t="s">
        <v>264</v>
      </c>
      <c r="E202" t="s">
        <v>256</v>
      </c>
      <c r="F202" t="s">
        <v>257</v>
      </c>
      <c r="H202" t="s">
        <v>16</v>
      </c>
      <c r="J202" t="s">
        <v>16</v>
      </c>
      <c r="K202" t="s">
        <v>17</v>
      </c>
    </row>
    <row r="203" spans="1:11" ht="15.5" x14ac:dyDescent="0.35">
      <c r="A203">
        <v>885</v>
      </c>
      <c r="B203" t="s">
        <v>254</v>
      </c>
      <c r="C203" t="s">
        <v>12</v>
      </c>
      <c r="D203" t="s">
        <v>265</v>
      </c>
      <c r="E203" t="s">
        <v>266</v>
      </c>
      <c r="F203" t="s">
        <v>257</v>
      </c>
      <c r="H203" t="s">
        <v>16</v>
      </c>
      <c r="J203" t="s">
        <v>16</v>
      </c>
      <c r="K203" t="s">
        <v>17</v>
      </c>
    </row>
    <row r="204" spans="1:11" ht="15.5" x14ac:dyDescent="0.35">
      <c r="A204">
        <v>885</v>
      </c>
      <c r="B204" t="s">
        <v>254</v>
      </c>
      <c r="C204" t="s">
        <v>12</v>
      </c>
      <c r="D204" t="s">
        <v>267</v>
      </c>
      <c r="E204" t="s">
        <v>256</v>
      </c>
      <c r="F204" t="s">
        <v>257</v>
      </c>
      <c r="H204" t="s">
        <v>16</v>
      </c>
      <c r="J204" t="s">
        <v>16</v>
      </c>
      <c r="K204" t="s">
        <v>17</v>
      </c>
    </row>
    <row r="205" spans="1:11" ht="15.5" x14ac:dyDescent="0.35">
      <c r="A205">
        <v>885</v>
      </c>
      <c r="B205" t="s">
        <v>254</v>
      </c>
      <c r="C205" t="s">
        <v>12</v>
      </c>
      <c r="D205" t="s">
        <v>22</v>
      </c>
      <c r="E205" t="s">
        <v>23</v>
      </c>
      <c r="F205" t="s">
        <v>24</v>
      </c>
      <c r="H205" t="s">
        <v>16</v>
      </c>
      <c r="J205" t="s">
        <v>16</v>
      </c>
      <c r="K205" t="s">
        <v>17</v>
      </c>
    </row>
    <row r="206" spans="1:11" ht="15.5" hidden="1" x14ac:dyDescent="0.35">
      <c r="A206">
        <v>885</v>
      </c>
      <c r="B206" t="s">
        <v>254</v>
      </c>
      <c r="C206" t="s">
        <v>12</v>
      </c>
      <c r="D206" t="s">
        <v>268</v>
      </c>
      <c r="E206" t="s">
        <v>269</v>
      </c>
      <c r="F206" t="s">
        <v>270</v>
      </c>
      <c r="H206" t="s">
        <v>16</v>
      </c>
      <c r="J206" t="s">
        <v>16</v>
      </c>
      <c r="K206" t="s">
        <v>271</v>
      </c>
    </row>
    <row r="207" spans="1:11" ht="15.5" x14ac:dyDescent="0.35">
      <c r="A207">
        <v>885</v>
      </c>
      <c r="B207" t="s">
        <v>254</v>
      </c>
      <c r="C207" t="s">
        <v>12</v>
      </c>
      <c r="D207" t="s">
        <v>25</v>
      </c>
      <c r="E207" t="s">
        <v>26</v>
      </c>
      <c r="F207" t="s">
        <v>15</v>
      </c>
      <c r="H207" t="s">
        <v>16</v>
      </c>
      <c r="J207" t="s">
        <v>16</v>
      </c>
      <c r="K207" t="s">
        <v>17</v>
      </c>
    </row>
    <row r="208" spans="1:11" ht="15.5" x14ac:dyDescent="0.35">
      <c r="A208">
        <v>885</v>
      </c>
      <c r="B208" t="s">
        <v>254</v>
      </c>
      <c r="C208" t="s">
        <v>12</v>
      </c>
      <c r="D208" t="s">
        <v>35</v>
      </c>
      <c r="E208" t="s">
        <v>36</v>
      </c>
      <c r="F208" t="s">
        <v>37</v>
      </c>
      <c r="H208" t="s">
        <v>16</v>
      </c>
      <c r="J208" t="s">
        <v>16</v>
      </c>
      <c r="K208" t="s">
        <v>17</v>
      </c>
    </row>
    <row r="209" spans="1:11" ht="15.5" x14ac:dyDescent="0.35">
      <c r="A209">
        <v>885</v>
      </c>
      <c r="B209" t="s">
        <v>254</v>
      </c>
      <c r="C209" t="s">
        <v>12</v>
      </c>
      <c r="D209" t="s">
        <v>272</v>
      </c>
      <c r="E209" t="s">
        <v>256</v>
      </c>
      <c r="F209" t="s">
        <v>257</v>
      </c>
      <c r="H209" t="s">
        <v>16</v>
      </c>
      <c r="J209" t="s">
        <v>16</v>
      </c>
      <c r="K209" t="s">
        <v>17</v>
      </c>
    </row>
    <row r="210" spans="1:11" ht="15.5" x14ac:dyDescent="0.35">
      <c r="A210">
        <v>885</v>
      </c>
      <c r="B210" t="s">
        <v>254</v>
      </c>
      <c r="C210" t="s">
        <v>12</v>
      </c>
      <c r="D210" t="s">
        <v>42</v>
      </c>
      <c r="E210" t="s">
        <v>36</v>
      </c>
      <c r="F210" t="s">
        <v>24</v>
      </c>
      <c r="H210" t="s">
        <v>16</v>
      </c>
      <c r="J210" t="s">
        <v>16</v>
      </c>
      <c r="K210" t="s">
        <v>17</v>
      </c>
    </row>
    <row r="211" spans="1:11" ht="15.5" x14ac:dyDescent="0.35">
      <c r="A211">
        <v>885</v>
      </c>
      <c r="B211" t="s">
        <v>254</v>
      </c>
      <c r="C211" t="s">
        <v>12</v>
      </c>
      <c r="D211" t="s">
        <v>273</v>
      </c>
      <c r="E211" t="s">
        <v>266</v>
      </c>
      <c r="F211" t="s">
        <v>257</v>
      </c>
      <c r="H211" t="s">
        <v>16</v>
      </c>
      <c r="J211" t="s">
        <v>16</v>
      </c>
      <c r="K211" t="s">
        <v>17</v>
      </c>
    </row>
    <row r="212" spans="1:11" ht="15.5" x14ac:dyDescent="0.35">
      <c r="A212">
        <v>885</v>
      </c>
      <c r="B212" t="s">
        <v>254</v>
      </c>
      <c r="C212" t="s">
        <v>12</v>
      </c>
      <c r="D212" t="s">
        <v>274</v>
      </c>
      <c r="E212" t="s">
        <v>36</v>
      </c>
      <c r="F212" t="s">
        <v>259</v>
      </c>
      <c r="H212" t="s">
        <v>16</v>
      </c>
      <c r="J212" t="s">
        <v>16</v>
      </c>
      <c r="K212" t="s">
        <v>17</v>
      </c>
    </row>
    <row r="213" spans="1:11" ht="15.5" x14ac:dyDescent="0.35">
      <c r="A213">
        <v>885</v>
      </c>
      <c r="B213" t="s">
        <v>254</v>
      </c>
      <c r="C213" t="s">
        <v>12</v>
      </c>
      <c r="D213" t="s">
        <v>275</v>
      </c>
      <c r="E213" t="s">
        <v>36</v>
      </c>
      <c r="F213" t="s">
        <v>24</v>
      </c>
      <c r="H213" t="s">
        <v>16</v>
      </c>
      <c r="J213" t="s">
        <v>16</v>
      </c>
      <c r="K213" t="s">
        <v>17</v>
      </c>
    </row>
    <row r="214" spans="1:11" ht="15.5" hidden="1" x14ac:dyDescent="0.35">
      <c r="A214">
        <v>885</v>
      </c>
      <c r="B214" t="s">
        <v>254</v>
      </c>
      <c r="C214" t="s">
        <v>12</v>
      </c>
      <c r="D214" t="s">
        <v>276</v>
      </c>
      <c r="E214" t="s">
        <v>269</v>
      </c>
      <c r="F214" t="s">
        <v>270</v>
      </c>
      <c r="H214" t="s">
        <v>16</v>
      </c>
      <c r="J214" t="s">
        <v>16</v>
      </c>
      <c r="K214" t="s">
        <v>271</v>
      </c>
    </row>
    <row r="215" spans="1:11" ht="15.5" x14ac:dyDescent="0.35">
      <c r="A215">
        <v>885</v>
      </c>
      <c r="B215" t="s">
        <v>254</v>
      </c>
      <c r="C215" t="s">
        <v>12</v>
      </c>
      <c r="D215" t="s">
        <v>277</v>
      </c>
      <c r="E215" t="s">
        <v>266</v>
      </c>
      <c r="F215" t="s">
        <v>259</v>
      </c>
      <c r="H215" t="s">
        <v>16</v>
      </c>
      <c r="J215" t="s">
        <v>16</v>
      </c>
      <c r="K215" t="s">
        <v>17</v>
      </c>
    </row>
    <row r="216" spans="1:11" ht="15.5" hidden="1" x14ac:dyDescent="0.35">
      <c r="A216">
        <v>885</v>
      </c>
      <c r="B216" t="s">
        <v>254</v>
      </c>
      <c r="C216" t="s">
        <v>12</v>
      </c>
      <c r="D216" t="s">
        <v>278</v>
      </c>
      <c r="E216" t="s">
        <v>269</v>
      </c>
      <c r="F216" t="s">
        <v>270</v>
      </c>
      <c r="H216" t="s">
        <v>16</v>
      </c>
      <c r="J216" t="s">
        <v>16</v>
      </c>
      <c r="K216" t="s">
        <v>271</v>
      </c>
    </row>
    <row r="217" spans="1:11" ht="15.5" hidden="1" x14ac:dyDescent="0.35">
      <c r="A217">
        <v>885</v>
      </c>
      <c r="B217" t="s">
        <v>254</v>
      </c>
      <c r="C217" t="s">
        <v>12</v>
      </c>
      <c r="D217" t="s">
        <v>279</v>
      </c>
      <c r="E217" t="s">
        <v>269</v>
      </c>
      <c r="F217" t="s">
        <v>270</v>
      </c>
      <c r="H217" t="s">
        <v>16</v>
      </c>
      <c r="J217" t="s">
        <v>16</v>
      </c>
      <c r="K217" t="s">
        <v>271</v>
      </c>
    </row>
    <row r="218" spans="1:11" ht="15.5" x14ac:dyDescent="0.35">
      <c r="A218">
        <v>885</v>
      </c>
      <c r="B218" t="s">
        <v>254</v>
      </c>
      <c r="C218" t="s">
        <v>12</v>
      </c>
      <c r="D218" t="s">
        <v>280</v>
      </c>
      <c r="E218" t="s">
        <v>281</v>
      </c>
      <c r="F218" t="s">
        <v>15</v>
      </c>
      <c r="H218" t="s">
        <v>16</v>
      </c>
      <c r="J218" t="s">
        <v>16</v>
      </c>
      <c r="K218" t="s">
        <v>17</v>
      </c>
    </row>
    <row r="219" spans="1:11" ht="15.5" hidden="1" x14ac:dyDescent="0.35">
      <c r="A219">
        <v>885</v>
      </c>
      <c r="B219" t="s">
        <v>254</v>
      </c>
      <c r="C219" t="s">
        <v>12</v>
      </c>
      <c r="D219" t="s">
        <v>282</v>
      </c>
      <c r="E219" t="s">
        <v>283</v>
      </c>
      <c r="F219" t="s">
        <v>284</v>
      </c>
      <c r="H219" t="s">
        <v>16</v>
      </c>
      <c r="J219" t="s">
        <v>16</v>
      </c>
      <c r="K219" t="s">
        <v>285</v>
      </c>
    </row>
    <row r="220" spans="1:11" ht="15.5" hidden="1" x14ac:dyDescent="0.35">
      <c r="A220">
        <v>885</v>
      </c>
      <c r="B220" t="s">
        <v>254</v>
      </c>
      <c r="C220" t="s">
        <v>12</v>
      </c>
      <c r="D220" t="s">
        <v>286</v>
      </c>
      <c r="E220" t="s">
        <v>269</v>
      </c>
      <c r="F220" t="s">
        <v>270</v>
      </c>
      <c r="H220" t="s">
        <v>16</v>
      </c>
      <c r="J220" t="s">
        <v>16</v>
      </c>
      <c r="K220" t="s">
        <v>271</v>
      </c>
    </row>
    <row r="221" spans="1:11" ht="15.5" hidden="1" x14ac:dyDescent="0.35">
      <c r="A221">
        <v>885</v>
      </c>
      <c r="B221" t="s">
        <v>254</v>
      </c>
      <c r="C221" t="s">
        <v>12</v>
      </c>
      <c r="D221" t="s">
        <v>287</v>
      </c>
      <c r="E221" t="s">
        <v>283</v>
      </c>
      <c r="F221" t="s">
        <v>284</v>
      </c>
      <c r="H221" t="s">
        <v>16</v>
      </c>
      <c r="J221" t="s">
        <v>16</v>
      </c>
      <c r="K221" t="s">
        <v>285</v>
      </c>
    </row>
    <row r="222" spans="1:11" ht="15.5" x14ac:dyDescent="0.35">
      <c r="A222">
        <v>885</v>
      </c>
      <c r="B222" t="s">
        <v>254</v>
      </c>
      <c r="C222" t="s">
        <v>12</v>
      </c>
      <c r="D222" t="s">
        <v>288</v>
      </c>
      <c r="E222" t="s">
        <v>266</v>
      </c>
      <c r="F222" t="s">
        <v>259</v>
      </c>
      <c r="H222" t="s">
        <v>16</v>
      </c>
      <c r="J222" t="s">
        <v>16</v>
      </c>
      <c r="K222" t="s">
        <v>17</v>
      </c>
    </row>
    <row r="223" spans="1:11" ht="15.5" x14ac:dyDescent="0.35">
      <c r="A223">
        <v>885</v>
      </c>
      <c r="B223" t="s">
        <v>254</v>
      </c>
      <c r="C223" t="s">
        <v>12</v>
      </c>
      <c r="D223" t="s">
        <v>289</v>
      </c>
      <c r="E223" t="s">
        <v>266</v>
      </c>
      <c r="F223" t="s">
        <v>28</v>
      </c>
      <c r="H223" t="s">
        <v>16</v>
      </c>
      <c r="J223" t="s">
        <v>16</v>
      </c>
      <c r="K223" t="s">
        <v>17</v>
      </c>
    </row>
    <row r="224" spans="1:11" ht="15.5" x14ac:dyDescent="0.35">
      <c r="A224">
        <v>885</v>
      </c>
      <c r="B224" t="s">
        <v>254</v>
      </c>
      <c r="C224" t="s">
        <v>12</v>
      </c>
      <c r="D224" t="s">
        <v>290</v>
      </c>
      <c r="E224" t="s">
        <v>291</v>
      </c>
      <c r="F224" t="s">
        <v>28</v>
      </c>
      <c r="H224" t="s">
        <v>16</v>
      </c>
      <c r="J224" t="s">
        <v>16</v>
      </c>
      <c r="K224" t="s">
        <v>17</v>
      </c>
    </row>
    <row r="225" spans="1:11" ht="15.5" x14ac:dyDescent="0.35">
      <c r="A225">
        <v>885</v>
      </c>
      <c r="B225" t="s">
        <v>254</v>
      </c>
      <c r="C225" t="s">
        <v>12</v>
      </c>
      <c r="D225" t="s">
        <v>292</v>
      </c>
      <c r="E225" t="s">
        <v>281</v>
      </c>
      <c r="F225" t="s">
        <v>37</v>
      </c>
      <c r="H225" t="s">
        <v>16</v>
      </c>
      <c r="J225" t="s">
        <v>16</v>
      </c>
      <c r="K225" t="s">
        <v>17</v>
      </c>
    </row>
    <row r="226" spans="1:11" ht="15.5" x14ac:dyDescent="0.35">
      <c r="A226">
        <v>885</v>
      </c>
      <c r="B226" t="s">
        <v>254</v>
      </c>
      <c r="C226" t="s">
        <v>12</v>
      </c>
      <c r="D226" t="s">
        <v>293</v>
      </c>
      <c r="E226" t="s">
        <v>40</v>
      </c>
      <c r="F226" t="s">
        <v>28</v>
      </c>
      <c r="H226" t="s">
        <v>16</v>
      </c>
      <c r="J226" t="s">
        <v>16</v>
      </c>
      <c r="K226" t="s">
        <v>17</v>
      </c>
    </row>
    <row r="227" spans="1:11" ht="15.5" x14ac:dyDescent="0.35">
      <c r="A227">
        <v>885</v>
      </c>
      <c r="B227" t="s">
        <v>254</v>
      </c>
      <c r="C227" t="s">
        <v>12</v>
      </c>
      <c r="D227" t="s">
        <v>294</v>
      </c>
      <c r="E227" t="s">
        <v>295</v>
      </c>
      <c r="F227" t="s">
        <v>28</v>
      </c>
      <c r="H227" t="s">
        <v>16</v>
      </c>
      <c r="J227" t="s">
        <v>16</v>
      </c>
      <c r="K227" t="s">
        <v>17</v>
      </c>
    </row>
    <row r="228" spans="1:11" ht="15.5" x14ac:dyDescent="0.35">
      <c r="A228">
        <v>885</v>
      </c>
      <c r="B228" t="s">
        <v>254</v>
      </c>
      <c r="C228" t="s">
        <v>12</v>
      </c>
      <c r="D228" t="s">
        <v>296</v>
      </c>
      <c r="E228" t="s">
        <v>266</v>
      </c>
      <c r="F228" t="s">
        <v>257</v>
      </c>
      <c r="H228" t="s">
        <v>16</v>
      </c>
      <c r="J228" t="s">
        <v>16</v>
      </c>
      <c r="K228" t="s">
        <v>17</v>
      </c>
    </row>
    <row r="229" spans="1:11" ht="15.5" hidden="1" x14ac:dyDescent="0.35">
      <c r="A229">
        <v>885</v>
      </c>
      <c r="B229" t="s">
        <v>254</v>
      </c>
      <c r="C229" t="s">
        <v>12</v>
      </c>
      <c r="D229" t="s">
        <v>297</v>
      </c>
      <c r="E229" t="s">
        <v>283</v>
      </c>
      <c r="F229" t="s">
        <v>284</v>
      </c>
      <c r="H229" t="s">
        <v>16</v>
      </c>
      <c r="J229" t="s">
        <v>16</v>
      </c>
      <c r="K229" t="s">
        <v>285</v>
      </c>
    </row>
    <row r="230" spans="1:11" ht="15.5" x14ac:dyDescent="0.35">
      <c r="A230">
        <v>885</v>
      </c>
      <c r="B230" t="s">
        <v>254</v>
      </c>
      <c r="C230" t="s">
        <v>12</v>
      </c>
      <c r="D230" t="s">
        <v>298</v>
      </c>
      <c r="E230" t="s">
        <v>295</v>
      </c>
      <c r="F230" t="s">
        <v>15</v>
      </c>
      <c r="H230" t="s">
        <v>16</v>
      </c>
      <c r="J230" t="s">
        <v>16</v>
      </c>
      <c r="K230" t="s">
        <v>17</v>
      </c>
    </row>
    <row r="231" spans="1:11" ht="15.5" x14ac:dyDescent="0.35">
      <c r="A231">
        <v>885</v>
      </c>
      <c r="B231" t="s">
        <v>254</v>
      </c>
      <c r="C231" t="s">
        <v>12</v>
      </c>
      <c r="D231" t="s">
        <v>299</v>
      </c>
      <c r="E231" t="s">
        <v>300</v>
      </c>
      <c r="F231" t="s">
        <v>28</v>
      </c>
      <c r="H231" t="s">
        <v>16</v>
      </c>
      <c r="J231" t="s">
        <v>16</v>
      </c>
      <c r="K231" t="s">
        <v>17</v>
      </c>
    </row>
    <row r="232" spans="1:11" ht="15.5" x14ac:dyDescent="0.35">
      <c r="A232">
        <v>885</v>
      </c>
      <c r="B232" t="s">
        <v>254</v>
      </c>
      <c r="C232" t="s">
        <v>12</v>
      </c>
      <c r="D232" t="s">
        <v>301</v>
      </c>
      <c r="E232" t="s">
        <v>295</v>
      </c>
      <c r="F232" t="s">
        <v>28</v>
      </c>
      <c r="H232" t="s">
        <v>16</v>
      </c>
      <c r="J232" t="s">
        <v>16</v>
      </c>
      <c r="K232" t="s">
        <v>17</v>
      </c>
    </row>
    <row r="233" spans="1:11" ht="15.5" x14ac:dyDescent="0.35">
      <c r="A233">
        <v>885</v>
      </c>
      <c r="B233" t="s">
        <v>254</v>
      </c>
      <c r="C233" t="s">
        <v>12</v>
      </c>
      <c r="D233" t="s">
        <v>44</v>
      </c>
      <c r="E233" t="s">
        <v>45</v>
      </c>
      <c r="F233" t="s">
        <v>15</v>
      </c>
      <c r="H233" t="s">
        <v>16</v>
      </c>
      <c r="J233" t="s">
        <v>16</v>
      </c>
      <c r="K233" t="s">
        <v>17</v>
      </c>
    </row>
    <row r="234" spans="1:11" ht="15.5" x14ac:dyDescent="0.35">
      <c r="A234">
        <v>885</v>
      </c>
      <c r="B234" t="s">
        <v>254</v>
      </c>
      <c r="C234" t="s">
        <v>12</v>
      </c>
      <c r="D234" t="s">
        <v>302</v>
      </c>
      <c r="E234" t="s">
        <v>300</v>
      </c>
      <c r="F234" t="s">
        <v>28</v>
      </c>
      <c r="H234" t="s">
        <v>16</v>
      </c>
      <c r="J234" t="s">
        <v>16</v>
      </c>
      <c r="K234" t="s">
        <v>17</v>
      </c>
    </row>
    <row r="235" spans="1:11" ht="15.5" x14ac:dyDescent="0.35">
      <c r="A235">
        <v>885</v>
      </c>
      <c r="B235" t="s">
        <v>254</v>
      </c>
      <c r="C235" t="s">
        <v>12</v>
      </c>
      <c r="D235" t="s">
        <v>303</v>
      </c>
      <c r="E235" t="s">
        <v>300</v>
      </c>
      <c r="F235" t="s">
        <v>28</v>
      </c>
      <c r="H235" t="s">
        <v>16</v>
      </c>
      <c r="J235" t="s">
        <v>16</v>
      </c>
      <c r="K235" t="s">
        <v>17</v>
      </c>
    </row>
    <row r="236" spans="1:11" ht="15.5" hidden="1" x14ac:dyDescent="0.35">
      <c r="A236">
        <v>885</v>
      </c>
      <c r="B236" t="s">
        <v>254</v>
      </c>
      <c r="C236" t="s">
        <v>12</v>
      </c>
      <c r="D236" t="s">
        <v>304</v>
      </c>
      <c r="E236" t="s">
        <v>283</v>
      </c>
      <c r="F236" t="s">
        <v>284</v>
      </c>
      <c r="H236" t="s">
        <v>16</v>
      </c>
      <c r="J236" t="s">
        <v>16</v>
      </c>
      <c r="K236" t="s">
        <v>285</v>
      </c>
    </row>
    <row r="237" spans="1:11" ht="15.5" x14ac:dyDescent="0.35">
      <c r="A237">
        <v>885</v>
      </c>
      <c r="B237" t="s">
        <v>254</v>
      </c>
      <c r="C237" t="s">
        <v>12</v>
      </c>
      <c r="D237" t="s">
        <v>54</v>
      </c>
      <c r="E237" t="s">
        <v>55</v>
      </c>
      <c r="F237" t="s">
        <v>37</v>
      </c>
      <c r="H237" t="s">
        <v>16</v>
      </c>
      <c r="J237" t="s">
        <v>16</v>
      </c>
      <c r="K237" t="s">
        <v>56</v>
      </c>
    </row>
    <row r="238" spans="1:11" ht="15.5" x14ac:dyDescent="0.35">
      <c r="A238">
        <v>885</v>
      </c>
      <c r="B238" t="s">
        <v>254</v>
      </c>
      <c r="C238" t="s">
        <v>12</v>
      </c>
      <c r="D238" t="s">
        <v>305</v>
      </c>
      <c r="E238" t="s">
        <v>300</v>
      </c>
      <c r="F238" t="s">
        <v>28</v>
      </c>
      <c r="H238" t="s">
        <v>16</v>
      </c>
      <c r="J238" t="s">
        <v>16</v>
      </c>
      <c r="K238" t="s">
        <v>17</v>
      </c>
    </row>
    <row r="239" spans="1:11" ht="15.5" x14ac:dyDescent="0.35">
      <c r="A239">
        <v>885</v>
      </c>
      <c r="B239" t="s">
        <v>254</v>
      </c>
      <c r="C239" t="s">
        <v>12</v>
      </c>
      <c r="D239" t="s">
        <v>306</v>
      </c>
      <c r="E239" t="s">
        <v>300</v>
      </c>
      <c r="F239" t="s">
        <v>28</v>
      </c>
      <c r="H239" t="s">
        <v>16</v>
      </c>
      <c r="J239" t="s">
        <v>16</v>
      </c>
      <c r="K239" t="s">
        <v>17</v>
      </c>
    </row>
    <row r="240" spans="1:11" ht="15.5" x14ac:dyDescent="0.35">
      <c r="A240">
        <v>885</v>
      </c>
      <c r="B240" t="s">
        <v>254</v>
      </c>
      <c r="C240" t="s">
        <v>12</v>
      </c>
      <c r="D240" t="s">
        <v>307</v>
      </c>
      <c r="E240" t="s">
        <v>300</v>
      </c>
      <c r="F240" t="s">
        <v>28</v>
      </c>
      <c r="H240" t="s">
        <v>16</v>
      </c>
      <c r="J240" t="s">
        <v>16</v>
      </c>
      <c r="K240" t="s">
        <v>17</v>
      </c>
    </row>
    <row r="241" spans="1:11" ht="15.5" x14ac:dyDescent="0.35">
      <c r="A241">
        <v>885</v>
      </c>
      <c r="B241" t="s">
        <v>254</v>
      </c>
      <c r="C241" t="s">
        <v>12</v>
      </c>
      <c r="D241" t="s">
        <v>308</v>
      </c>
      <c r="E241" t="s">
        <v>291</v>
      </c>
      <c r="F241" t="s">
        <v>28</v>
      </c>
      <c r="H241" t="s">
        <v>16</v>
      </c>
      <c r="J241" t="s">
        <v>16</v>
      </c>
      <c r="K241" t="s">
        <v>17</v>
      </c>
    </row>
    <row r="242" spans="1:11" ht="15.5" x14ac:dyDescent="0.35">
      <c r="A242">
        <v>885</v>
      </c>
      <c r="B242" t="s">
        <v>254</v>
      </c>
      <c r="C242" t="s">
        <v>12</v>
      </c>
      <c r="D242" t="s">
        <v>309</v>
      </c>
      <c r="E242" t="s">
        <v>300</v>
      </c>
      <c r="F242" t="s">
        <v>28</v>
      </c>
      <c r="H242" t="s">
        <v>16</v>
      </c>
      <c r="J242" t="s">
        <v>16</v>
      </c>
      <c r="K242" t="s">
        <v>17</v>
      </c>
    </row>
    <row r="243" spans="1:11" ht="15.5" x14ac:dyDescent="0.35">
      <c r="A243">
        <v>885</v>
      </c>
      <c r="B243" t="s">
        <v>254</v>
      </c>
      <c r="C243" t="s">
        <v>12</v>
      </c>
      <c r="D243" t="s">
        <v>310</v>
      </c>
      <c r="E243" t="s">
        <v>300</v>
      </c>
      <c r="F243" t="s">
        <v>28</v>
      </c>
      <c r="H243" t="s">
        <v>16</v>
      </c>
      <c r="J243" t="s">
        <v>16</v>
      </c>
      <c r="K243" t="s">
        <v>17</v>
      </c>
    </row>
    <row r="244" spans="1:11" ht="15.5" hidden="1" x14ac:dyDescent="0.35">
      <c r="A244">
        <v>885</v>
      </c>
      <c r="B244" t="s">
        <v>254</v>
      </c>
      <c r="C244" t="s">
        <v>12</v>
      </c>
      <c r="D244" t="s">
        <v>311</v>
      </c>
      <c r="E244" t="s">
        <v>283</v>
      </c>
      <c r="F244" t="s">
        <v>284</v>
      </c>
      <c r="H244" t="s">
        <v>16</v>
      </c>
      <c r="J244" t="s">
        <v>16</v>
      </c>
      <c r="K244" t="s">
        <v>285</v>
      </c>
    </row>
    <row r="245" spans="1:11" ht="15.5" x14ac:dyDescent="0.35">
      <c r="A245">
        <v>885</v>
      </c>
      <c r="B245" t="s">
        <v>254</v>
      </c>
      <c r="C245" t="s">
        <v>12</v>
      </c>
      <c r="D245" t="s">
        <v>312</v>
      </c>
      <c r="E245" t="s">
        <v>300</v>
      </c>
      <c r="F245" t="s">
        <v>28</v>
      </c>
      <c r="H245" t="s">
        <v>16</v>
      </c>
      <c r="J245" t="s">
        <v>16</v>
      </c>
      <c r="K245" t="s">
        <v>17</v>
      </c>
    </row>
    <row r="246" spans="1:11" ht="15.5" x14ac:dyDescent="0.35">
      <c r="A246">
        <v>885</v>
      </c>
      <c r="B246" t="s">
        <v>254</v>
      </c>
      <c r="C246" t="s">
        <v>12</v>
      </c>
      <c r="D246" t="s">
        <v>155</v>
      </c>
      <c r="E246" t="s">
        <v>156</v>
      </c>
      <c r="F246" t="s">
        <v>15</v>
      </c>
      <c r="H246" t="s">
        <v>16</v>
      </c>
      <c r="J246" t="s">
        <v>16</v>
      </c>
      <c r="K246" t="s">
        <v>17</v>
      </c>
    </row>
    <row r="247" spans="1:11" ht="15.5" hidden="1" x14ac:dyDescent="0.35">
      <c r="A247">
        <v>885</v>
      </c>
      <c r="B247" t="s">
        <v>254</v>
      </c>
      <c r="C247" t="s">
        <v>12</v>
      </c>
      <c r="D247" t="s">
        <v>313</v>
      </c>
      <c r="E247" t="s">
        <v>314</v>
      </c>
      <c r="F247" t="s">
        <v>315</v>
      </c>
      <c r="H247" t="s">
        <v>16</v>
      </c>
      <c r="J247" t="s">
        <v>16</v>
      </c>
      <c r="K247" t="s">
        <v>316</v>
      </c>
    </row>
    <row r="248" spans="1:11" ht="15.5" x14ac:dyDescent="0.35">
      <c r="A248">
        <v>885</v>
      </c>
      <c r="B248" t="s">
        <v>254</v>
      </c>
      <c r="C248" t="s">
        <v>12</v>
      </c>
      <c r="D248" t="s">
        <v>317</v>
      </c>
      <c r="E248" t="s">
        <v>300</v>
      </c>
      <c r="F248" t="s">
        <v>28</v>
      </c>
      <c r="H248" t="s">
        <v>16</v>
      </c>
      <c r="J248" t="s">
        <v>16</v>
      </c>
      <c r="K248" t="s">
        <v>17</v>
      </c>
    </row>
    <row r="249" spans="1:11" ht="15.5" hidden="1" x14ac:dyDescent="0.35">
      <c r="A249">
        <v>885</v>
      </c>
      <c r="B249" t="s">
        <v>254</v>
      </c>
      <c r="C249" t="s">
        <v>12</v>
      </c>
      <c r="D249" t="s">
        <v>318</v>
      </c>
      <c r="E249" t="s">
        <v>283</v>
      </c>
      <c r="F249" t="s">
        <v>284</v>
      </c>
      <c r="H249" t="s">
        <v>16</v>
      </c>
      <c r="J249" t="s">
        <v>16</v>
      </c>
      <c r="K249" t="s">
        <v>285</v>
      </c>
    </row>
    <row r="250" spans="1:11" ht="15.5" x14ac:dyDescent="0.35">
      <c r="A250">
        <v>885</v>
      </c>
      <c r="B250" t="s">
        <v>254</v>
      </c>
      <c r="C250" t="s">
        <v>12</v>
      </c>
      <c r="D250" t="s">
        <v>319</v>
      </c>
      <c r="E250" t="s">
        <v>320</v>
      </c>
      <c r="F250" t="s">
        <v>28</v>
      </c>
      <c r="H250" t="s">
        <v>16</v>
      </c>
      <c r="J250" t="s">
        <v>16</v>
      </c>
      <c r="K250" t="s">
        <v>17</v>
      </c>
    </row>
    <row r="251" spans="1:11" ht="15.5" x14ac:dyDescent="0.35">
      <c r="A251">
        <v>885</v>
      </c>
      <c r="B251" t="s">
        <v>254</v>
      </c>
      <c r="C251" t="s">
        <v>12</v>
      </c>
      <c r="D251" t="s">
        <v>321</v>
      </c>
      <c r="E251" t="s">
        <v>82</v>
      </c>
      <c r="F251" t="s">
        <v>15</v>
      </c>
      <c r="H251" t="s">
        <v>16</v>
      </c>
      <c r="J251" t="s">
        <v>16</v>
      </c>
      <c r="K251" t="s">
        <v>17</v>
      </c>
    </row>
    <row r="252" spans="1:11" ht="15.5" hidden="1" x14ac:dyDescent="0.35">
      <c r="A252">
        <v>885</v>
      </c>
      <c r="B252" t="s">
        <v>254</v>
      </c>
      <c r="C252" t="s">
        <v>12</v>
      </c>
      <c r="D252" t="s">
        <v>322</v>
      </c>
      <c r="E252" t="s">
        <v>283</v>
      </c>
      <c r="F252" t="s">
        <v>284</v>
      </c>
      <c r="H252" t="s">
        <v>16</v>
      </c>
      <c r="J252" t="s">
        <v>16</v>
      </c>
      <c r="K252" t="s">
        <v>285</v>
      </c>
    </row>
    <row r="253" spans="1:11" ht="15.5" x14ac:dyDescent="0.35">
      <c r="A253">
        <v>885</v>
      </c>
      <c r="B253" t="s">
        <v>254</v>
      </c>
      <c r="C253" t="s">
        <v>12</v>
      </c>
      <c r="D253" t="s">
        <v>323</v>
      </c>
      <c r="E253" t="s">
        <v>320</v>
      </c>
      <c r="F253" t="s">
        <v>28</v>
      </c>
      <c r="H253" t="s">
        <v>16</v>
      </c>
      <c r="J253" t="s">
        <v>16</v>
      </c>
      <c r="K253" t="s">
        <v>17</v>
      </c>
    </row>
    <row r="254" spans="1:11" ht="15.5" x14ac:dyDescent="0.35">
      <c r="A254">
        <v>885</v>
      </c>
      <c r="B254" t="s">
        <v>254</v>
      </c>
      <c r="C254" t="s">
        <v>12</v>
      </c>
      <c r="D254" t="s">
        <v>324</v>
      </c>
      <c r="E254" t="s">
        <v>82</v>
      </c>
      <c r="F254" t="s">
        <v>259</v>
      </c>
      <c r="H254" t="s">
        <v>16</v>
      </c>
      <c r="J254" t="s">
        <v>16</v>
      </c>
      <c r="K254" t="s">
        <v>17</v>
      </c>
    </row>
    <row r="255" spans="1:11" ht="15.5" x14ac:dyDescent="0.35">
      <c r="A255">
        <v>885</v>
      </c>
      <c r="B255" t="s">
        <v>254</v>
      </c>
      <c r="C255" t="s">
        <v>12</v>
      </c>
      <c r="D255" t="s">
        <v>96</v>
      </c>
      <c r="E255" t="s">
        <v>79</v>
      </c>
      <c r="F255" t="s">
        <v>97</v>
      </c>
      <c r="H255" t="s">
        <v>16</v>
      </c>
      <c r="J255" t="s">
        <v>16</v>
      </c>
      <c r="K255" t="s">
        <v>80</v>
      </c>
    </row>
    <row r="256" spans="1:11" ht="15.5" x14ac:dyDescent="0.35">
      <c r="A256">
        <v>885</v>
      </c>
      <c r="B256" t="s">
        <v>254</v>
      </c>
      <c r="C256" t="s">
        <v>12</v>
      </c>
      <c r="D256" t="s">
        <v>325</v>
      </c>
      <c r="E256" t="s">
        <v>82</v>
      </c>
      <c r="F256" t="s">
        <v>259</v>
      </c>
      <c r="H256" t="s">
        <v>16</v>
      </c>
      <c r="J256" t="s">
        <v>16</v>
      </c>
      <c r="K256" t="s">
        <v>17</v>
      </c>
    </row>
    <row r="257" spans="1:11" ht="15.5" hidden="1" x14ac:dyDescent="0.35">
      <c r="A257">
        <v>885</v>
      </c>
      <c r="B257" t="s">
        <v>254</v>
      </c>
      <c r="C257" t="s">
        <v>12</v>
      </c>
      <c r="D257" t="s">
        <v>326</v>
      </c>
      <c r="E257" t="s">
        <v>314</v>
      </c>
      <c r="F257" t="s">
        <v>315</v>
      </c>
      <c r="H257" t="s">
        <v>16</v>
      </c>
      <c r="J257" t="s">
        <v>16</v>
      </c>
      <c r="K257" t="s">
        <v>316</v>
      </c>
    </row>
    <row r="258" spans="1:11" ht="15.5" hidden="1" x14ac:dyDescent="0.35">
      <c r="A258">
        <v>885</v>
      </c>
      <c r="B258" t="s">
        <v>254</v>
      </c>
      <c r="C258" t="s">
        <v>12</v>
      </c>
      <c r="D258" t="s">
        <v>78</v>
      </c>
      <c r="E258" t="s">
        <v>79</v>
      </c>
      <c r="F258" t="s">
        <v>92</v>
      </c>
      <c r="H258" t="s">
        <v>16</v>
      </c>
      <c r="J258" t="s">
        <v>16</v>
      </c>
      <c r="K258" t="s">
        <v>80</v>
      </c>
    </row>
    <row r="259" spans="1:11" ht="15.5" hidden="1" x14ac:dyDescent="0.35">
      <c r="A259">
        <v>885</v>
      </c>
      <c r="B259" t="s">
        <v>254</v>
      </c>
      <c r="C259" t="s">
        <v>12</v>
      </c>
      <c r="D259" t="s">
        <v>162</v>
      </c>
      <c r="E259" t="s">
        <v>122</v>
      </c>
      <c r="F259" t="s">
        <v>123</v>
      </c>
      <c r="H259" t="s">
        <v>16</v>
      </c>
      <c r="J259" t="s">
        <v>16</v>
      </c>
      <c r="K259" t="s">
        <v>21</v>
      </c>
    </row>
    <row r="260" spans="1:11" ht="15.5" x14ac:dyDescent="0.35">
      <c r="A260">
        <v>885</v>
      </c>
      <c r="B260" t="s">
        <v>254</v>
      </c>
      <c r="C260" t="s">
        <v>12</v>
      </c>
      <c r="D260" t="s">
        <v>327</v>
      </c>
      <c r="E260" t="s">
        <v>300</v>
      </c>
      <c r="F260" t="s">
        <v>28</v>
      </c>
      <c r="H260" t="s">
        <v>16</v>
      </c>
      <c r="J260" t="s">
        <v>16</v>
      </c>
      <c r="K260" t="s">
        <v>17</v>
      </c>
    </row>
    <row r="261" spans="1:11" ht="15.5" x14ac:dyDescent="0.35">
      <c r="A261">
        <v>885</v>
      </c>
      <c r="B261" t="s">
        <v>254</v>
      </c>
      <c r="C261" t="s">
        <v>12</v>
      </c>
      <c r="D261" t="s">
        <v>81</v>
      </c>
      <c r="E261" t="s">
        <v>82</v>
      </c>
      <c r="F261" t="s">
        <v>15</v>
      </c>
      <c r="H261" t="s">
        <v>16</v>
      </c>
      <c r="J261" t="s">
        <v>16</v>
      </c>
      <c r="K261" t="s">
        <v>17</v>
      </c>
    </row>
    <row r="262" spans="1:11" ht="15.5" hidden="1" x14ac:dyDescent="0.35">
      <c r="A262">
        <v>885</v>
      </c>
      <c r="B262" t="s">
        <v>254</v>
      </c>
      <c r="C262" t="s">
        <v>12</v>
      </c>
      <c r="D262" t="s">
        <v>152</v>
      </c>
      <c r="E262" t="s">
        <v>79</v>
      </c>
      <c r="F262" t="s">
        <v>92</v>
      </c>
      <c r="H262" t="s">
        <v>16</v>
      </c>
      <c r="J262" t="s">
        <v>16</v>
      </c>
      <c r="K262" t="s">
        <v>80</v>
      </c>
    </row>
    <row r="263" spans="1:11" ht="15.5" hidden="1" x14ac:dyDescent="0.35">
      <c r="A263">
        <v>885</v>
      </c>
      <c r="B263" t="s">
        <v>254</v>
      </c>
      <c r="C263" t="s">
        <v>12</v>
      </c>
      <c r="D263" t="s">
        <v>165</v>
      </c>
      <c r="E263" t="s">
        <v>79</v>
      </c>
      <c r="F263" t="s">
        <v>92</v>
      </c>
      <c r="H263" t="s">
        <v>16</v>
      </c>
      <c r="J263" t="s">
        <v>16</v>
      </c>
      <c r="K263" t="s">
        <v>80</v>
      </c>
    </row>
    <row r="264" spans="1:11" ht="15.5" x14ac:dyDescent="0.35">
      <c r="A264">
        <v>885</v>
      </c>
      <c r="B264" t="s">
        <v>254</v>
      </c>
      <c r="C264" t="s">
        <v>12</v>
      </c>
      <c r="D264" t="s">
        <v>165</v>
      </c>
      <c r="E264" t="s">
        <v>79</v>
      </c>
      <c r="F264" t="s">
        <v>15</v>
      </c>
      <c r="H264" t="s">
        <v>16</v>
      </c>
      <c r="J264" t="s">
        <v>16</v>
      </c>
      <c r="K264" t="s">
        <v>80</v>
      </c>
    </row>
    <row r="265" spans="1:11" ht="15.5" hidden="1" x14ac:dyDescent="0.35">
      <c r="A265">
        <v>885</v>
      </c>
      <c r="B265" t="s">
        <v>254</v>
      </c>
      <c r="C265" t="s">
        <v>12</v>
      </c>
      <c r="D265" t="s">
        <v>144</v>
      </c>
      <c r="E265" t="s">
        <v>79</v>
      </c>
      <c r="F265" t="s">
        <v>92</v>
      </c>
      <c r="H265" t="s">
        <v>16</v>
      </c>
      <c r="J265" t="s">
        <v>16</v>
      </c>
      <c r="K265" t="s">
        <v>80</v>
      </c>
    </row>
    <row r="266" spans="1:11" ht="15.5" hidden="1" x14ac:dyDescent="0.35">
      <c r="A266">
        <v>885</v>
      </c>
      <c r="B266" t="s">
        <v>254</v>
      </c>
      <c r="C266" t="s">
        <v>12</v>
      </c>
      <c r="D266" t="s">
        <v>105</v>
      </c>
      <c r="E266" t="s">
        <v>79</v>
      </c>
      <c r="F266" t="s">
        <v>92</v>
      </c>
      <c r="H266" t="s">
        <v>16</v>
      </c>
      <c r="J266" t="s">
        <v>16</v>
      </c>
      <c r="K266" t="s">
        <v>80</v>
      </c>
    </row>
    <row r="267" spans="1:11" ht="15.5" hidden="1" x14ac:dyDescent="0.35">
      <c r="A267">
        <v>885</v>
      </c>
      <c r="B267" t="s">
        <v>254</v>
      </c>
      <c r="C267" t="s">
        <v>12</v>
      </c>
      <c r="D267" t="s">
        <v>100</v>
      </c>
      <c r="E267" t="s">
        <v>90</v>
      </c>
      <c r="F267" t="s">
        <v>91</v>
      </c>
      <c r="H267" t="s">
        <v>16</v>
      </c>
      <c r="J267" t="s">
        <v>16</v>
      </c>
      <c r="K267" t="s">
        <v>21</v>
      </c>
    </row>
    <row r="268" spans="1:11" ht="15.5" x14ac:dyDescent="0.35">
      <c r="A268">
        <v>885</v>
      </c>
      <c r="B268" t="s">
        <v>254</v>
      </c>
      <c r="C268" t="s">
        <v>12</v>
      </c>
      <c r="D268" t="s">
        <v>328</v>
      </c>
      <c r="E268" t="s">
        <v>300</v>
      </c>
      <c r="F268" t="s">
        <v>28</v>
      </c>
      <c r="H268" t="s">
        <v>16</v>
      </c>
      <c r="J268" t="s">
        <v>16</v>
      </c>
      <c r="K268" t="s">
        <v>17</v>
      </c>
    </row>
    <row r="269" spans="1:11" ht="15.5" x14ac:dyDescent="0.35">
      <c r="A269">
        <v>885</v>
      </c>
      <c r="B269" t="s">
        <v>254</v>
      </c>
      <c r="C269" t="s">
        <v>12</v>
      </c>
      <c r="D269" t="s">
        <v>101</v>
      </c>
      <c r="E269" t="s">
        <v>79</v>
      </c>
      <c r="F269" t="s">
        <v>15</v>
      </c>
      <c r="H269" t="s">
        <v>16</v>
      </c>
      <c r="J269" t="s">
        <v>16</v>
      </c>
      <c r="K269" t="s">
        <v>80</v>
      </c>
    </row>
    <row r="270" spans="1:11" ht="15.5" hidden="1" x14ac:dyDescent="0.35">
      <c r="A270">
        <v>885</v>
      </c>
      <c r="B270" t="s">
        <v>254</v>
      </c>
      <c r="C270" t="s">
        <v>12</v>
      </c>
      <c r="D270" t="s">
        <v>160</v>
      </c>
      <c r="E270" t="s">
        <v>79</v>
      </c>
      <c r="F270" t="s">
        <v>92</v>
      </c>
      <c r="H270" t="s">
        <v>16</v>
      </c>
      <c r="J270" t="s">
        <v>16</v>
      </c>
      <c r="K270" t="s">
        <v>80</v>
      </c>
    </row>
    <row r="271" spans="1:11" ht="15.5" hidden="1" x14ac:dyDescent="0.35">
      <c r="A271">
        <v>885</v>
      </c>
      <c r="B271" t="s">
        <v>254</v>
      </c>
      <c r="C271" t="s">
        <v>12</v>
      </c>
      <c r="D271" t="s">
        <v>136</v>
      </c>
      <c r="E271" t="s">
        <v>137</v>
      </c>
      <c r="F271" t="s">
        <v>138</v>
      </c>
      <c r="H271" t="s">
        <v>16</v>
      </c>
      <c r="J271" t="s">
        <v>16</v>
      </c>
      <c r="K271" t="s">
        <v>21</v>
      </c>
    </row>
    <row r="272" spans="1:11" ht="15.5" hidden="1" x14ac:dyDescent="0.35">
      <c r="A272">
        <v>885</v>
      </c>
      <c r="B272" t="s">
        <v>254</v>
      </c>
      <c r="C272" t="s">
        <v>12</v>
      </c>
      <c r="D272" t="s">
        <v>94</v>
      </c>
      <c r="E272" t="s">
        <v>79</v>
      </c>
      <c r="F272" t="s">
        <v>92</v>
      </c>
      <c r="H272" t="s">
        <v>16</v>
      </c>
      <c r="J272" t="s">
        <v>16</v>
      </c>
      <c r="K272" t="s">
        <v>80</v>
      </c>
    </row>
    <row r="273" spans="1:11" ht="15.5" x14ac:dyDescent="0.35">
      <c r="A273">
        <v>885</v>
      </c>
      <c r="B273" t="s">
        <v>254</v>
      </c>
      <c r="C273" t="s">
        <v>12</v>
      </c>
      <c r="D273" t="s">
        <v>152</v>
      </c>
      <c r="E273" t="s">
        <v>79</v>
      </c>
      <c r="F273" t="s">
        <v>97</v>
      </c>
      <c r="H273" t="s">
        <v>16</v>
      </c>
      <c r="J273" t="s">
        <v>16</v>
      </c>
      <c r="K273" t="s">
        <v>80</v>
      </c>
    </row>
    <row r="274" spans="1:11" ht="15.5" x14ac:dyDescent="0.35">
      <c r="A274">
        <v>885</v>
      </c>
      <c r="B274" t="s">
        <v>254</v>
      </c>
      <c r="C274" t="s">
        <v>12</v>
      </c>
      <c r="D274" t="s">
        <v>94</v>
      </c>
      <c r="E274" t="s">
        <v>79</v>
      </c>
      <c r="F274" t="s">
        <v>15</v>
      </c>
      <c r="H274" t="s">
        <v>16</v>
      </c>
      <c r="J274" t="s">
        <v>16</v>
      </c>
      <c r="K274" t="s">
        <v>80</v>
      </c>
    </row>
    <row r="275" spans="1:11" ht="15.5" hidden="1" x14ac:dyDescent="0.35">
      <c r="A275">
        <v>885</v>
      </c>
      <c r="B275" t="s">
        <v>254</v>
      </c>
      <c r="C275" t="s">
        <v>12</v>
      </c>
      <c r="D275" t="s">
        <v>224</v>
      </c>
      <c r="E275" t="s">
        <v>129</v>
      </c>
      <c r="F275" t="s">
        <v>130</v>
      </c>
      <c r="H275" t="s">
        <v>16</v>
      </c>
      <c r="J275" t="s">
        <v>16</v>
      </c>
      <c r="K275" t="s">
        <v>21</v>
      </c>
    </row>
    <row r="276" spans="1:11" ht="15.5" x14ac:dyDescent="0.35">
      <c r="A276">
        <v>885</v>
      </c>
      <c r="B276" t="s">
        <v>254</v>
      </c>
      <c r="C276" t="s">
        <v>12</v>
      </c>
      <c r="D276" t="s">
        <v>329</v>
      </c>
      <c r="E276" t="s">
        <v>300</v>
      </c>
      <c r="F276" t="s">
        <v>28</v>
      </c>
      <c r="H276" t="s">
        <v>16</v>
      </c>
      <c r="J276" t="s">
        <v>16</v>
      </c>
      <c r="K276" t="s">
        <v>17</v>
      </c>
    </row>
    <row r="277" spans="1:11" ht="15.5" hidden="1" x14ac:dyDescent="0.35">
      <c r="A277">
        <v>885</v>
      </c>
      <c r="B277" t="s">
        <v>254</v>
      </c>
      <c r="C277" t="s">
        <v>12</v>
      </c>
      <c r="D277" t="s">
        <v>103</v>
      </c>
      <c r="E277" t="s">
        <v>79</v>
      </c>
      <c r="F277" t="s">
        <v>92</v>
      </c>
      <c r="H277" t="s">
        <v>16</v>
      </c>
      <c r="J277" t="s">
        <v>16</v>
      </c>
      <c r="K277" t="s">
        <v>80</v>
      </c>
    </row>
    <row r="278" spans="1:11" ht="15.5" hidden="1" x14ac:dyDescent="0.35">
      <c r="A278">
        <v>885</v>
      </c>
      <c r="B278" t="s">
        <v>254</v>
      </c>
      <c r="C278" t="s">
        <v>12</v>
      </c>
      <c r="D278" t="s">
        <v>101</v>
      </c>
      <c r="E278" t="s">
        <v>79</v>
      </c>
      <c r="F278" t="s">
        <v>92</v>
      </c>
      <c r="H278" t="s">
        <v>16</v>
      </c>
      <c r="J278" t="s">
        <v>16</v>
      </c>
      <c r="K278" t="s">
        <v>80</v>
      </c>
    </row>
    <row r="279" spans="1:11" ht="15.5" hidden="1" x14ac:dyDescent="0.35">
      <c r="A279">
        <v>885</v>
      </c>
      <c r="B279" t="s">
        <v>254</v>
      </c>
      <c r="C279" t="s">
        <v>12</v>
      </c>
      <c r="D279" t="s">
        <v>183</v>
      </c>
      <c r="E279" t="s">
        <v>122</v>
      </c>
      <c r="F279" t="s">
        <v>123</v>
      </c>
      <c r="H279" t="s">
        <v>16</v>
      </c>
      <c r="J279" t="s">
        <v>16</v>
      </c>
      <c r="K279" t="s">
        <v>21</v>
      </c>
    </row>
    <row r="280" spans="1:11" ht="15.5" x14ac:dyDescent="0.35">
      <c r="A280">
        <v>885</v>
      </c>
      <c r="B280" t="s">
        <v>254</v>
      </c>
      <c r="C280" t="s">
        <v>12</v>
      </c>
      <c r="D280" t="s">
        <v>103</v>
      </c>
      <c r="E280" t="s">
        <v>79</v>
      </c>
      <c r="F280" t="s">
        <v>37</v>
      </c>
      <c r="H280" t="s">
        <v>16</v>
      </c>
      <c r="J280" t="s">
        <v>16</v>
      </c>
      <c r="K280" t="s">
        <v>80</v>
      </c>
    </row>
    <row r="281" spans="1:11" ht="15.5" x14ac:dyDescent="0.35">
      <c r="A281">
        <v>885</v>
      </c>
      <c r="B281" t="s">
        <v>254</v>
      </c>
      <c r="C281" t="s">
        <v>12</v>
      </c>
      <c r="D281" t="s">
        <v>160</v>
      </c>
      <c r="E281" t="s">
        <v>79</v>
      </c>
      <c r="F281" t="s">
        <v>97</v>
      </c>
      <c r="H281" t="s">
        <v>16</v>
      </c>
      <c r="J281" t="s">
        <v>16</v>
      </c>
      <c r="K281" t="s">
        <v>80</v>
      </c>
    </row>
    <row r="282" spans="1:11" ht="15.5" hidden="1" x14ac:dyDescent="0.35">
      <c r="A282">
        <v>885</v>
      </c>
      <c r="B282" t="s">
        <v>254</v>
      </c>
      <c r="C282" t="s">
        <v>12</v>
      </c>
      <c r="D282" t="s">
        <v>145</v>
      </c>
      <c r="E282" t="s">
        <v>122</v>
      </c>
      <c r="F282" t="s">
        <v>123</v>
      </c>
      <c r="H282" t="s">
        <v>16</v>
      </c>
      <c r="J282" t="s">
        <v>16</v>
      </c>
      <c r="K282" t="s">
        <v>21</v>
      </c>
    </row>
    <row r="283" spans="1:11" ht="15.5" hidden="1" x14ac:dyDescent="0.35">
      <c r="A283">
        <v>885</v>
      </c>
      <c r="B283" t="s">
        <v>254</v>
      </c>
      <c r="C283" t="s">
        <v>12</v>
      </c>
      <c r="D283" t="s">
        <v>151</v>
      </c>
      <c r="E283" t="s">
        <v>129</v>
      </c>
      <c r="F283" t="s">
        <v>130</v>
      </c>
      <c r="H283" t="s">
        <v>16</v>
      </c>
      <c r="J283" t="s">
        <v>16</v>
      </c>
      <c r="K283" t="s">
        <v>21</v>
      </c>
    </row>
    <row r="284" spans="1:11" ht="15.5" x14ac:dyDescent="0.35">
      <c r="A284">
        <v>885</v>
      </c>
      <c r="B284" t="s">
        <v>254</v>
      </c>
      <c r="C284" t="s">
        <v>12</v>
      </c>
      <c r="D284" t="s">
        <v>330</v>
      </c>
      <c r="E284" t="s">
        <v>300</v>
      </c>
      <c r="F284" t="s">
        <v>28</v>
      </c>
      <c r="H284" t="s">
        <v>16</v>
      </c>
      <c r="J284" t="s">
        <v>16</v>
      </c>
      <c r="K284" t="s">
        <v>17</v>
      </c>
    </row>
    <row r="285" spans="1:11" ht="15.5" hidden="1" x14ac:dyDescent="0.35">
      <c r="A285">
        <v>885</v>
      </c>
      <c r="B285" t="s">
        <v>254</v>
      </c>
      <c r="C285" t="s">
        <v>12</v>
      </c>
      <c r="D285" t="s">
        <v>149</v>
      </c>
      <c r="E285" t="s">
        <v>118</v>
      </c>
      <c r="F285" t="s">
        <v>119</v>
      </c>
      <c r="H285" t="s">
        <v>16</v>
      </c>
      <c r="J285" t="s">
        <v>16</v>
      </c>
      <c r="K285" t="s">
        <v>21</v>
      </c>
    </row>
    <row r="286" spans="1:11" ht="15.5" hidden="1" x14ac:dyDescent="0.35">
      <c r="A286">
        <v>885</v>
      </c>
      <c r="B286" t="s">
        <v>254</v>
      </c>
      <c r="C286" t="s">
        <v>12</v>
      </c>
      <c r="D286" t="s">
        <v>187</v>
      </c>
      <c r="E286" t="s">
        <v>118</v>
      </c>
      <c r="F286" t="s">
        <v>119</v>
      </c>
      <c r="H286" t="s">
        <v>16</v>
      </c>
      <c r="J286" t="s">
        <v>16</v>
      </c>
      <c r="K286" t="s">
        <v>21</v>
      </c>
    </row>
    <row r="287" spans="1:11" ht="15.5" hidden="1" x14ac:dyDescent="0.35">
      <c r="A287">
        <v>885</v>
      </c>
      <c r="B287" t="s">
        <v>254</v>
      </c>
      <c r="C287" t="s">
        <v>12</v>
      </c>
      <c r="D287" t="s">
        <v>146</v>
      </c>
      <c r="E287" t="s">
        <v>122</v>
      </c>
      <c r="F287" t="s">
        <v>123</v>
      </c>
      <c r="H287" t="s">
        <v>16</v>
      </c>
      <c r="J287" t="s">
        <v>16</v>
      </c>
      <c r="K287" t="s">
        <v>21</v>
      </c>
    </row>
    <row r="288" spans="1:11" ht="15.5" hidden="1" x14ac:dyDescent="0.35">
      <c r="A288">
        <v>885</v>
      </c>
      <c r="B288" t="s">
        <v>254</v>
      </c>
      <c r="C288" t="s">
        <v>12</v>
      </c>
      <c r="D288" t="s">
        <v>117</v>
      </c>
      <c r="E288" t="s">
        <v>118</v>
      </c>
      <c r="F288" t="s">
        <v>119</v>
      </c>
      <c r="H288" t="s">
        <v>16</v>
      </c>
      <c r="J288" t="s">
        <v>16</v>
      </c>
      <c r="K288" t="s">
        <v>21</v>
      </c>
    </row>
    <row r="289" spans="1:11" ht="15.5" x14ac:dyDescent="0.35">
      <c r="A289">
        <v>885</v>
      </c>
      <c r="B289" t="s">
        <v>254</v>
      </c>
      <c r="C289" t="s">
        <v>12</v>
      </c>
      <c r="D289" t="s">
        <v>78</v>
      </c>
      <c r="E289" t="s">
        <v>79</v>
      </c>
      <c r="F289" t="s">
        <v>15</v>
      </c>
      <c r="H289" t="s">
        <v>16</v>
      </c>
      <c r="J289" t="s">
        <v>16</v>
      </c>
      <c r="K289" t="s">
        <v>80</v>
      </c>
    </row>
    <row r="290" spans="1:11" ht="15.5" hidden="1" x14ac:dyDescent="0.35">
      <c r="A290">
        <v>885</v>
      </c>
      <c r="B290" t="s">
        <v>254</v>
      </c>
      <c r="C290" t="s">
        <v>12</v>
      </c>
      <c r="D290" t="s">
        <v>161</v>
      </c>
      <c r="E290" t="s">
        <v>90</v>
      </c>
      <c r="F290" t="s">
        <v>91</v>
      </c>
      <c r="H290" t="s">
        <v>16</v>
      </c>
      <c r="J290" t="s">
        <v>16</v>
      </c>
      <c r="K290" t="s">
        <v>21</v>
      </c>
    </row>
    <row r="291" spans="1:11" ht="15.5" hidden="1" x14ac:dyDescent="0.35">
      <c r="A291">
        <v>885</v>
      </c>
      <c r="B291" t="s">
        <v>254</v>
      </c>
      <c r="C291" t="s">
        <v>12</v>
      </c>
      <c r="D291" t="s">
        <v>234</v>
      </c>
      <c r="E291" t="s">
        <v>129</v>
      </c>
      <c r="F291" t="s">
        <v>130</v>
      </c>
      <c r="H291" t="s">
        <v>16</v>
      </c>
      <c r="J291" t="s">
        <v>16</v>
      </c>
      <c r="K291" t="s">
        <v>21</v>
      </c>
    </row>
    <row r="292" spans="1:11" ht="15.5" x14ac:dyDescent="0.35">
      <c r="A292">
        <v>885</v>
      </c>
      <c r="B292" t="s">
        <v>254</v>
      </c>
      <c r="C292" t="s">
        <v>12</v>
      </c>
      <c r="D292" t="s">
        <v>150</v>
      </c>
      <c r="E292" t="s">
        <v>82</v>
      </c>
      <c r="F292" t="s">
        <v>15</v>
      </c>
      <c r="H292" t="s">
        <v>16</v>
      </c>
      <c r="J292" t="s">
        <v>16</v>
      </c>
      <c r="K292" t="s">
        <v>17</v>
      </c>
    </row>
    <row r="293" spans="1:11" ht="15.5" hidden="1" x14ac:dyDescent="0.35">
      <c r="A293">
        <v>885</v>
      </c>
      <c r="B293" t="s">
        <v>254</v>
      </c>
      <c r="C293" t="s">
        <v>12</v>
      </c>
      <c r="D293" t="s">
        <v>194</v>
      </c>
      <c r="E293" t="s">
        <v>122</v>
      </c>
      <c r="F293" t="s">
        <v>123</v>
      </c>
      <c r="H293" t="s">
        <v>16</v>
      </c>
      <c r="J293" t="s">
        <v>16</v>
      </c>
      <c r="K293" t="s">
        <v>21</v>
      </c>
    </row>
    <row r="294" spans="1:11" ht="15.5" hidden="1" x14ac:dyDescent="0.35">
      <c r="A294">
        <v>885</v>
      </c>
      <c r="B294" t="s">
        <v>254</v>
      </c>
      <c r="C294" t="s">
        <v>12</v>
      </c>
      <c r="D294" t="s">
        <v>193</v>
      </c>
      <c r="E294" t="s">
        <v>118</v>
      </c>
      <c r="F294" t="s">
        <v>119</v>
      </c>
      <c r="H294" t="s">
        <v>16</v>
      </c>
      <c r="J294" t="s">
        <v>16</v>
      </c>
      <c r="K294" t="s">
        <v>21</v>
      </c>
    </row>
    <row r="295" spans="1:11" ht="15.5" hidden="1" x14ac:dyDescent="0.35">
      <c r="A295">
        <v>885</v>
      </c>
      <c r="B295" t="s">
        <v>254</v>
      </c>
      <c r="C295" t="s">
        <v>12</v>
      </c>
      <c r="D295" t="s">
        <v>154</v>
      </c>
      <c r="E295" t="s">
        <v>122</v>
      </c>
      <c r="F295" t="s">
        <v>123</v>
      </c>
      <c r="H295" t="s">
        <v>16</v>
      </c>
      <c r="J295" t="s">
        <v>16</v>
      </c>
      <c r="K295" t="s">
        <v>21</v>
      </c>
    </row>
    <row r="296" spans="1:11" ht="15.5" hidden="1" x14ac:dyDescent="0.35">
      <c r="A296">
        <v>885</v>
      </c>
      <c r="B296" t="s">
        <v>254</v>
      </c>
      <c r="C296" t="s">
        <v>12</v>
      </c>
      <c r="D296" t="s">
        <v>121</v>
      </c>
      <c r="E296" t="s">
        <v>122</v>
      </c>
      <c r="F296" t="s">
        <v>123</v>
      </c>
      <c r="H296" t="s">
        <v>16</v>
      </c>
      <c r="J296" t="s">
        <v>16</v>
      </c>
      <c r="K296" t="s">
        <v>21</v>
      </c>
    </row>
    <row r="297" spans="1:11" ht="15.5" x14ac:dyDescent="0.35">
      <c r="A297">
        <v>885</v>
      </c>
      <c r="B297" t="s">
        <v>254</v>
      </c>
      <c r="C297" t="s">
        <v>12</v>
      </c>
      <c r="D297" t="s">
        <v>105</v>
      </c>
      <c r="E297" t="s">
        <v>79</v>
      </c>
      <c r="F297" t="s">
        <v>15</v>
      </c>
      <c r="H297" t="s">
        <v>16</v>
      </c>
      <c r="J297" t="s">
        <v>16</v>
      </c>
      <c r="K297" t="s">
        <v>80</v>
      </c>
    </row>
    <row r="298" spans="1:11" ht="15.5" hidden="1" x14ac:dyDescent="0.35">
      <c r="A298">
        <v>885</v>
      </c>
      <c r="B298" t="s">
        <v>254</v>
      </c>
      <c r="C298" t="s">
        <v>12</v>
      </c>
      <c r="D298" t="s">
        <v>128</v>
      </c>
      <c r="E298" t="s">
        <v>129</v>
      </c>
      <c r="F298" t="s">
        <v>130</v>
      </c>
      <c r="H298" t="s">
        <v>16</v>
      </c>
      <c r="J298" t="s">
        <v>16</v>
      </c>
      <c r="K298" t="s">
        <v>21</v>
      </c>
    </row>
    <row r="299" spans="1:11" ht="15.5" hidden="1" x14ac:dyDescent="0.35">
      <c r="A299">
        <v>885</v>
      </c>
      <c r="B299" t="s">
        <v>254</v>
      </c>
      <c r="C299" t="s">
        <v>12</v>
      </c>
      <c r="D299" t="s">
        <v>331</v>
      </c>
      <c r="E299" t="s">
        <v>332</v>
      </c>
      <c r="F299" t="s">
        <v>333</v>
      </c>
      <c r="H299" t="s">
        <v>16</v>
      </c>
      <c r="J299" t="s">
        <v>16</v>
      </c>
      <c r="K299" t="s">
        <v>271</v>
      </c>
    </row>
    <row r="300" spans="1:11" ht="15.5" hidden="1" x14ac:dyDescent="0.35">
      <c r="A300">
        <v>885</v>
      </c>
      <c r="B300" t="s">
        <v>254</v>
      </c>
      <c r="C300" t="s">
        <v>12</v>
      </c>
      <c r="D300" t="s">
        <v>96</v>
      </c>
      <c r="E300" t="s">
        <v>79</v>
      </c>
      <c r="F300" t="s">
        <v>92</v>
      </c>
      <c r="H300" t="s">
        <v>16</v>
      </c>
      <c r="J300" t="s">
        <v>16</v>
      </c>
      <c r="K300" t="s">
        <v>80</v>
      </c>
    </row>
    <row r="301" spans="1:11" ht="15.5" hidden="1" x14ac:dyDescent="0.35">
      <c r="A301">
        <v>885</v>
      </c>
      <c r="B301" t="s">
        <v>254</v>
      </c>
      <c r="C301" t="s">
        <v>12</v>
      </c>
      <c r="D301" t="s">
        <v>158</v>
      </c>
      <c r="E301" t="s">
        <v>90</v>
      </c>
      <c r="F301" t="s">
        <v>91</v>
      </c>
      <c r="H301" t="s">
        <v>16</v>
      </c>
      <c r="J301" t="s">
        <v>16</v>
      </c>
      <c r="K301" t="s">
        <v>21</v>
      </c>
    </row>
    <row r="302" spans="1:11" ht="15.5" hidden="1" x14ac:dyDescent="0.35">
      <c r="A302">
        <v>885</v>
      </c>
      <c r="B302" t="s">
        <v>254</v>
      </c>
      <c r="C302" t="s">
        <v>12</v>
      </c>
      <c r="D302" t="s">
        <v>200</v>
      </c>
      <c r="E302" t="s">
        <v>122</v>
      </c>
      <c r="F302" t="s">
        <v>123</v>
      </c>
      <c r="H302" t="s">
        <v>16</v>
      </c>
      <c r="J302" t="s">
        <v>16</v>
      </c>
      <c r="K302" t="s">
        <v>21</v>
      </c>
    </row>
    <row r="303" spans="1:11" ht="15.5" hidden="1" x14ac:dyDescent="0.35">
      <c r="A303">
        <v>885</v>
      </c>
      <c r="B303" t="s">
        <v>254</v>
      </c>
      <c r="C303" t="s">
        <v>12</v>
      </c>
      <c r="D303" t="s">
        <v>168</v>
      </c>
      <c r="E303" t="s">
        <v>122</v>
      </c>
      <c r="F303" t="s">
        <v>123</v>
      </c>
      <c r="H303" t="s">
        <v>16</v>
      </c>
      <c r="J303" t="s">
        <v>16</v>
      </c>
      <c r="K303" t="s">
        <v>21</v>
      </c>
    </row>
    <row r="304" spans="1:11" ht="15.5" hidden="1" x14ac:dyDescent="0.35">
      <c r="A304">
        <v>885</v>
      </c>
      <c r="B304" t="s">
        <v>254</v>
      </c>
      <c r="C304" t="s">
        <v>12</v>
      </c>
      <c r="D304" t="s">
        <v>206</v>
      </c>
      <c r="E304" t="s">
        <v>122</v>
      </c>
      <c r="F304" t="s">
        <v>123</v>
      </c>
      <c r="H304" t="s">
        <v>16</v>
      </c>
      <c r="J304" t="s">
        <v>16</v>
      </c>
      <c r="K304" t="s">
        <v>21</v>
      </c>
    </row>
    <row r="305" spans="1:11" ht="15.5" hidden="1" x14ac:dyDescent="0.35">
      <c r="A305">
        <v>885</v>
      </c>
      <c r="B305" t="s">
        <v>254</v>
      </c>
      <c r="C305" t="s">
        <v>12</v>
      </c>
      <c r="D305" t="s">
        <v>184</v>
      </c>
      <c r="E305" t="s">
        <v>118</v>
      </c>
      <c r="F305" t="s">
        <v>119</v>
      </c>
      <c r="H305" t="s">
        <v>16</v>
      </c>
      <c r="J305" t="s">
        <v>16</v>
      </c>
      <c r="K305" t="s">
        <v>21</v>
      </c>
    </row>
    <row r="306" spans="1:11" ht="15.5" hidden="1" x14ac:dyDescent="0.35">
      <c r="A306">
        <v>885</v>
      </c>
      <c r="B306" t="s">
        <v>254</v>
      </c>
      <c r="C306" t="s">
        <v>12</v>
      </c>
      <c r="D306" t="s">
        <v>334</v>
      </c>
      <c r="E306" t="s">
        <v>335</v>
      </c>
      <c r="F306" t="s">
        <v>336</v>
      </c>
      <c r="H306" t="s">
        <v>16</v>
      </c>
      <c r="J306" t="s">
        <v>16</v>
      </c>
      <c r="K306" t="s">
        <v>271</v>
      </c>
    </row>
    <row r="307" spans="1:11" ht="15.5" hidden="1" x14ac:dyDescent="0.35">
      <c r="A307">
        <v>885</v>
      </c>
      <c r="B307" t="s">
        <v>254</v>
      </c>
      <c r="C307" t="s">
        <v>12</v>
      </c>
      <c r="D307" t="s">
        <v>337</v>
      </c>
      <c r="E307" t="s">
        <v>332</v>
      </c>
      <c r="F307" t="s">
        <v>333</v>
      </c>
      <c r="H307" t="s">
        <v>16</v>
      </c>
      <c r="J307" t="s">
        <v>16</v>
      </c>
      <c r="K307" t="s">
        <v>271</v>
      </c>
    </row>
    <row r="308" spans="1:11" ht="15.5" hidden="1" x14ac:dyDescent="0.35">
      <c r="A308">
        <v>885</v>
      </c>
      <c r="B308" t="s">
        <v>254</v>
      </c>
      <c r="C308" t="s">
        <v>12</v>
      </c>
      <c r="D308" t="s">
        <v>131</v>
      </c>
      <c r="E308" t="s">
        <v>118</v>
      </c>
      <c r="F308" t="s">
        <v>119</v>
      </c>
      <c r="H308" t="s">
        <v>16</v>
      </c>
      <c r="J308" t="s">
        <v>16</v>
      </c>
      <c r="K308" t="s">
        <v>21</v>
      </c>
    </row>
    <row r="309" spans="1:11" ht="15.5" hidden="1" x14ac:dyDescent="0.35">
      <c r="A309">
        <v>885</v>
      </c>
      <c r="B309" t="s">
        <v>254</v>
      </c>
      <c r="C309" t="s">
        <v>12</v>
      </c>
      <c r="D309" t="s">
        <v>164</v>
      </c>
      <c r="E309" t="s">
        <v>90</v>
      </c>
      <c r="F309" t="s">
        <v>91</v>
      </c>
      <c r="H309" t="s">
        <v>16</v>
      </c>
      <c r="J309" t="s">
        <v>16</v>
      </c>
      <c r="K309" t="s">
        <v>21</v>
      </c>
    </row>
    <row r="310" spans="1:11" ht="15.5" hidden="1" x14ac:dyDescent="0.35">
      <c r="A310">
        <v>885</v>
      </c>
      <c r="B310" t="s">
        <v>254</v>
      </c>
      <c r="C310" t="s">
        <v>12</v>
      </c>
      <c r="D310" t="s">
        <v>212</v>
      </c>
      <c r="E310" t="s">
        <v>122</v>
      </c>
      <c r="F310" t="s">
        <v>123</v>
      </c>
      <c r="H310" t="s">
        <v>16</v>
      </c>
      <c r="J310" t="s">
        <v>16</v>
      </c>
      <c r="K310" t="s">
        <v>21</v>
      </c>
    </row>
    <row r="311" spans="1:11" ht="15.5" hidden="1" x14ac:dyDescent="0.35">
      <c r="A311">
        <v>885</v>
      </c>
      <c r="B311" t="s">
        <v>254</v>
      </c>
      <c r="C311" t="s">
        <v>12</v>
      </c>
      <c r="D311" t="s">
        <v>215</v>
      </c>
      <c r="E311" t="s">
        <v>90</v>
      </c>
      <c r="F311" t="s">
        <v>91</v>
      </c>
      <c r="H311" t="s">
        <v>16</v>
      </c>
      <c r="J311" t="s">
        <v>16</v>
      </c>
      <c r="K311" t="s">
        <v>21</v>
      </c>
    </row>
    <row r="312" spans="1:11" ht="15.5" hidden="1" x14ac:dyDescent="0.35">
      <c r="A312">
        <v>885</v>
      </c>
      <c r="B312" t="s">
        <v>254</v>
      </c>
      <c r="C312" t="s">
        <v>12</v>
      </c>
      <c r="D312" t="s">
        <v>216</v>
      </c>
      <c r="E312" t="s">
        <v>90</v>
      </c>
      <c r="F312" t="s">
        <v>91</v>
      </c>
      <c r="H312" t="s">
        <v>16</v>
      </c>
      <c r="J312" t="s">
        <v>16</v>
      </c>
      <c r="K312" t="s">
        <v>21</v>
      </c>
    </row>
    <row r="313" spans="1:11" ht="15.5" hidden="1" x14ac:dyDescent="0.35">
      <c r="A313">
        <v>885</v>
      </c>
      <c r="B313" t="s">
        <v>254</v>
      </c>
      <c r="C313" t="s">
        <v>12</v>
      </c>
      <c r="D313" t="s">
        <v>207</v>
      </c>
      <c r="E313" t="s">
        <v>122</v>
      </c>
      <c r="F313" t="s">
        <v>123</v>
      </c>
      <c r="H313" t="s">
        <v>16</v>
      </c>
      <c r="J313" t="s">
        <v>16</v>
      </c>
      <c r="K313" t="s">
        <v>21</v>
      </c>
    </row>
    <row r="314" spans="1:11" ht="15.5" hidden="1" x14ac:dyDescent="0.35">
      <c r="A314">
        <v>885</v>
      </c>
      <c r="B314" t="s">
        <v>254</v>
      </c>
      <c r="C314" t="s">
        <v>12</v>
      </c>
      <c r="D314" t="s">
        <v>338</v>
      </c>
      <c r="E314" t="s">
        <v>335</v>
      </c>
      <c r="F314" t="s">
        <v>336</v>
      </c>
      <c r="H314" t="s">
        <v>16</v>
      </c>
      <c r="J314" t="s">
        <v>16</v>
      </c>
      <c r="K314" t="s">
        <v>271</v>
      </c>
    </row>
    <row r="315" spans="1:11" ht="15.5" hidden="1" x14ac:dyDescent="0.35">
      <c r="A315">
        <v>885</v>
      </c>
      <c r="B315" t="s">
        <v>254</v>
      </c>
      <c r="C315" t="s">
        <v>12</v>
      </c>
      <c r="D315" t="s">
        <v>201</v>
      </c>
      <c r="E315" t="s">
        <v>202</v>
      </c>
      <c r="F315" t="s">
        <v>203</v>
      </c>
      <c r="H315" t="s">
        <v>16</v>
      </c>
      <c r="J315" t="s">
        <v>16</v>
      </c>
      <c r="K315" t="s">
        <v>21</v>
      </c>
    </row>
    <row r="316" spans="1:11" ht="15.5" hidden="1" x14ac:dyDescent="0.35">
      <c r="A316">
        <v>885</v>
      </c>
      <c r="B316" t="s">
        <v>254</v>
      </c>
      <c r="C316" t="s">
        <v>12</v>
      </c>
      <c r="D316" t="s">
        <v>141</v>
      </c>
      <c r="E316" t="s">
        <v>118</v>
      </c>
      <c r="F316" t="s">
        <v>119</v>
      </c>
      <c r="H316" t="s">
        <v>16</v>
      </c>
      <c r="J316" t="s">
        <v>16</v>
      </c>
      <c r="K316" t="s">
        <v>21</v>
      </c>
    </row>
    <row r="317" spans="1:11" ht="15.5" hidden="1" x14ac:dyDescent="0.35">
      <c r="A317">
        <v>885</v>
      </c>
      <c r="B317" t="s">
        <v>254</v>
      </c>
      <c r="C317" t="s">
        <v>12</v>
      </c>
      <c r="D317" t="s">
        <v>170</v>
      </c>
      <c r="E317" t="s">
        <v>90</v>
      </c>
      <c r="F317" t="s">
        <v>91</v>
      </c>
      <c r="H317" t="s">
        <v>16</v>
      </c>
      <c r="J317" t="s">
        <v>16</v>
      </c>
      <c r="K317" t="s">
        <v>21</v>
      </c>
    </row>
    <row r="318" spans="1:11" ht="15.5" hidden="1" x14ac:dyDescent="0.35">
      <c r="A318">
        <v>885</v>
      </c>
      <c r="B318" t="s">
        <v>254</v>
      </c>
      <c r="C318" t="s">
        <v>12</v>
      </c>
      <c r="D318" t="s">
        <v>153</v>
      </c>
      <c r="E318" t="s">
        <v>122</v>
      </c>
      <c r="F318" t="s">
        <v>123</v>
      </c>
      <c r="H318" t="s">
        <v>16</v>
      </c>
      <c r="J318" t="s">
        <v>16</v>
      </c>
      <c r="K318" t="s">
        <v>21</v>
      </c>
    </row>
    <row r="319" spans="1:11" ht="15.5" hidden="1" x14ac:dyDescent="0.35">
      <c r="A319">
        <v>885</v>
      </c>
      <c r="B319" t="s">
        <v>254</v>
      </c>
      <c r="C319" t="s">
        <v>12</v>
      </c>
      <c r="D319" t="s">
        <v>177</v>
      </c>
      <c r="E319" t="s">
        <v>115</v>
      </c>
      <c r="F319" t="s">
        <v>116</v>
      </c>
      <c r="H319" t="s">
        <v>16</v>
      </c>
      <c r="J319" t="s">
        <v>16</v>
      </c>
      <c r="K319" t="s">
        <v>21</v>
      </c>
    </row>
    <row r="320" spans="1:11" ht="15.5" hidden="1" x14ac:dyDescent="0.35">
      <c r="A320">
        <v>885</v>
      </c>
      <c r="B320" t="s">
        <v>254</v>
      </c>
      <c r="C320" t="s">
        <v>12</v>
      </c>
      <c r="D320" t="s">
        <v>143</v>
      </c>
      <c r="E320" t="s">
        <v>115</v>
      </c>
      <c r="F320" t="s">
        <v>116</v>
      </c>
      <c r="H320" t="s">
        <v>16</v>
      </c>
      <c r="J320" t="s">
        <v>16</v>
      </c>
      <c r="K320" t="s">
        <v>21</v>
      </c>
    </row>
    <row r="321" spans="1:11" ht="15.5" hidden="1" x14ac:dyDescent="0.35">
      <c r="A321">
        <v>885</v>
      </c>
      <c r="B321" t="s">
        <v>254</v>
      </c>
      <c r="C321" t="s">
        <v>12</v>
      </c>
      <c r="D321" t="s">
        <v>217</v>
      </c>
      <c r="E321" t="s">
        <v>122</v>
      </c>
      <c r="F321" t="s">
        <v>123</v>
      </c>
      <c r="H321" t="s">
        <v>16</v>
      </c>
      <c r="J321" t="s">
        <v>16</v>
      </c>
      <c r="K321" t="s">
        <v>21</v>
      </c>
    </row>
    <row r="322" spans="1:11" ht="15.5" x14ac:dyDescent="0.35">
      <c r="A322">
        <v>885</v>
      </c>
      <c r="B322" t="s">
        <v>254</v>
      </c>
      <c r="C322" t="s">
        <v>12</v>
      </c>
      <c r="D322" t="s">
        <v>339</v>
      </c>
      <c r="E322" t="s">
        <v>340</v>
      </c>
      <c r="F322" t="s">
        <v>28</v>
      </c>
      <c r="H322" t="s">
        <v>16</v>
      </c>
      <c r="J322" t="s">
        <v>16</v>
      </c>
      <c r="K322" t="s">
        <v>17</v>
      </c>
    </row>
    <row r="323" spans="1:11" ht="15.5" hidden="1" x14ac:dyDescent="0.35">
      <c r="A323">
        <v>885</v>
      </c>
      <c r="B323" t="s">
        <v>254</v>
      </c>
      <c r="C323" t="s">
        <v>12</v>
      </c>
      <c r="D323" t="s">
        <v>186</v>
      </c>
      <c r="E323" t="s">
        <v>115</v>
      </c>
      <c r="F323" t="s">
        <v>116</v>
      </c>
      <c r="H323" t="s">
        <v>16</v>
      </c>
      <c r="J323" t="s">
        <v>16</v>
      </c>
      <c r="K323" t="s">
        <v>21</v>
      </c>
    </row>
    <row r="324" spans="1:11" ht="15.5" hidden="1" x14ac:dyDescent="0.35">
      <c r="A324">
        <v>885</v>
      </c>
      <c r="B324" t="s">
        <v>254</v>
      </c>
      <c r="C324" t="s">
        <v>12</v>
      </c>
      <c r="D324" t="s">
        <v>171</v>
      </c>
      <c r="E324" t="s">
        <v>122</v>
      </c>
      <c r="F324" t="s">
        <v>123</v>
      </c>
      <c r="H324" t="s">
        <v>16</v>
      </c>
      <c r="J324" t="s">
        <v>16</v>
      </c>
      <c r="K324" t="s">
        <v>21</v>
      </c>
    </row>
    <row r="325" spans="1:11" ht="15.5" hidden="1" x14ac:dyDescent="0.35">
      <c r="A325">
        <v>885</v>
      </c>
      <c r="B325" t="s">
        <v>254</v>
      </c>
      <c r="C325" t="s">
        <v>12</v>
      </c>
      <c r="D325" t="s">
        <v>219</v>
      </c>
      <c r="E325" t="s">
        <v>115</v>
      </c>
      <c r="F325" t="s">
        <v>116</v>
      </c>
      <c r="H325" t="s">
        <v>16</v>
      </c>
      <c r="J325" t="s">
        <v>16</v>
      </c>
      <c r="K325" t="s">
        <v>21</v>
      </c>
    </row>
    <row r="326" spans="1:11" ht="15.5" hidden="1" x14ac:dyDescent="0.35">
      <c r="A326">
        <v>885</v>
      </c>
      <c r="B326" t="s">
        <v>254</v>
      </c>
      <c r="C326" t="s">
        <v>12</v>
      </c>
      <c r="D326" t="s">
        <v>167</v>
      </c>
      <c r="E326" t="s">
        <v>90</v>
      </c>
      <c r="F326" t="s">
        <v>91</v>
      </c>
      <c r="H326" t="s">
        <v>16</v>
      </c>
      <c r="J326" t="s">
        <v>16</v>
      </c>
      <c r="K326" t="s">
        <v>21</v>
      </c>
    </row>
    <row r="327" spans="1:11" ht="15.5" hidden="1" x14ac:dyDescent="0.35">
      <c r="A327">
        <v>885</v>
      </c>
      <c r="B327" t="s">
        <v>254</v>
      </c>
      <c r="C327" t="s">
        <v>12</v>
      </c>
      <c r="D327" t="s">
        <v>185</v>
      </c>
      <c r="E327" t="s">
        <v>129</v>
      </c>
      <c r="F327" t="s">
        <v>130</v>
      </c>
      <c r="H327" t="s">
        <v>16</v>
      </c>
      <c r="J327" t="s">
        <v>16</v>
      </c>
      <c r="K327" t="s">
        <v>21</v>
      </c>
    </row>
    <row r="328" spans="1:11" ht="15.5" hidden="1" x14ac:dyDescent="0.35">
      <c r="A328">
        <v>885</v>
      </c>
      <c r="B328" t="s">
        <v>254</v>
      </c>
      <c r="C328" t="s">
        <v>12</v>
      </c>
      <c r="D328" t="s">
        <v>166</v>
      </c>
      <c r="E328" t="s">
        <v>129</v>
      </c>
      <c r="F328" t="s">
        <v>130</v>
      </c>
      <c r="H328" t="s">
        <v>16</v>
      </c>
      <c r="J328" t="s">
        <v>16</v>
      </c>
      <c r="K328" t="s">
        <v>21</v>
      </c>
    </row>
    <row r="329" spans="1:11" ht="15.5" hidden="1" x14ac:dyDescent="0.35">
      <c r="A329">
        <v>885</v>
      </c>
      <c r="B329" t="s">
        <v>254</v>
      </c>
      <c r="C329" t="s">
        <v>12</v>
      </c>
      <c r="D329" t="s">
        <v>221</v>
      </c>
      <c r="E329" t="s">
        <v>90</v>
      </c>
      <c r="F329" t="s">
        <v>91</v>
      </c>
      <c r="H329" t="s">
        <v>16</v>
      </c>
      <c r="J329" t="s">
        <v>16</v>
      </c>
      <c r="K329" t="s">
        <v>21</v>
      </c>
    </row>
    <row r="330" spans="1:11" ht="15.5" hidden="1" x14ac:dyDescent="0.35">
      <c r="A330">
        <v>885</v>
      </c>
      <c r="B330" t="s">
        <v>254</v>
      </c>
      <c r="C330" t="s">
        <v>12</v>
      </c>
      <c r="D330" t="s">
        <v>220</v>
      </c>
      <c r="E330" t="s">
        <v>90</v>
      </c>
      <c r="F330" t="s">
        <v>91</v>
      </c>
      <c r="H330" t="s">
        <v>16</v>
      </c>
      <c r="J330" t="s">
        <v>16</v>
      </c>
      <c r="K330" t="s">
        <v>21</v>
      </c>
    </row>
    <row r="331" spans="1:11" ht="15.5" hidden="1" x14ac:dyDescent="0.35">
      <c r="A331">
        <v>885</v>
      </c>
      <c r="B331" t="s">
        <v>254</v>
      </c>
      <c r="C331" t="s">
        <v>12</v>
      </c>
      <c r="D331" t="s">
        <v>195</v>
      </c>
      <c r="E331" t="s">
        <v>129</v>
      </c>
      <c r="F331" t="s">
        <v>130</v>
      </c>
      <c r="H331" t="s">
        <v>16</v>
      </c>
      <c r="J331" t="s">
        <v>16</v>
      </c>
      <c r="K331" t="s">
        <v>21</v>
      </c>
    </row>
    <row r="332" spans="1:11" ht="15.5" hidden="1" x14ac:dyDescent="0.35">
      <c r="A332">
        <v>885</v>
      </c>
      <c r="B332" t="s">
        <v>254</v>
      </c>
      <c r="C332" t="s">
        <v>12</v>
      </c>
      <c r="D332" t="s">
        <v>192</v>
      </c>
      <c r="E332" t="s">
        <v>122</v>
      </c>
      <c r="F332" t="s">
        <v>123</v>
      </c>
      <c r="H332" t="s">
        <v>16</v>
      </c>
      <c r="J332" t="s">
        <v>16</v>
      </c>
      <c r="K332" t="s">
        <v>21</v>
      </c>
    </row>
    <row r="333" spans="1:11" ht="15.5" hidden="1" x14ac:dyDescent="0.35">
      <c r="A333">
        <v>885</v>
      </c>
      <c r="B333" t="s">
        <v>254</v>
      </c>
      <c r="C333" t="s">
        <v>12</v>
      </c>
      <c r="D333" t="s">
        <v>214</v>
      </c>
      <c r="E333" t="s">
        <v>129</v>
      </c>
      <c r="F333" t="s">
        <v>130</v>
      </c>
      <c r="H333" t="s">
        <v>16</v>
      </c>
      <c r="J333" t="s">
        <v>16</v>
      </c>
      <c r="K333" t="s">
        <v>21</v>
      </c>
    </row>
    <row r="334" spans="1:11" ht="15.5" hidden="1" x14ac:dyDescent="0.35">
      <c r="A334">
        <v>885</v>
      </c>
      <c r="B334" t="s">
        <v>254</v>
      </c>
      <c r="C334" t="s">
        <v>12</v>
      </c>
      <c r="D334" t="s">
        <v>176</v>
      </c>
      <c r="E334" t="s">
        <v>115</v>
      </c>
      <c r="F334" t="s">
        <v>116</v>
      </c>
      <c r="H334" t="s">
        <v>16</v>
      </c>
      <c r="J334" t="s">
        <v>16</v>
      </c>
      <c r="K334" t="s">
        <v>21</v>
      </c>
    </row>
    <row r="335" spans="1:11" ht="15.5" hidden="1" x14ac:dyDescent="0.35">
      <c r="A335">
        <v>885</v>
      </c>
      <c r="B335" t="s">
        <v>254</v>
      </c>
      <c r="C335" t="s">
        <v>12</v>
      </c>
      <c r="D335" t="s">
        <v>228</v>
      </c>
      <c r="E335" t="s">
        <v>129</v>
      </c>
      <c r="F335" t="s">
        <v>130</v>
      </c>
      <c r="H335" t="s">
        <v>16</v>
      </c>
      <c r="J335" t="s">
        <v>16</v>
      </c>
      <c r="K335" t="s">
        <v>21</v>
      </c>
    </row>
    <row r="336" spans="1:11" ht="15.5" hidden="1" x14ac:dyDescent="0.35">
      <c r="A336">
        <v>885</v>
      </c>
      <c r="B336" t="s">
        <v>254</v>
      </c>
      <c r="C336" t="s">
        <v>12</v>
      </c>
      <c r="D336" t="s">
        <v>341</v>
      </c>
      <c r="E336" t="s">
        <v>332</v>
      </c>
      <c r="F336" t="s">
        <v>333</v>
      </c>
      <c r="H336" t="s">
        <v>16</v>
      </c>
      <c r="J336" t="s">
        <v>16</v>
      </c>
      <c r="K336" t="s">
        <v>271</v>
      </c>
    </row>
    <row r="337" spans="1:11" ht="15.5" hidden="1" x14ac:dyDescent="0.35">
      <c r="A337">
        <v>885</v>
      </c>
      <c r="B337" t="s">
        <v>254</v>
      </c>
      <c r="C337" t="s">
        <v>12</v>
      </c>
      <c r="D337" t="s">
        <v>89</v>
      </c>
      <c r="E337" t="s">
        <v>90</v>
      </c>
      <c r="F337" t="s">
        <v>91</v>
      </c>
      <c r="H337" t="s">
        <v>16</v>
      </c>
      <c r="J337" t="s">
        <v>16</v>
      </c>
      <c r="K337" t="s">
        <v>21</v>
      </c>
    </row>
    <row r="338" spans="1:11" ht="15.5" hidden="1" x14ac:dyDescent="0.35">
      <c r="A338">
        <v>885</v>
      </c>
      <c r="B338" t="s">
        <v>254</v>
      </c>
      <c r="C338" t="s">
        <v>12</v>
      </c>
      <c r="D338" t="s">
        <v>114</v>
      </c>
      <c r="E338" t="s">
        <v>115</v>
      </c>
      <c r="F338" t="s">
        <v>116</v>
      </c>
      <c r="H338" t="s">
        <v>16</v>
      </c>
      <c r="J338" t="s">
        <v>16</v>
      </c>
      <c r="K338" t="s">
        <v>21</v>
      </c>
    </row>
    <row r="339" spans="1:11" ht="15.5" hidden="1" x14ac:dyDescent="0.35">
      <c r="A339">
        <v>885</v>
      </c>
      <c r="B339" t="s">
        <v>254</v>
      </c>
      <c r="C339" t="s">
        <v>12</v>
      </c>
      <c r="D339" t="s">
        <v>208</v>
      </c>
      <c r="E339" t="s">
        <v>129</v>
      </c>
      <c r="F339" t="s">
        <v>130</v>
      </c>
      <c r="H339" t="s">
        <v>16</v>
      </c>
      <c r="J339" t="s">
        <v>16</v>
      </c>
      <c r="K339" t="s">
        <v>21</v>
      </c>
    </row>
    <row r="340" spans="1:11" ht="15.5" hidden="1" x14ac:dyDescent="0.35">
      <c r="A340">
        <v>885</v>
      </c>
      <c r="B340" t="s">
        <v>254</v>
      </c>
      <c r="C340" t="s">
        <v>12</v>
      </c>
      <c r="D340" t="s">
        <v>205</v>
      </c>
      <c r="E340" t="s">
        <v>122</v>
      </c>
      <c r="F340" t="s">
        <v>123</v>
      </c>
      <c r="H340" t="s">
        <v>16</v>
      </c>
      <c r="J340" t="s">
        <v>16</v>
      </c>
      <c r="K340" t="s">
        <v>21</v>
      </c>
    </row>
    <row r="341" spans="1:11" ht="15.5" hidden="1" x14ac:dyDescent="0.35">
      <c r="A341">
        <v>885</v>
      </c>
      <c r="B341" t="s">
        <v>254</v>
      </c>
      <c r="C341" t="s">
        <v>12</v>
      </c>
      <c r="D341" t="s">
        <v>342</v>
      </c>
      <c r="E341" t="s">
        <v>332</v>
      </c>
      <c r="F341" t="s">
        <v>333</v>
      </c>
      <c r="H341" t="s">
        <v>16</v>
      </c>
      <c r="J341" t="s">
        <v>16</v>
      </c>
      <c r="K341" t="s">
        <v>271</v>
      </c>
    </row>
    <row r="342" spans="1:11" ht="15.5" hidden="1" x14ac:dyDescent="0.35">
      <c r="A342">
        <v>885</v>
      </c>
      <c r="B342" t="s">
        <v>254</v>
      </c>
      <c r="C342" t="s">
        <v>12</v>
      </c>
      <c r="D342" t="s">
        <v>140</v>
      </c>
      <c r="E342" t="s">
        <v>129</v>
      </c>
      <c r="F342" t="s">
        <v>130</v>
      </c>
      <c r="H342" t="s">
        <v>16</v>
      </c>
      <c r="J342" t="s">
        <v>16</v>
      </c>
      <c r="K342" t="s">
        <v>21</v>
      </c>
    </row>
    <row r="343" spans="1:11" ht="15.5" hidden="1" x14ac:dyDescent="0.35">
      <c r="A343">
        <v>885</v>
      </c>
      <c r="B343" t="s">
        <v>254</v>
      </c>
      <c r="C343" t="s">
        <v>12</v>
      </c>
      <c r="D343" t="s">
        <v>218</v>
      </c>
      <c r="E343" t="s">
        <v>129</v>
      </c>
      <c r="F343" t="s">
        <v>130</v>
      </c>
      <c r="H343" t="s">
        <v>16</v>
      </c>
      <c r="J343" t="s">
        <v>16</v>
      </c>
      <c r="K343" t="s">
        <v>21</v>
      </c>
    </row>
    <row r="344" spans="1:11" ht="15.5" hidden="1" x14ac:dyDescent="0.35">
      <c r="A344">
        <v>885</v>
      </c>
      <c r="B344" t="s">
        <v>254</v>
      </c>
      <c r="C344" t="s">
        <v>12</v>
      </c>
      <c r="D344" t="s">
        <v>343</v>
      </c>
      <c r="E344" t="s">
        <v>332</v>
      </c>
      <c r="F344" t="s">
        <v>333</v>
      </c>
      <c r="H344" t="s">
        <v>16</v>
      </c>
      <c r="J344" t="s">
        <v>16</v>
      </c>
      <c r="K344" t="s">
        <v>271</v>
      </c>
    </row>
    <row r="345" spans="1:11" ht="15.5" hidden="1" x14ac:dyDescent="0.35">
      <c r="A345">
        <v>885</v>
      </c>
      <c r="B345" t="s">
        <v>254</v>
      </c>
      <c r="C345" t="s">
        <v>12</v>
      </c>
      <c r="D345" t="s">
        <v>225</v>
      </c>
      <c r="E345" t="s">
        <v>90</v>
      </c>
      <c r="F345" t="s">
        <v>91</v>
      </c>
      <c r="H345" t="s">
        <v>16</v>
      </c>
      <c r="J345" t="s">
        <v>16</v>
      </c>
      <c r="K345" t="s">
        <v>21</v>
      </c>
    </row>
    <row r="346" spans="1:11" ht="15.5" hidden="1" x14ac:dyDescent="0.35">
      <c r="A346">
        <v>885</v>
      </c>
      <c r="B346" t="s">
        <v>254</v>
      </c>
      <c r="C346" t="s">
        <v>12</v>
      </c>
      <c r="D346" t="s">
        <v>148</v>
      </c>
      <c r="E346" t="s">
        <v>129</v>
      </c>
      <c r="F346" t="s">
        <v>130</v>
      </c>
      <c r="H346" t="s">
        <v>16</v>
      </c>
      <c r="J346" t="s">
        <v>16</v>
      </c>
      <c r="K346" t="s">
        <v>21</v>
      </c>
    </row>
    <row r="347" spans="1:11" ht="15.5" hidden="1" x14ac:dyDescent="0.35">
      <c r="A347">
        <v>885</v>
      </c>
      <c r="B347" t="s">
        <v>254</v>
      </c>
      <c r="C347" t="s">
        <v>12</v>
      </c>
      <c r="D347" t="s">
        <v>222</v>
      </c>
      <c r="E347" t="s">
        <v>129</v>
      </c>
      <c r="F347" t="s">
        <v>130</v>
      </c>
      <c r="H347" t="s">
        <v>16</v>
      </c>
      <c r="J347" t="s">
        <v>16</v>
      </c>
      <c r="K347" t="s">
        <v>21</v>
      </c>
    </row>
    <row r="348" spans="1:11" ht="15.5" hidden="1" x14ac:dyDescent="0.35">
      <c r="A348">
        <v>885</v>
      </c>
      <c r="B348" t="s">
        <v>254</v>
      </c>
      <c r="C348" t="s">
        <v>12</v>
      </c>
      <c r="D348" t="s">
        <v>133</v>
      </c>
      <c r="E348" t="s">
        <v>90</v>
      </c>
      <c r="F348" t="s">
        <v>91</v>
      </c>
      <c r="H348" t="s">
        <v>16</v>
      </c>
      <c r="J348" t="s">
        <v>16</v>
      </c>
      <c r="K348" t="s">
        <v>21</v>
      </c>
    </row>
    <row r="349" spans="1:11" ht="15.5" x14ac:dyDescent="0.35">
      <c r="A349">
        <v>885</v>
      </c>
      <c r="B349" t="s">
        <v>254</v>
      </c>
      <c r="C349" t="s">
        <v>12</v>
      </c>
      <c r="D349" t="s">
        <v>344</v>
      </c>
      <c r="E349" t="s">
        <v>345</v>
      </c>
      <c r="F349" t="s">
        <v>28</v>
      </c>
      <c r="H349" t="s">
        <v>16</v>
      </c>
      <c r="J349" t="s">
        <v>16</v>
      </c>
      <c r="K349" t="s">
        <v>17</v>
      </c>
    </row>
    <row r="350" spans="1:11" ht="15.5" hidden="1" x14ac:dyDescent="0.35">
      <c r="A350">
        <v>885</v>
      </c>
      <c r="B350" t="s">
        <v>254</v>
      </c>
      <c r="C350" t="s">
        <v>12</v>
      </c>
      <c r="D350" t="s">
        <v>157</v>
      </c>
      <c r="E350" t="s">
        <v>129</v>
      </c>
      <c r="F350" t="s">
        <v>130</v>
      </c>
      <c r="H350" t="s">
        <v>16</v>
      </c>
      <c r="J350" t="s">
        <v>16</v>
      </c>
      <c r="K350" t="s">
        <v>21</v>
      </c>
    </row>
    <row r="351" spans="1:11" ht="15.5" hidden="1" x14ac:dyDescent="0.35">
      <c r="A351">
        <v>885</v>
      </c>
      <c r="B351" t="s">
        <v>254</v>
      </c>
      <c r="C351" t="s">
        <v>12</v>
      </c>
      <c r="D351" t="s">
        <v>226</v>
      </c>
      <c r="E351" t="s">
        <v>129</v>
      </c>
      <c r="F351" t="s">
        <v>130</v>
      </c>
      <c r="H351" t="s">
        <v>16</v>
      </c>
      <c r="J351" t="s">
        <v>16</v>
      </c>
      <c r="K351" t="s">
        <v>21</v>
      </c>
    </row>
    <row r="352" spans="1:11" ht="15.5" x14ac:dyDescent="0.35">
      <c r="A352">
        <v>885</v>
      </c>
      <c r="B352" t="s">
        <v>254</v>
      </c>
      <c r="C352" t="s">
        <v>12</v>
      </c>
      <c r="D352" t="s">
        <v>346</v>
      </c>
      <c r="E352" t="s">
        <v>340</v>
      </c>
      <c r="F352" t="s">
        <v>15</v>
      </c>
      <c r="H352" t="s">
        <v>16</v>
      </c>
      <c r="J352" t="s">
        <v>16</v>
      </c>
      <c r="K352" t="s">
        <v>17</v>
      </c>
    </row>
    <row r="353" spans="1:11" ht="15.5" hidden="1" x14ac:dyDescent="0.35">
      <c r="A353">
        <v>885</v>
      </c>
      <c r="B353" t="s">
        <v>254</v>
      </c>
      <c r="C353" t="s">
        <v>12</v>
      </c>
      <c r="D353" t="s">
        <v>108</v>
      </c>
      <c r="E353" t="s">
        <v>90</v>
      </c>
      <c r="F353" t="s">
        <v>91</v>
      </c>
      <c r="H353" t="s">
        <v>16</v>
      </c>
      <c r="J353" t="s">
        <v>16</v>
      </c>
      <c r="K353" t="s">
        <v>21</v>
      </c>
    </row>
    <row r="354" spans="1:11" ht="15.5" hidden="1" x14ac:dyDescent="0.35">
      <c r="A354">
        <v>885</v>
      </c>
      <c r="B354" t="s">
        <v>254</v>
      </c>
      <c r="C354" t="s">
        <v>12</v>
      </c>
      <c r="D354" t="s">
        <v>163</v>
      </c>
      <c r="E354" t="s">
        <v>129</v>
      </c>
      <c r="F354" t="s">
        <v>130</v>
      </c>
      <c r="H354" t="s">
        <v>16</v>
      </c>
      <c r="J354" t="s">
        <v>16</v>
      </c>
      <c r="K354" t="s">
        <v>21</v>
      </c>
    </row>
    <row r="355" spans="1:11" ht="15.5" hidden="1" x14ac:dyDescent="0.35">
      <c r="A355">
        <v>885</v>
      </c>
      <c r="B355" t="s">
        <v>254</v>
      </c>
      <c r="C355" t="s">
        <v>12</v>
      </c>
      <c r="D355" t="s">
        <v>196</v>
      </c>
      <c r="E355" t="s">
        <v>197</v>
      </c>
      <c r="F355" t="s">
        <v>198</v>
      </c>
      <c r="H355" t="s">
        <v>16</v>
      </c>
      <c r="J355" t="s">
        <v>16</v>
      </c>
      <c r="K355" t="s">
        <v>199</v>
      </c>
    </row>
    <row r="356" spans="1:11" ht="15.5" hidden="1" x14ac:dyDescent="0.35">
      <c r="A356">
        <v>885</v>
      </c>
      <c r="B356" t="s">
        <v>254</v>
      </c>
      <c r="C356" t="s">
        <v>12</v>
      </c>
      <c r="D356" t="s">
        <v>182</v>
      </c>
      <c r="E356" t="s">
        <v>115</v>
      </c>
      <c r="F356" t="s">
        <v>116</v>
      </c>
      <c r="H356" t="s">
        <v>16</v>
      </c>
      <c r="J356" t="s">
        <v>16</v>
      </c>
      <c r="K356" t="s">
        <v>21</v>
      </c>
    </row>
    <row r="357" spans="1:11" ht="15.5" hidden="1" x14ac:dyDescent="0.35">
      <c r="A357">
        <v>885</v>
      </c>
      <c r="B357" t="s">
        <v>254</v>
      </c>
      <c r="C357" t="s">
        <v>12</v>
      </c>
      <c r="D357" t="s">
        <v>241</v>
      </c>
      <c r="E357" t="s">
        <v>189</v>
      </c>
      <c r="F357" t="s">
        <v>190</v>
      </c>
      <c r="H357" t="s">
        <v>16</v>
      </c>
      <c r="J357" t="s">
        <v>16</v>
      </c>
      <c r="K357" t="s">
        <v>21</v>
      </c>
    </row>
    <row r="358" spans="1:11" ht="15.5" hidden="1" x14ac:dyDescent="0.35">
      <c r="A358">
        <v>885</v>
      </c>
      <c r="B358" t="s">
        <v>254</v>
      </c>
      <c r="C358" t="s">
        <v>12</v>
      </c>
      <c r="D358" t="s">
        <v>169</v>
      </c>
      <c r="E358" t="s">
        <v>129</v>
      </c>
      <c r="F358" t="s">
        <v>130</v>
      </c>
      <c r="H358" t="s">
        <v>16</v>
      </c>
      <c r="J358" t="s">
        <v>16</v>
      </c>
      <c r="K358" t="s">
        <v>21</v>
      </c>
    </row>
    <row r="359" spans="1:11" ht="15.5" hidden="1" x14ac:dyDescent="0.35">
      <c r="A359">
        <v>885</v>
      </c>
      <c r="B359" t="s">
        <v>254</v>
      </c>
      <c r="C359" t="s">
        <v>12</v>
      </c>
      <c r="D359" t="s">
        <v>178</v>
      </c>
      <c r="E359" t="s">
        <v>179</v>
      </c>
      <c r="F359" t="s">
        <v>180</v>
      </c>
      <c r="H359" t="s">
        <v>16</v>
      </c>
      <c r="J359" t="s">
        <v>16</v>
      </c>
      <c r="K359" t="s">
        <v>181</v>
      </c>
    </row>
    <row r="360" spans="1:11" ht="15.5" x14ac:dyDescent="0.35">
      <c r="A360">
        <v>885</v>
      </c>
      <c r="B360" t="s">
        <v>254</v>
      </c>
      <c r="C360" t="s">
        <v>12</v>
      </c>
      <c r="D360" t="s">
        <v>172</v>
      </c>
      <c r="E360" t="s">
        <v>173</v>
      </c>
      <c r="F360" t="s">
        <v>37</v>
      </c>
      <c r="H360" t="s">
        <v>16</v>
      </c>
      <c r="J360" t="s">
        <v>16</v>
      </c>
      <c r="K360" t="s">
        <v>174</v>
      </c>
    </row>
    <row r="361" spans="1:11" ht="15.5" hidden="1" x14ac:dyDescent="0.35">
      <c r="A361">
        <v>885</v>
      </c>
      <c r="B361" t="s">
        <v>254</v>
      </c>
      <c r="C361" t="s">
        <v>12</v>
      </c>
      <c r="D361" t="s">
        <v>191</v>
      </c>
      <c r="E361" t="s">
        <v>129</v>
      </c>
      <c r="F361" t="s">
        <v>130</v>
      </c>
      <c r="H361" t="s">
        <v>16</v>
      </c>
      <c r="J361" t="s">
        <v>16</v>
      </c>
      <c r="K361" t="s">
        <v>21</v>
      </c>
    </row>
    <row r="362" spans="1:11" ht="15.5" hidden="1" x14ac:dyDescent="0.35">
      <c r="A362">
        <v>885</v>
      </c>
      <c r="B362" t="s">
        <v>254</v>
      </c>
      <c r="C362" t="s">
        <v>12</v>
      </c>
      <c r="D362" t="s">
        <v>230</v>
      </c>
      <c r="E362" t="s">
        <v>129</v>
      </c>
      <c r="F362" t="s">
        <v>130</v>
      </c>
      <c r="H362" t="s">
        <v>16</v>
      </c>
      <c r="J362" t="s">
        <v>16</v>
      </c>
      <c r="K362" t="s">
        <v>21</v>
      </c>
    </row>
    <row r="363" spans="1:11" ht="15.5" hidden="1" x14ac:dyDescent="0.35">
      <c r="A363">
        <v>885</v>
      </c>
      <c r="B363" t="s">
        <v>254</v>
      </c>
      <c r="C363" t="s">
        <v>12</v>
      </c>
      <c r="D363" t="s">
        <v>347</v>
      </c>
      <c r="E363" t="s">
        <v>332</v>
      </c>
      <c r="F363" t="s">
        <v>333</v>
      </c>
      <c r="H363" t="s">
        <v>16</v>
      </c>
      <c r="J363" t="s">
        <v>16</v>
      </c>
      <c r="K363" t="s">
        <v>271</v>
      </c>
    </row>
    <row r="364" spans="1:11" ht="15.5" hidden="1" x14ac:dyDescent="0.35">
      <c r="A364">
        <v>885</v>
      </c>
      <c r="B364" t="s">
        <v>254</v>
      </c>
      <c r="C364" t="s">
        <v>12</v>
      </c>
      <c r="D364" t="s">
        <v>223</v>
      </c>
      <c r="E364" t="s">
        <v>129</v>
      </c>
      <c r="F364" t="s">
        <v>130</v>
      </c>
      <c r="H364" t="s">
        <v>16</v>
      </c>
      <c r="J364" t="s">
        <v>16</v>
      </c>
      <c r="K364" t="s">
        <v>21</v>
      </c>
    </row>
    <row r="365" spans="1:11" ht="15.5" x14ac:dyDescent="0.35">
      <c r="A365">
        <v>885</v>
      </c>
      <c r="B365" t="s">
        <v>254</v>
      </c>
      <c r="C365" t="s">
        <v>12</v>
      </c>
      <c r="D365" t="s">
        <v>348</v>
      </c>
      <c r="E365" t="s">
        <v>210</v>
      </c>
      <c r="F365" t="s">
        <v>15</v>
      </c>
      <c r="H365" t="s">
        <v>16</v>
      </c>
      <c r="J365" t="s">
        <v>16</v>
      </c>
      <c r="K365" t="s">
        <v>211</v>
      </c>
    </row>
    <row r="366" spans="1:11" ht="15.5" hidden="1" x14ac:dyDescent="0.35">
      <c r="A366">
        <v>885</v>
      </c>
      <c r="B366" t="s">
        <v>254</v>
      </c>
      <c r="C366" t="s">
        <v>12</v>
      </c>
      <c r="D366" t="s">
        <v>349</v>
      </c>
      <c r="E366" t="s">
        <v>332</v>
      </c>
      <c r="F366" t="s">
        <v>333</v>
      </c>
      <c r="H366" t="s">
        <v>16</v>
      </c>
      <c r="J366" t="s">
        <v>16</v>
      </c>
      <c r="K366" t="s">
        <v>271</v>
      </c>
    </row>
    <row r="367" spans="1:11" ht="15.5" hidden="1" x14ac:dyDescent="0.35">
      <c r="A367">
        <v>885</v>
      </c>
      <c r="B367" t="s">
        <v>254</v>
      </c>
      <c r="C367" t="s">
        <v>12</v>
      </c>
      <c r="D367" t="s">
        <v>350</v>
      </c>
      <c r="E367" t="s">
        <v>335</v>
      </c>
      <c r="F367" t="s">
        <v>336</v>
      </c>
      <c r="H367" t="s">
        <v>16</v>
      </c>
      <c r="J367" t="s">
        <v>16</v>
      </c>
      <c r="K367" t="s">
        <v>271</v>
      </c>
    </row>
    <row r="368" spans="1:11" ht="15.5" x14ac:dyDescent="0.35">
      <c r="A368">
        <v>885</v>
      </c>
      <c r="B368" t="s">
        <v>254</v>
      </c>
      <c r="C368" t="s">
        <v>12</v>
      </c>
      <c r="D368" t="s">
        <v>351</v>
      </c>
      <c r="E368" t="s">
        <v>210</v>
      </c>
      <c r="F368" t="s">
        <v>15</v>
      </c>
      <c r="H368" t="s">
        <v>16</v>
      </c>
      <c r="J368" t="s">
        <v>16</v>
      </c>
      <c r="K368" t="s">
        <v>211</v>
      </c>
    </row>
    <row r="369" spans="1:11" ht="15.5" hidden="1" x14ac:dyDescent="0.35">
      <c r="A369">
        <v>885</v>
      </c>
      <c r="B369" t="s">
        <v>254</v>
      </c>
      <c r="C369" t="s">
        <v>12</v>
      </c>
      <c r="D369" t="s">
        <v>229</v>
      </c>
      <c r="E369" t="s">
        <v>129</v>
      </c>
      <c r="F369" t="s">
        <v>130</v>
      </c>
      <c r="H369" t="s">
        <v>16</v>
      </c>
      <c r="J369" t="s">
        <v>16</v>
      </c>
      <c r="K369" t="s">
        <v>21</v>
      </c>
    </row>
    <row r="370" spans="1:11" ht="15.5" hidden="1" x14ac:dyDescent="0.35">
      <c r="A370">
        <v>885</v>
      </c>
      <c r="B370" t="s">
        <v>254</v>
      </c>
      <c r="C370" t="s">
        <v>12</v>
      </c>
      <c r="D370" t="s">
        <v>352</v>
      </c>
      <c r="E370" t="s">
        <v>332</v>
      </c>
      <c r="F370" t="s">
        <v>333</v>
      </c>
      <c r="H370" t="s">
        <v>16</v>
      </c>
      <c r="J370" t="s">
        <v>16</v>
      </c>
      <c r="K370" t="s">
        <v>271</v>
      </c>
    </row>
    <row r="371" spans="1:11" ht="15.5" hidden="1" x14ac:dyDescent="0.35">
      <c r="A371">
        <v>885</v>
      </c>
      <c r="B371" t="s">
        <v>254</v>
      </c>
      <c r="C371" t="s">
        <v>12</v>
      </c>
      <c r="D371" t="s">
        <v>236</v>
      </c>
      <c r="E371" t="s">
        <v>189</v>
      </c>
      <c r="F371" t="s">
        <v>190</v>
      </c>
      <c r="H371" t="s">
        <v>16</v>
      </c>
      <c r="J371" t="s">
        <v>16</v>
      </c>
      <c r="K371" t="s">
        <v>21</v>
      </c>
    </row>
    <row r="372" spans="1:11" ht="15.5" hidden="1" x14ac:dyDescent="0.35">
      <c r="A372">
        <v>885</v>
      </c>
      <c r="B372" t="s">
        <v>254</v>
      </c>
      <c r="C372" t="s">
        <v>12</v>
      </c>
      <c r="D372" t="s">
        <v>227</v>
      </c>
      <c r="E372" t="s">
        <v>129</v>
      </c>
      <c r="F372" t="s">
        <v>130</v>
      </c>
      <c r="H372" t="s">
        <v>16</v>
      </c>
      <c r="J372" t="s">
        <v>16</v>
      </c>
      <c r="K372" t="s">
        <v>21</v>
      </c>
    </row>
    <row r="373" spans="1:11" ht="15.5" hidden="1" x14ac:dyDescent="0.35">
      <c r="A373">
        <v>885</v>
      </c>
      <c r="B373" t="s">
        <v>254</v>
      </c>
      <c r="C373" t="s">
        <v>12</v>
      </c>
      <c r="D373" t="s">
        <v>204</v>
      </c>
      <c r="E373" t="s">
        <v>129</v>
      </c>
      <c r="F373" t="s">
        <v>130</v>
      </c>
      <c r="H373" t="s">
        <v>16</v>
      </c>
      <c r="J373" t="s">
        <v>16</v>
      </c>
      <c r="K373" t="s">
        <v>21</v>
      </c>
    </row>
    <row r="374" spans="1:11" ht="15.5" hidden="1" x14ac:dyDescent="0.35">
      <c r="A374">
        <v>885</v>
      </c>
      <c r="B374" t="s">
        <v>254</v>
      </c>
      <c r="C374" t="s">
        <v>12</v>
      </c>
      <c r="D374" t="s">
        <v>188</v>
      </c>
      <c r="E374" t="s">
        <v>189</v>
      </c>
      <c r="F374" t="s">
        <v>190</v>
      </c>
      <c r="H374" t="s">
        <v>16</v>
      </c>
      <c r="J374" t="s">
        <v>16</v>
      </c>
      <c r="K374" t="s">
        <v>21</v>
      </c>
    </row>
    <row r="375" spans="1:11" ht="15.5" x14ac:dyDescent="0.35">
      <c r="A375">
        <v>885</v>
      </c>
      <c r="B375" t="s">
        <v>254</v>
      </c>
      <c r="C375" t="s">
        <v>12</v>
      </c>
      <c r="D375" t="s">
        <v>353</v>
      </c>
      <c r="E375" t="s">
        <v>210</v>
      </c>
      <c r="F375" t="s">
        <v>15</v>
      </c>
      <c r="H375" t="s">
        <v>16</v>
      </c>
      <c r="J375" t="s">
        <v>16</v>
      </c>
      <c r="K375" t="s">
        <v>211</v>
      </c>
    </row>
    <row r="376" spans="1:11" ht="15.5" x14ac:dyDescent="0.35">
      <c r="A376">
        <v>885</v>
      </c>
      <c r="B376" t="s">
        <v>254</v>
      </c>
      <c r="C376" t="s">
        <v>12</v>
      </c>
      <c r="D376" t="s">
        <v>354</v>
      </c>
      <c r="E376" t="s">
        <v>210</v>
      </c>
      <c r="F376" t="s">
        <v>15</v>
      </c>
      <c r="H376" t="s">
        <v>16</v>
      </c>
      <c r="J376" t="s">
        <v>16</v>
      </c>
      <c r="K376" t="s">
        <v>211</v>
      </c>
    </row>
    <row r="377" spans="1:11" ht="15.5" hidden="1" x14ac:dyDescent="0.35">
      <c r="A377">
        <v>885</v>
      </c>
      <c r="B377" t="s">
        <v>254</v>
      </c>
      <c r="C377" t="s">
        <v>12</v>
      </c>
      <c r="D377" t="s">
        <v>235</v>
      </c>
      <c r="E377" t="s">
        <v>129</v>
      </c>
      <c r="F377" t="s">
        <v>130</v>
      </c>
      <c r="H377" t="s">
        <v>16</v>
      </c>
      <c r="J377" t="s">
        <v>16</v>
      </c>
      <c r="K377" t="s">
        <v>21</v>
      </c>
    </row>
    <row r="378" spans="1:11" ht="15.5" x14ac:dyDescent="0.35">
      <c r="A378">
        <v>885</v>
      </c>
      <c r="B378" t="s">
        <v>254</v>
      </c>
      <c r="C378" t="s">
        <v>12</v>
      </c>
      <c r="D378" t="s">
        <v>355</v>
      </c>
      <c r="E378" t="s">
        <v>210</v>
      </c>
      <c r="F378" t="s">
        <v>15</v>
      </c>
      <c r="H378" t="s">
        <v>16</v>
      </c>
      <c r="J378" t="s">
        <v>16</v>
      </c>
      <c r="K378" t="s">
        <v>211</v>
      </c>
    </row>
    <row r="379" spans="1:11" ht="15.5" hidden="1" x14ac:dyDescent="0.35">
      <c r="A379">
        <v>885</v>
      </c>
      <c r="B379" t="s">
        <v>254</v>
      </c>
      <c r="C379" t="s">
        <v>12</v>
      </c>
      <c r="D379" t="s">
        <v>240</v>
      </c>
      <c r="E379" t="s">
        <v>129</v>
      </c>
      <c r="F379" t="s">
        <v>130</v>
      </c>
      <c r="H379" t="s">
        <v>16</v>
      </c>
      <c r="J379" t="s">
        <v>16</v>
      </c>
      <c r="K379" t="s">
        <v>21</v>
      </c>
    </row>
    <row r="380" spans="1:11" ht="15.5" hidden="1" x14ac:dyDescent="0.35">
      <c r="A380">
        <v>885</v>
      </c>
      <c r="B380" t="s">
        <v>254</v>
      </c>
      <c r="C380" t="s">
        <v>12</v>
      </c>
      <c r="D380" t="s">
        <v>159</v>
      </c>
      <c r="E380" t="s">
        <v>129</v>
      </c>
      <c r="F380" t="s">
        <v>130</v>
      </c>
      <c r="H380" t="s">
        <v>16</v>
      </c>
      <c r="J380" t="s">
        <v>16</v>
      </c>
      <c r="K380" t="s">
        <v>21</v>
      </c>
    </row>
    <row r="381" spans="1:11" ht="15.5" hidden="1" x14ac:dyDescent="0.35">
      <c r="A381">
        <v>885</v>
      </c>
      <c r="B381" t="s">
        <v>254</v>
      </c>
      <c r="C381" t="s">
        <v>12</v>
      </c>
      <c r="D381" t="s">
        <v>245</v>
      </c>
      <c r="E381" t="s">
        <v>129</v>
      </c>
      <c r="F381" t="s">
        <v>130</v>
      </c>
      <c r="H381" t="s">
        <v>16</v>
      </c>
      <c r="J381" t="s">
        <v>16</v>
      </c>
      <c r="K381" t="s">
        <v>21</v>
      </c>
    </row>
    <row r="382" spans="1:11" ht="15.5" hidden="1" x14ac:dyDescent="0.35">
      <c r="A382">
        <v>885</v>
      </c>
      <c r="B382" t="s">
        <v>254</v>
      </c>
      <c r="C382" t="s">
        <v>12</v>
      </c>
      <c r="D382" t="s">
        <v>231</v>
      </c>
      <c r="E382" t="s">
        <v>232</v>
      </c>
      <c r="F382" t="s">
        <v>233</v>
      </c>
      <c r="H382" t="s">
        <v>16</v>
      </c>
      <c r="J382" t="s">
        <v>16</v>
      </c>
      <c r="K382" t="s">
        <v>174</v>
      </c>
    </row>
    <row r="383" spans="1:11" ht="15.5" hidden="1" x14ac:dyDescent="0.35">
      <c r="A383">
        <v>885</v>
      </c>
      <c r="B383" t="s">
        <v>254</v>
      </c>
      <c r="C383" t="s">
        <v>12</v>
      </c>
      <c r="D383" t="s">
        <v>248</v>
      </c>
      <c r="E383" t="s">
        <v>129</v>
      </c>
      <c r="F383" t="s">
        <v>130</v>
      </c>
      <c r="H383" t="s">
        <v>16</v>
      </c>
      <c r="J383" t="s">
        <v>16</v>
      </c>
      <c r="K383" t="s">
        <v>21</v>
      </c>
    </row>
    <row r="384" spans="1:11" ht="15.5" hidden="1" x14ac:dyDescent="0.35">
      <c r="A384">
        <v>885</v>
      </c>
      <c r="B384" t="s">
        <v>254</v>
      </c>
      <c r="C384" t="s">
        <v>12</v>
      </c>
      <c r="D384" t="s">
        <v>237</v>
      </c>
      <c r="E384" t="s">
        <v>189</v>
      </c>
      <c r="F384" t="s">
        <v>190</v>
      </c>
      <c r="H384" t="s">
        <v>16</v>
      </c>
      <c r="J384" t="s">
        <v>16</v>
      </c>
      <c r="K384" t="s">
        <v>21</v>
      </c>
    </row>
    <row r="385" spans="1:11" ht="15.5" hidden="1" x14ac:dyDescent="0.35">
      <c r="A385">
        <v>885</v>
      </c>
      <c r="B385" t="s">
        <v>254</v>
      </c>
      <c r="C385" t="s">
        <v>12</v>
      </c>
      <c r="D385" t="s">
        <v>249</v>
      </c>
      <c r="E385" t="s">
        <v>250</v>
      </c>
      <c r="F385" t="s">
        <v>251</v>
      </c>
      <c r="H385" t="s">
        <v>16</v>
      </c>
      <c r="J385" t="s">
        <v>16</v>
      </c>
      <c r="K385" t="s">
        <v>252</v>
      </c>
    </row>
    <row r="386" spans="1:11" ht="15.5" hidden="1" x14ac:dyDescent="0.35">
      <c r="A386">
        <v>885</v>
      </c>
      <c r="B386" t="s">
        <v>254</v>
      </c>
      <c r="C386" t="s">
        <v>12</v>
      </c>
      <c r="D386" t="s">
        <v>356</v>
      </c>
      <c r="E386" t="s">
        <v>332</v>
      </c>
      <c r="F386" t="s">
        <v>333</v>
      </c>
      <c r="H386" t="s">
        <v>16</v>
      </c>
      <c r="J386" t="s">
        <v>16</v>
      </c>
      <c r="K386" t="s">
        <v>271</v>
      </c>
    </row>
    <row r="387" spans="1:11" ht="15.5" hidden="1" x14ac:dyDescent="0.35">
      <c r="A387">
        <v>885</v>
      </c>
      <c r="B387" t="s">
        <v>254</v>
      </c>
      <c r="C387" t="s">
        <v>12</v>
      </c>
      <c r="D387" t="s">
        <v>357</v>
      </c>
      <c r="E387" t="s">
        <v>332</v>
      </c>
      <c r="F387" t="s">
        <v>333</v>
      </c>
      <c r="H387" t="s">
        <v>16</v>
      </c>
      <c r="J387" t="s">
        <v>16</v>
      </c>
      <c r="K387" t="s">
        <v>271</v>
      </c>
    </row>
    <row r="388" spans="1:11" ht="15.5" hidden="1" x14ac:dyDescent="0.35">
      <c r="A388">
        <v>885</v>
      </c>
      <c r="B388" t="s">
        <v>254</v>
      </c>
      <c r="C388" t="s">
        <v>12</v>
      </c>
      <c r="D388" t="s">
        <v>358</v>
      </c>
      <c r="E388" t="s">
        <v>335</v>
      </c>
      <c r="F388" t="s">
        <v>336</v>
      </c>
      <c r="H388" t="s">
        <v>16</v>
      </c>
      <c r="J388" t="s">
        <v>16</v>
      </c>
      <c r="K388" t="s">
        <v>271</v>
      </c>
    </row>
    <row r="389" spans="1:11" ht="15.5" hidden="1" x14ac:dyDescent="0.35">
      <c r="A389">
        <v>885</v>
      </c>
      <c r="B389" t="s">
        <v>254</v>
      </c>
      <c r="C389" t="s">
        <v>12</v>
      </c>
      <c r="D389" t="s">
        <v>253</v>
      </c>
      <c r="E389" t="s">
        <v>189</v>
      </c>
      <c r="F389" t="s">
        <v>190</v>
      </c>
      <c r="H389" t="s">
        <v>16</v>
      </c>
      <c r="J389" t="s">
        <v>16</v>
      </c>
      <c r="K389" t="s">
        <v>21</v>
      </c>
    </row>
    <row r="390" spans="1:11" ht="15.5" x14ac:dyDescent="0.35">
      <c r="A390">
        <v>885</v>
      </c>
      <c r="B390" t="s">
        <v>359</v>
      </c>
      <c r="C390" t="s">
        <v>12</v>
      </c>
      <c r="D390" t="s">
        <v>262</v>
      </c>
      <c r="E390" t="s">
        <v>256</v>
      </c>
      <c r="F390" t="s">
        <v>257</v>
      </c>
      <c r="H390" t="s">
        <v>16</v>
      </c>
      <c r="J390" t="s">
        <v>16</v>
      </c>
      <c r="K390" t="s">
        <v>17</v>
      </c>
    </row>
    <row r="391" spans="1:11" ht="15.5" x14ac:dyDescent="0.35">
      <c r="A391">
        <v>885</v>
      </c>
      <c r="B391" t="s">
        <v>359</v>
      </c>
      <c r="C391" t="s">
        <v>12</v>
      </c>
      <c r="D391" t="s">
        <v>27</v>
      </c>
      <c r="E391" t="s">
        <v>19</v>
      </c>
      <c r="F391" t="s">
        <v>28</v>
      </c>
      <c r="H391" t="s">
        <v>16</v>
      </c>
      <c r="J391" t="s">
        <v>16</v>
      </c>
      <c r="K391" t="s">
        <v>21</v>
      </c>
    </row>
    <row r="392" spans="1:11" ht="15.5" x14ac:dyDescent="0.35">
      <c r="A392">
        <v>885</v>
      </c>
      <c r="B392" t="s">
        <v>359</v>
      </c>
      <c r="C392" t="s">
        <v>12</v>
      </c>
      <c r="D392" t="s">
        <v>263</v>
      </c>
      <c r="E392" t="s">
        <v>256</v>
      </c>
      <c r="F392" t="s">
        <v>257</v>
      </c>
      <c r="H392" t="s">
        <v>16</v>
      </c>
      <c r="J392" t="s">
        <v>16</v>
      </c>
      <c r="K392" t="s">
        <v>17</v>
      </c>
    </row>
    <row r="393" spans="1:11" ht="15.5" x14ac:dyDescent="0.35">
      <c r="A393">
        <v>885</v>
      </c>
      <c r="B393" t="s">
        <v>359</v>
      </c>
      <c r="C393" t="s">
        <v>12</v>
      </c>
      <c r="D393" t="s">
        <v>360</v>
      </c>
      <c r="E393" t="s">
        <v>36</v>
      </c>
      <c r="F393" t="s">
        <v>259</v>
      </c>
      <c r="H393" t="s">
        <v>16</v>
      </c>
      <c r="J393" t="s">
        <v>16</v>
      </c>
      <c r="K393" t="s">
        <v>17</v>
      </c>
    </row>
    <row r="394" spans="1:11" ht="15.5" hidden="1" x14ac:dyDescent="0.35">
      <c r="A394">
        <v>885</v>
      </c>
      <c r="B394" t="s">
        <v>359</v>
      </c>
      <c r="C394" t="s">
        <v>12</v>
      </c>
      <c r="D394" t="s">
        <v>18</v>
      </c>
      <c r="E394" t="s">
        <v>19</v>
      </c>
      <c r="F394" t="s">
        <v>20</v>
      </c>
      <c r="H394" t="s">
        <v>16</v>
      </c>
      <c r="J394" t="s">
        <v>16</v>
      </c>
      <c r="K394" t="s">
        <v>21</v>
      </c>
    </row>
    <row r="395" spans="1:11" ht="15.5" x14ac:dyDescent="0.35">
      <c r="A395">
        <v>885</v>
      </c>
      <c r="B395" t="s">
        <v>359</v>
      </c>
      <c r="C395" t="s">
        <v>12</v>
      </c>
      <c r="D395" t="s">
        <v>255</v>
      </c>
      <c r="E395" t="s">
        <v>256</v>
      </c>
      <c r="F395" t="s">
        <v>257</v>
      </c>
      <c r="H395" t="s">
        <v>16</v>
      </c>
      <c r="J395" t="s">
        <v>16</v>
      </c>
      <c r="K395" t="s">
        <v>17</v>
      </c>
    </row>
    <row r="396" spans="1:11" ht="15.5" x14ac:dyDescent="0.35">
      <c r="A396">
        <v>885</v>
      </c>
      <c r="B396" t="s">
        <v>359</v>
      </c>
      <c r="C396" t="s">
        <v>12</v>
      </c>
      <c r="D396" t="s">
        <v>22</v>
      </c>
      <c r="E396" t="s">
        <v>23</v>
      </c>
      <c r="F396" t="s">
        <v>24</v>
      </c>
      <c r="H396" t="s">
        <v>16</v>
      </c>
      <c r="J396" t="s">
        <v>16</v>
      </c>
      <c r="K396" t="s">
        <v>17</v>
      </c>
    </row>
    <row r="397" spans="1:11" ht="15.5" hidden="1" x14ac:dyDescent="0.35">
      <c r="A397">
        <v>885</v>
      </c>
      <c r="B397" t="s">
        <v>359</v>
      </c>
      <c r="C397" t="s">
        <v>12</v>
      </c>
      <c r="D397" t="s">
        <v>27</v>
      </c>
      <c r="E397" t="s">
        <v>19</v>
      </c>
      <c r="F397" t="s">
        <v>20</v>
      </c>
      <c r="H397" t="s">
        <v>16</v>
      </c>
      <c r="J397" t="s">
        <v>16</v>
      </c>
      <c r="K397" t="s">
        <v>21</v>
      </c>
    </row>
    <row r="398" spans="1:11" ht="15.5" hidden="1" x14ac:dyDescent="0.35">
      <c r="A398">
        <v>885</v>
      </c>
      <c r="B398" t="s">
        <v>359</v>
      </c>
      <c r="C398" t="s">
        <v>12</v>
      </c>
      <c r="D398" t="s">
        <v>286</v>
      </c>
      <c r="E398" t="s">
        <v>269</v>
      </c>
      <c r="F398" t="s">
        <v>270</v>
      </c>
      <c r="H398" t="s">
        <v>16</v>
      </c>
      <c r="J398" t="s">
        <v>16</v>
      </c>
      <c r="K398" t="s">
        <v>271</v>
      </c>
    </row>
    <row r="399" spans="1:11" ht="15.5" x14ac:dyDescent="0.35">
      <c r="A399">
        <v>885</v>
      </c>
      <c r="B399" t="s">
        <v>359</v>
      </c>
      <c r="C399" t="s">
        <v>12</v>
      </c>
      <c r="D399" t="s">
        <v>361</v>
      </c>
      <c r="E399" t="s">
        <v>36</v>
      </c>
      <c r="F399" t="s">
        <v>259</v>
      </c>
      <c r="H399" t="s">
        <v>16</v>
      </c>
      <c r="J399" t="s">
        <v>16</v>
      </c>
      <c r="K399" t="s">
        <v>17</v>
      </c>
    </row>
    <row r="400" spans="1:11" ht="15.5" x14ac:dyDescent="0.35">
      <c r="A400">
        <v>885</v>
      </c>
      <c r="B400" t="s">
        <v>359</v>
      </c>
      <c r="C400" t="s">
        <v>12</v>
      </c>
      <c r="D400" t="s">
        <v>272</v>
      </c>
      <c r="E400" t="s">
        <v>256</v>
      </c>
      <c r="F400" t="s">
        <v>257</v>
      </c>
      <c r="H400" t="s">
        <v>16</v>
      </c>
      <c r="J400" t="s">
        <v>16</v>
      </c>
      <c r="K400" t="s">
        <v>17</v>
      </c>
    </row>
    <row r="401" spans="1:11" ht="15.5" x14ac:dyDescent="0.35">
      <c r="A401">
        <v>885</v>
      </c>
      <c r="B401" t="s">
        <v>359</v>
      </c>
      <c r="C401" t="s">
        <v>12</v>
      </c>
      <c r="D401" t="s">
        <v>362</v>
      </c>
      <c r="E401" t="s">
        <v>36</v>
      </c>
      <c r="F401" t="s">
        <v>259</v>
      </c>
      <c r="H401" t="s">
        <v>16</v>
      </c>
      <c r="J401" t="s">
        <v>16</v>
      </c>
      <c r="K401" t="s">
        <v>17</v>
      </c>
    </row>
    <row r="402" spans="1:11" ht="15.5" x14ac:dyDescent="0.35">
      <c r="A402">
        <v>885</v>
      </c>
      <c r="B402" t="s">
        <v>359</v>
      </c>
      <c r="C402" t="s">
        <v>12</v>
      </c>
      <c r="D402" t="s">
        <v>363</v>
      </c>
      <c r="E402" t="s">
        <v>36</v>
      </c>
      <c r="F402" t="s">
        <v>259</v>
      </c>
      <c r="H402" t="s">
        <v>16</v>
      </c>
      <c r="J402" t="s">
        <v>16</v>
      </c>
      <c r="K402" t="s">
        <v>17</v>
      </c>
    </row>
    <row r="403" spans="1:11" ht="15.5" x14ac:dyDescent="0.35">
      <c r="A403">
        <v>885</v>
      </c>
      <c r="B403" t="s">
        <v>359</v>
      </c>
      <c r="C403" t="s">
        <v>12</v>
      </c>
      <c r="D403" t="s">
        <v>264</v>
      </c>
      <c r="E403" t="s">
        <v>256</v>
      </c>
      <c r="F403" t="s">
        <v>257</v>
      </c>
      <c r="H403" t="s">
        <v>16</v>
      </c>
      <c r="J403" t="s">
        <v>16</v>
      </c>
      <c r="K403" t="s">
        <v>17</v>
      </c>
    </row>
    <row r="404" spans="1:11" ht="15.5" x14ac:dyDescent="0.35">
      <c r="A404">
        <v>885</v>
      </c>
      <c r="B404" t="s">
        <v>359</v>
      </c>
      <c r="C404" t="s">
        <v>12</v>
      </c>
      <c r="D404" t="s">
        <v>364</v>
      </c>
      <c r="E404" t="s">
        <v>36</v>
      </c>
      <c r="F404" t="s">
        <v>259</v>
      </c>
      <c r="H404" t="s">
        <v>16</v>
      </c>
      <c r="J404" t="s">
        <v>16</v>
      </c>
      <c r="K404" t="s">
        <v>17</v>
      </c>
    </row>
    <row r="405" spans="1:11" ht="15.5" x14ac:dyDescent="0.35">
      <c r="A405">
        <v>885</v>
      </c>
      <c r="B405" t="s">
        <v>359</v>
      </c>
      <c r="C405" t="s">
        <v>12</v>
      </c>
      <c r="D405" t="s">
        <v>365</v>
      </c>
      <c r="E405" t="s">
        <v>366</v>
      </c>
      <c r="F405" t="s">
        <v>15</v>
      </c>
      <c r="H405" t="s">
        <v>16</v>
      </c>
      <c r="J405" t="s">
        <v>16</v>
      </c>
      <c r="K405" t="s">
        <v>367</v>
      </c>
    </row>
    <row r="406" spans="1:11" ht="15.5" x14ac:dyDescent="0.35">
      <c r="A406">
        <v>885</v>
      </c>
      <c r="B406" t="s">
        <v>359</v>
      </c>
      <c r="C406" t="s">
        <v>12</v>
      </c>
      <c r="D406" t="s">
        <v>25</v>
      </c>
      <c r="E406" t="s">
        <v>26</v>
      </c>
      <c r="F406" t="s">
        <v>15</v>
      </c>
      <c r="H406" t="s">
        <v>16</v>
      </c>
      <c r="J406" t="s">
        <v>16</v>
      </c>
      <c r="K406" t="s">
        <v>17</v>
      </c>
    </row>
    <row r="407" spans="1:11" ht="15.5" x14ac:dyDescent="0.35">
      <c r="A407">
        <v>885</v>
      </c>
      <c r="B407" t="s">
        <v>359</v>
      </c>
      <c r="C407" t="s">
        <v>12</v>
      </c>
      <c r="D407" t="s">
        <v>368</v>
      </c>
      <c r="E407" t="s">
        <v>36</v>
      </c>
      <c r="F407" t="s">
        <v>259</v>
      </c>
      <c r="H407" t="s">
        <v>16</v>
      </c>
      <c r="J407" t="s">
        <v>16</v>
      </c>
      <c r="K407" t="s">
        <v>17</v>
      </c>
    </row>
    <row r="408" spans="1:11" ht="15.5" hidden="1" x14ac:dyDescent="0.35">
      <c r="A408">
        <v>885</v>
      </c>
      <c r="B408" t="s">
        <v>359</v>
      </c>
      <c r="C408" t="s">
        <v>12</v>
      </c>
      <c r="D408" t="s">
        <v>279</v>
      </c>
      <c r="E408" t="s">
        <v>269</v>
      </c>
      <c r="F408" t="s">
        <v>270</v>
      </c>
      <c r="H408" t="s">
        <v>16</v>
      </c>
      <c r="J408" t="s">
        <v>16</v>
      </c>
      <c r="K408" t="s">
        <v>271</v>
      </c>
    </row>
    <row r="409" spans="1:11" ht="15.5" x14ac:dyDescent="0.35">
      <c r="A409">
        <v>885</v>
      </c>
      <c r="B409" t="s">
        <v>359</v>
      </c>
      <c r="C409" t="s">
        <v>12</v>
      </c>
      <c r="D409" t="s">
        <v>274</v>
      </c>
      <c r="E409" t="s">
        <v>36</v>
      </c>
      <c r="F409" t="s">
        <v>259</v>
      </c>
      <c r="H409" t="s">
        <v>16</v>
      </c>
      <c r="J409" t="s">
        <v>16</v>
      </c>
      <c r="K409" t="s">
        <v>17</v>
      </c>
    </row>
    <row r="410" spans="1:11" ht="15.5" x14ac:dyDescent="0.35">
      <c r="A410">
        <v>885</v>
      </c>
      <c r="B410" t="s">
        <v>359</v>
      </c>
      <c r="C410" t="s">
        <v>12</v>
      </c>
      <c r="D410" t="s">
        <v>369</v>
      </c>
      <c r="E410" t="s">
        <v>36</v>
      </c>
      <c r="F410" t="s">
        <v>259</v>
      </c>
      <c r="H410" t="s">
        <v>16</v>
      </c>
      <c r="J410" t="s">
        <v>16</v>
      </c>
      <c r="K410" t="s">
        <v>17</v>
      </c>
    </row>
    <row r="411" spans="1:11" ht="15.5" x14ac:dyDescent="0.35">
      <c r="A411">
        <v>885</v>
      </c>
      <c r="B411" t="s">
        <v>359</v>
      </c>
      <c r="C411" t="s">
        <v>12</v>
      </c>
      <c r="D411" t="s">
        <v>260</v>
      </c>
      <c r="E411" t="s">
        <v>261</v>
      </c>
      <c r="F411" t="s">
        <v>28</v>
      </c>
      <c r="H411" t="s">
        <v>16</v>
      </c>
      <c r="J411" t="s">
        <v>16</v>
      </c>
      <c r="K411" t="s">
        <v>17</v>
      </c>
    </row>
    <row r="412" spans="1:11" ht="15.5" x14ac:dyDescent="0.35">
      <c r="A412">
        <v>885</v>
      </c>
      <c r="B412" t="s">
        <v>359</v>
      </c>
      <c r="C412" t="s">
        <v>12</v>
      </c>
      <c r="D412" t="s">
        <v>370</v>
      </c>
      <c r="E412" t="s">
        <v>36</v>
      </c>
      <c r="F412" t="s">
        <v>259</v>
      </c>
      <c r="H412" t="s">
        <v>16</v>
      </c>
      <c r="J412" t="s">
        <v>16</v>
      </c>
      <c r="K412" t="s">
        <v>17</v>
      </c>
    </row>
    <row r="413" spans="1:11" ht="15.5" x14ac:dyDescent="0.35">
      <c r="A413">
        <v>885</v>
      </c>
      <c r="B413" t="s">
        <v>359</v>
      </c>
      <c r="C413" t="s">
        <v>12</v>
      </c>
      <c r="D413" t="s">
        <v>13</v>
      </c>
      <c r="E413" t="s">
        <v>14</v>
      </c>
      <c r="F413" t="s">
        <v>15</v>
      </c>
      <c r="H413" t="s">
        <v>16</v>
      </c>
      <c r="J413" t="s">
        <v>16</v>
      </c>
      <c r="K413" t="s">
        <v>17</v>
      </c>
    </row>
    <row r="414" spans="1:11" ht="15.5" x14ac:dyDescent="0.35">
      <c r="A414">
        <v>885</v>
      </c>
      <c r="B414" t="s">
        <v>359</v>
      </c>
      <c r="C414" t="s">
        <v>12</v>
      </c>
      <c r="D414" t="s">
        <v>277</v>
      </c>
      <c r="E414" t="s">
        <v>266</v>
      </c>
      <c r="F414" t="s">
        <v>259</v>
      </c>
      <c r="H414" t="s">
        <v>16</v>
      </c>
      <c r="J414" t="s">
        <v>16</v>
      </c>
      <c r="K414" t="s">
        <v>17</v>
      </c>
    </row>
    <row r="415" spans="1:11" ht="15.5" x14ac:dyDescent="0.35">
      <c r="A415">
        <v>885</v>
      </c>
      <c r="B415" t="s">
        <v>359</v>
      </c>
      <c r="C415" t="s">
        <v>12</v>
      </c>
      <c r="D415" t="s">
        <v>371</v>
      </c>
      <c r="E415" t="s">
        <v>36</v>
      </c>
      <c r="F415" t="s">
        <v>259</v>
      </c>
      <c r="H415" t="s">
        <v>16</v>
      </c>
      <c r="J415" t="s">
        <v>16</v>
      </c>
      <c r="K415" t="s">
        <v>17</v>
      </c>
    </row>
    <row r="416" spans="1:11" ht="15.5" x14ac:dyDescent="0.35">
      <c r="A416">
        <v>885</v>
      </c>
      <c r="B416" t="s">
        <v>359</v>
      </c>
      <c r="C416" t="s">
        <v>12</v>
      </c>
      <c r="D416" t="s">
        <v>44</v>
      </c>
      <c r="E416" t="s">
        <v>45</v>
      </c>
      <c r="F416" t="s">
        <v>15</v>
      </c>
      <c r="H416" t="s">
        <v>16</v>
      </c>
      <c r="J416" t="s">
        <v>16</v>
      </c>
      <c r="K416" t="s">
        <v>17</v>
      </c>
    </row>
    <row r="417" spans="1:11" ht="15.5" hidden="1" x14ac:dyDescent="0.35">
      <c r="A417">
        <v>885</v>
      </c>
      <c r="B417" t="s">
        <v>359</v>
      </c>
      <c r="C417" t="s">
        <v>12</v>
      </c>
      <c r="D417" t="s">
        <v>278</v>
      </c>
      <c r="E417" t="s">
        <v>269</v>
      </c>
      <c r="F417" t="s">
        <v>270</v>
      </c>
      <c r="H417" t="s">
        <v>16</v>
      </c>
      <c r="J417" t="s">
        <v>16</v>
      </c>
      <c r="K417" t="s">
        <v>271</v>
      </c>
    </row>
    <row r="418" spans="1:11" ht="15.5" x14ac:dyDescent="0.35">
      <c r="A418">
        <v>885</v>
      </c>
      <c r="B418" t="s">
        <v>359</v>
      </c>
      <c r="C418" t="s">
        <v>12</v>
      </c>
      <c r="D418" t="s">
        <v>258</v>
      </c>
      <c r="E418" t="s">
        <v>36</v>
      </c>
      <c r="F418" t="s">
        <v>259</v>
      </c>
      <c r="H418" t="s">
        <v>16</v>
      </c>
      <c r="J418" t="s">
        <v>16</v>
      </c>
      <c r="K418" t="s">
        <v>17</v>
      </c>
    </row>
    <row r="419" spans="1:11" ht="15.5" x14ac:dyDescent="0.35">
      <c r="A419">
        <v>885</v>
      </c>
      <c r="B419" t="s">
        <v>359</v>
      </c>
      <c r="C419" t="s">
        <v>12</v>
      </c>
      <c r="D419" t="s">
        <v>372</v>
      </c>
      <c r="E419" t="s">
        <v>36</v>
      </c>
      <c r="F419" t="s">
        <v>259</v>
      </c>
      <c r="H419" t="s">
        <v>16</v>
      </c>
      <c r="J419" t="s">
        <v>16</v>
      </c>
      <c r="K419" t="s">
        <v>17</v>
      </c>
    </row>
    <row r="420" spans="1:11" ht="15.5" x14ac:dyDescent="0.35">
      <c r="A420">
        <v>885</v>
      </c>
      <c r="B420" t="s">
        <v>359</v>
      </c>
      <c r="C420" t="s">
        <v>12</v>
      </c>
      <c r="D420" t="s">
        <v>275</v>
      </c>
      <c r="E420" t="s">
        <v>36</v>
      </c>
      <c r="F420" t="s">
        <v>24</v>
      </c>
      <c r="H420" t="s">
        <v>16</v>
      </c>
      <c r="J420" t="s">
        <v>16</v>
      </c>
      <c r="K420" t="s">
        <v>17</v>
      </c>
    </row>
    <row r="421" spans="1:11" ht="15.5" x14ac:dyDescent="0.35">
      <c r="A421">
        <v>885</v>
      </c>
      <c r="B421" t="s">
        <v>359</v>
      </c>
      <c r="C421" t="s">
        <v>12</v>
      </c>
      <c r="D421" t="s">
        <v>267</v>
      </c>
      <c r="E421" t="s">
        <v>256</v>
      </c>
      <c r="F421" t="s">
        <v>257</v>
      </c>
      <c r="H421" t="s">
        <v>16</v>
      </c>
      <c r="J421" t="s">
        <v>16</v>
      </c>
      <c r="K421" t="s">
        <v>17</v>
      </c>
    </row>
    <row r="422" spans="1:11" ht="15.5" x14ac:dyDescent="0.35">
      <c r="A422">
        <v>885</v>
      </c>
      <c r="B422" t="s">
        <v>359</v>
      </c>
      <c r="C422" t="s">
        <v>12</v>
      </c>
      <c r="D422" t="s">
        <v>289</v>
      </c>
      <c r="E422" t="s">
        <v>266</v>
      </c>
      <c r="F422" t="s">
        <v>28</v>
      </c>
      <c r="H422" t="s">
        <v>16</v>
      </c>
      <c r="J422" t="s">
        <v>16</v>
      </c>
      <c r="K422" t="s">
        <v>17</v>
      </c>
    </row>
    <row r="423" spans="1:11" ht="15.5" hidden="1" x14ac:dyDescent="0.35">
      <c r="A423">
        <v>885</v>
      </c>
      <c r="B423" t="s">
        <v>359</v>
      </c>
      <c r="C423" t="s">
        <v>12</v>
      </c>
      <c r="D423" t="s">
        <v>276</v>
      </c>
      <c r="E423" t="s">
        <v>269</v>
      </c>
      <c r="F423" t="s">
        <v>270</v>
      </c>
      <c r="H423" t="s">
        <v>16</v>
      </c>
      <c r="J423" t="s">
        <v>16</v>
      </c>
      <c r="K423" t="s">
        <v>271</v>
      </c>
    </row>
    <row r="424" spans="1:11" ht="15.5" x14ac:dyDescent="0.35">
      <c r="A424">
        <v>885</v>
      </c>
      <c r="B424" t="s">
        <v>359</v>
      </c>
      <c r="C424" t="s">
        <v>12</v>
      </c>
      <c r="D424" t="s">
        <v>308</v>
      </c>
      <c r="E424" t="s">
        <v>291</v>
      </c>
      <c r="F424" t="s">
        <v>28</v>
      </c>
      <c r="H424" t="s">
        <v>16</v>
      </c>
      <c r="J424" t="s">
        <v>16</v>
      </c>
      <c r="K424" t="s">
        <v>17</v>
      </c>
    </row>
    <row r="425" spans="1:11" ht="15.5" x14ac:dyDescent="0.35">
      <c r="A425">
        <v>885</v>
      </c>
      <c r="B425" t="s">
        <v>359</v>
      </c>
      <c r="C425" t="s">
        <v>12</v>
      </c>
      <c r="D425" t="s">
        <v>296</v>
      </c>
      <c r="E425" t="s">
        <v>266</v>
      </c>
      <c r="F425" t="s">
        <v>257</v>
      </c>
      <c r="H425" t="s">
        <v>16</v>
      </c>
      <c r="J425" t="s">
        <v>16</v>
      </c>
      <c r="K425" t="s">
        <v>17</v>
      </c>
    </row>
    <row r="426" spans="1:11" ht="15.5" x14ac:dyDescent="0.35">
      <c r="A426">
        <v>885</v>
      </c>
      <c r="B426" t="s">
        <v>359</v>
      </c>
      <c r="C426" t="s">
        <v>12</v>
      </c>
      <c r="D426" t="s">
        <v>265</v>
      </c>
      <c r="E426" t="s">
        <v>266</v>
      </c>
      <c r="F426" t="s">
        <v>257</v>
      </c>
      <c r="H426" t="s">
        <v>16</v>
      </c>
      <c r="J426" t="s">
        <v>16</v>
      </c>
      <c r="K426" t="s">
        <v>17</v>
      </c>
    </row>
    <row r="427" spans="1:11" ht="15.5" x14ac:dyDescent="0.35">
      <c r="A427">
        <v>885</v>
      </c>
      <c r="B427" t="s">
        <v>359</v>
      </c>
      <c r="C427" t="s">
        <v>12</v>
      </c>
      <c r="D427" t="s">
        <v>42</v>
      </c>
      <c r="E427" t="s">
        <v>36</v>
      </c>
      <c r="F427" t="s">
        <v>24</v>
      </c>
      <c r="H427" t="s">
        <v>16</v>
      </c>
      <c r="J427" t="s">
        <v>16</v>
      </c>
      <c r="K427" t="s">
        <v>17</v>
      </c>
    </row>
    <row r="428" spans="1:11" ht="15.5" hidden="1" x14ac:dyDescent="0.35">
      <c r="A428">
        <v>885</v>
      </c>
      <c r="B428" t="s">
        <v>359</v>
      </c>
      <c r="C428" t="s">
        <v>12</v>
      </c>
      <c r="D428" t="s">
        <v>287</v>
      </c>
      <c r="E428" t="s">
        <v>283</v>
      </c>
      <c r="F428" t="s">
        <v>284</v>
      </c>
      <c r="H428" t="s">
        <v>16</v>
      </c>
      <c r="J428" t="s">
        <v>16</v>
      </c>
      <c r="K428" t="s">
        <v>285</v>
      </c>
    </row>
    <row r="429" spans="1:11" ht="15.5" x14ac:dyDescent="0.35">
      <c r="A429">
        <v>885</v>
      </c>
      <c r="B429" t="s">
        <v>359</v>
      </c>
      <c r="C429" t="s">
        <v>12</v>
      </c>
      <c r="D429" t="s">
        <v>373</v>
      </c>
      <c r="E429" t="s">
        <v>36</v>
      </c>
      <c r="F429" t="s">
        <v>259</v>
      </c>
      <c r="H429" t="s">
        <v>16</v>
      </c>
      <c r="J429" t="s">
        <v>16</v>
      </c>
      <c r="K429" t="s">
        <v>17</v>
      </c>
    </row>
    <row r="430" spans="1:11" ht="15.5" hidden="1" x14ac:dyDescent="0.35">
      <c r="A430">
        <v>885</v>
      </c>
      <c r="B430" t="s">
        <v>359</v>
      </c>
      <c r="C430" t="s">
        <v>12</v>
      </c>
      <c r="D430" t="s">
        <v>311</v>
      </c>
      <c r="E430" t="s">
        <v>283</v>
      </c>
      <c r="F430" t="s">
        <v>284</v>
      </c>
      <c r="H430" t="s">
        <v>16</v>
      </c>
      <c r="J430" t="s">
        <v>16</v>
      </c>
      <c r="K430" t="s">
        <v>285</v>
      </c>
    </row>
    <row r="431" spans="1:11" ht="15.5" x14ac:dyDescent="0.35">
      <c r="A431">
        <v>885</v>
      </c>
      <c r="B431" t="s">
        <v>359</v>
      </c>
      <c r="C431" t="s">
        <v>12</v>
      </c>
      <c r="D431" t="s">
        <v>288</v>
      </c>
      <c r="E431" t="s">
        <v>266</v>
      </c>
      <c r="F431" t="s">
        <v>259</v>
      </c>
      <c r="H431" t="s">
        <v>16</v>
      </c>
      <c r="J431" t="s">
        <v>16</v>
      </c>
      <c r="K431" t="s">
        <v>17</v>
      </c>
    </row>
    <row r="432" spans="1:11" ht="15.5" x14ac:dyDescent="0.35">
      <c r="A432">
        <v>885</v>
      </c>
      <c r="B432" t="s">
        <v>359</v>
      </c>
      <c r="C432" t="s">
        <v>12</v>
      </c>
      <c r="D432" t="s">
        <v>374</v>
      </c>
      <c r="E432" t="s">
        <v>375</v>
      </c>
      <c r="F432" t="s">
        <v>15</v>
      </c>
      <c r="H432" t="s">
        <v>16</v>
      </c>
      <c r="J432" t="s">
        <v>16</v>
      </c>
      <c r="K432" t="s">
        <v>34</v>
      </c>
    </row>
    <row r="433" spans="1:11" ht="15.5" hidden="1" x14ac:dyDescent="0.35">
      <c r="A433">
        <v>885</v>
      </c>
      <c r="B433" t="s">
        <v>359</v>
      </c>
      <c r="C433" t="s">
        <v>12</v>
      </c>
      <c r="D433" t="s">
        <v>304</v>
      </c>
      <c r="E433" t="s">
        <v>283</v>
      </c>
      <c r="F433" t="s">
        <v>284</v>
      </c>
      <c r="H433" t="s">
        <v>16</v>
      </c>
      <c r="J433" t="s">
        <v>16</v>
      </c>
      <c r="K433" t="s">
        <v>285</v>
      </c>
    </row>
    <row r="434" spans="1:11" ht="15.5" x14ac:dyDescent="0.35">
      <c r="A434">
        <v>885</v>
      </c>
      <c r="B434" t="s">
        <v>359</v>
      </c>
      <c r="C434" t="s">
        <v>12</v>
      </c>
      <c r="D434" t="s">
        <v>273</v>
      </c>
      <c r="E434" t="s">
        <v>266</v>
      </c>
      <c r="F434" t="s">
        <v>257</v>
      </c>
      <c r="H434" t="s">
        <v>16</v>
      </c>
      <c r="J434" t="s">
        <v>16</v>
      </c>
      <c r="K434" t="s">
        <v>17</v>
      </c>
    </row>
    <row r="435" spans="1:11" ht="15.5" x14ac:dyDescent="0.35">
      <c r="A435">
        <v>885</v>
      </c>
      <c r="B435" t="s">
        <v>359</v>
      </c>
      <c r="C435" t="s">
        <v>12</v>
      </c>
      <c r="D435" t="s">
        <v>280</v>
      </c>
      <c r="E435" t="s">
        <v>281</v>
      </c>
      <c r="F435" t="s">
        <v>15</v>
      </c>
      <c r="H435" t="s">
        <v>16</v>
      </c>
      <c r="J435" t="s">
        <v>16</v>
      </c>
      <c r="K435" t="s">
        <v>17</v>
      </c>
    </row>
    <row r="436" spans="1:11" ht="15.5" hidden="1" x14ac:dyDescent="0.35">
      <c r="A436">
        <v>885</v>
      </c>
      <c r="B436" t="s">
        <v>359</v>
      </c>
      <c r="C436" t="s">
        <v>12</v>
      </c>
      <c r="D436" t="s">
        <v>318</v>
      </c>
      <c r="E436" t="s">
        <v>283</v>
      </c>
      <c r="F436" t="s">
        <v>284</v>
      </c>
      <c r="H436" t="s">
        <v>16</v>
      </c>
      <c r="J436" t="s">
        <v>16</v>
      </c>
      <c r="K436" t="s">
        <v>285</v>
      </c>
    </row>
    <row r="437" spans="1:11" ht="15.5" x14ac:dyDescent="0.35">
      <c r="A437">
        <v>885</v>
      </c>
      <c r="B437" t="s">
        <v>359</v>
      </c>
      <c r="C437" t="s">
        <v>12</v>
      </c>
      <c r="D437" t="s">
        <v>376</v>
      </c>
      <c r="E437" t="s">
        <v>36</v>
      </c>
      <c r="F437" t="s">
        <v>259</v>
      </c>
      <c r="H437" t="s">
        <v>16</v>
      </c>
      <c r="J437" t="s">
        <v>16</v>
      </c>
      <c r="K437" t="s">
        <v>17</v>
      </c>
    </row>
    <row r="438" spans="1:11" ht="15.5" x14ac:dyDescent="0.35">
      <c r="A438">
        <v>885</v>
      </c>
      <c r="B438" t="s">
        <v>359</v>
      </c>
      <c r="C438" t="s">
        <v>12</v>
      </c>
      <c r="D438" t="s">
        <v>294</v>
      </c>
      <c r="E438" t="s">
        <v>295</v>
      </c>
      <c r="F438" t="s">
        <v>28</v>
      </c>
      <c r="H438" t="s">
        <v>16</v>
      </c>
      <c r="J438" t="s">
        <v>16</v>
      </c>
      <c r="K438" t="s">
        <v>17</v>
      </c>
    </row>
    <row r="439" spans="1:11" ht="15.5" x14ac:dyDescent="0.35">
      <c r="A439">
        <v>885</v>
      </c>
      <c r="B439" t="s">
        <v>359</v>
      </c>
      <c r="C439" t="s">
        <v>12</v>
      </c>
      <c r="D439" t="s">
        <v>377</v>
      </c>
      <c r="E439" t="s">
        <v>375</v>
      </c>
      <c r="F439" t="s">
        <v>24</v>
      </c>
      <c r="H439" t="s">
        <v>16</v>
      </c>
      <c r="J439" t="s">
        <v>16</v>
      </c>
      <c r="K439" t="s">
        <v>34</v>
      </c>
    </row>
    <row r="440" spans="1:11" ht="15.5" x14ac:dyDescent="0.35">
      <c r="A440">
        <v>885</v>
      </c>
      <c r="B440" t="s">
        <v>359</v>
      </c>
      <c r="C440" t="s">
        <v>12</v>
      </c>
      <c r="D440" t="s">
        <v>321</v>
      </c>
      <c r="E440" t="s">
        <v>82</v>
      </c>
      <c r="F440" t="s">
        <v>15</v>
      </c>
      <c r="H440" t="s">
        <v>16</v>
      </c>
      <c r="J440" t="s">
        <v>16</v>
      </c>
      <c r="K440" t="s">
        <v>17</v>
      </c>
    </row>
    <row r="441" spans="1:11" ht="15.5" hidden="1" x14ac:dyDescent="0.35">
      <c r="A441">
        <v>885</v>
      </c>
      <c r="B441" t="s">
        <v>359</v>
      </c>
      <c r="C441" t="s">
        <v>12</v>
      </c>
      <c r="D441" t="s">
        <v>322</v>
      </c>
      <c r="E441" t="s">
        <v>283</v>
      </c>
      <c r="F441" t="s">
        <v>284</v>
      </c>
      <c r="H441" t="s">
        <v>16</v>
      </c>
      <c r="J441" t="s">
        <v>16</v>
      </c>
      <c r="K441" t="s">
        <v>285</v>
      </c>
    </row>
    <row r="442" spans="1:11" ht="15.5" hidden="1" x14ac:dyDescent="0.35">
      <c r="A442">
        <v>885</v>
      </c>
      <c r="B442" t="s">
        <v>359</v>
      </c>
      <c r="C442" t="s">
        <v>12</v>
      </c>
      <c r="D442" t="s">
        <v>282</v>
      </c>
      <c r="E442" t="s">
        <v>283</v>
      </c>
      <c r="F442" t="s">
        <v>284</v>
      </c>
      <c r="H442" t="s">
        <v>16</v>
      </c>
      <c r="J442" t="s">
        <v>16</v>
      </c>
      <c r="K442" t="s">
        <v>285</v>
      </c>
    </row>
    <row r="443" spans="1:11" ht="15.5" x14ac:dyDescent="0.35">
      <c r="A443">
        <v>885</v>
      </c>
      <c r="B443" t="s">
        <v>359</v>
      </c>
      <c r="C443" t="s">
        <v>12</v>
      </c>
      <c r="D443" t="s">
        <v>293</v>
      </c>
      <c r="E443" t="s">
        <v>40</v>
      </c>
      <c r="F443" t="s">
        <v>28</v>
      </c>
      <c r="H443" t="s">
        <v>16</v>
      </c>
      <c r="J443" t="s">
        <v>16</v>
      </c>
      <c r="K443" t="s">
        <v>17</v>
      </c>
    </row>
    <row r="444" spans="1:11" ht="15.5" x14ac:dyDescent="0.35">
      <c r="A444">
        <v>885</v>
      </c>
      <c r="B444" t="s">
        <v>359</v>
      </c>
      <c r="C444" t="s">
        <v>12</v>
      </c>
      <c r="D444" t="s">
        <v>105</v>
      </c>
      <c r="E444" t="s">
        <v>79</v>
      </c>
      <c r="F444" t="s">
        <v>15</v>
      </c>
      <c r="H444" t="s">
        <v>16</v>
      </c>
      <c r="J444" t="s">
        <v>16</v>
      </c>
      <c r="K444" t="s">
        <v>80</v>
      </c>
    </row>
    <row r="445" spans="1:11" ht="15.5" hidden="1" x14ac:dyDescent="0.35">
      <c r="A445">
        <v>885</v>
      </c>
      <c r="B445" t="s">
        <v>359</v>
      </c>
      <c r="C445" t="s">
        <v>12</v>
      </c>
      <c r="D445" t="s">
        <v>268</v>
      </c>
      <c r="E445" t="s">
        <v>269</v>
      </c>
      <c r="F445" t="s">
        <v>270</v>
      </c>
      <c r="H445" t="s">
        <v>16</v>
      </c>
      <c r="J445" t="s">
        <v>16</v>
      </c>
      <c r="K445" t="s">
        <v>271</v>
      </c>
    </row>
    <row r="446" spans="1:11" ht="15.5" x14ac:dyDescent="0.35">
      <c r="A446">
        <v>885</v>
      </c>
      <c r="B446" t="s">
        <v>359</v>
      </c>
      <c r="C446" t="s">
        <v>12</v>
      </c>
      <c r="D446" t="s">
        <v>299</v>
      </c>
      <c r="E446" t="s">
        <v>300</v>
      </c>
      <c r="F446" t="s">
        <v>28</v>
      </c>
      <c r="H446" t="s">
        <v>16</v>
      </c>
      <c r="J446" t="s">
        <v>16</v>
      </c>
      <c r="K446" t="s">
        <v>17</v>
      </c>
    </row>
    <row r="447" spans="1:11" ht="15.5" x14ac:dyDescent="0.35">
      <c r="A447">
        <v>885</v>
      </c>
      <c r="B447" t="s">
        <v>359</v>
      </c>
      <c r="C447" t="s">
        <v>12</v>
      </c>
      <c r="D447" t="s">
        <v>298</v>
      </c>
      <c r="E447" t="s">
        <v>295</v>
      </c>
      <c r="F447" t="s">
        <v>15</v>
      </c>
      <c r="H447" t="s">
        <v>16</v>
      </c>
      <c r="J447" t="s">
        <v>16</v>
      </c>
      <c r="K447" t="s">
        <v>17</v>
      </c>
    </row>
    <row r="448" spans="1:11" ht="15.5" x14ac:dyDescent="0.35">
      <c r="A448">
        <v>885</v>
      </c>
      <c r="B448" t="s">
        <v>359</v>
      </c>
      <c r="C448" t="s">
        <v>12</v>
      </c>
      <c r="D448" t="s">
        <v>378</v>
      </c>
      <c r="E448" t="s">
        <v>379</v>
      </c>
      <c r="F448" t="s">
        <v>15</v>
      </c>
      <c r="H448" t="s">
        <v>16</v>
      </c>
      <c r="J448" t="s">
        <v>16</v>
      </c>
      <c r="K448" t="s">
        <v>80</v>
      </c>
    </row>
    <row r="449" spans="1:11" ht="15.5" x14ac:dyDescent="0.35">
      <c r="A449">
        <v>885</v>
      </c>
      <c r="B449" t="s">
        <v>359</v>
      </c>
      <c r="C449" t="s">
        <v>12</v>
      </c>
      <c r="D449" t="s">
        <v>327</v>
      </c>
      <c r="E449" t="s">
        <v>300</v>
      </c>
      <c r="F449" t="s">
        <v>28</v>
      </c>
      <c r="H449" t="s">
        <v>16</v>
      </c>
      <c r="J449" t="s">
        <v>16</v>
      </c>
      <c r="K449" t="s">
        <v>17</v>
      </c>
    </row>
    <row r="450" spans="1:11" ht="15.5" x14ac:dyDescent="0.35">
      <c r="A450">
        <v>885</v>
      </c>
      <c r="B450" t="s">
        <v>359</v>
      </c>
      <c r="C450" t="s">
        <v>12</v>
      </c>
      <c r="D450" t="s">
        <v>303</v>
      </c>
      <c r="E450" t="s">
        <v>300</v>
      </c>
      <c r="F450" t="s">
        <v>28</v>
      </c>
      <c r="H450" t="s">
        <v>16</v>
      </c>
      <c r="J450" t="s">
        <v>16</v>
      </c>
      <c r="K450" t="s">
        <v>17</v>
      </c>
    </row>
    <row r="451" spans="1:11" ht="15.5" hidden="1" x14ac:dyDescent="0.35">
      <c r="A451">
        <v>885</v>
      </c>
      <c r="B451" t="s">
        <v>359</v>
      </c>
      <c r="C451" t="s">
        <v>12</v>
      </c>
      <c r="D451" t="s">
        <v>297</v>
      </c>
      <c r="E451" t="s">
        <v>283</v>
      </c>
      <c r="F451" t="s">
        <v>284</v>
      </c>
      <c r="H451" t="s">
        <v>16</v>
      </c>
      <c r="J451" t="s">
        <v>16</v>
      </c>
      <c r="K451" t="s">
        <v>285</v>
      </c>
    </row>
    <row r="452" spans="1:11" ht="15.5" x14ac:dyDescent="0.35">
      <c r="A452">
        <v>885</v>
      </c>
      <c r="B452" t="s">
        <v>359</v>
      </c>
      <c r="C452" t="s">
        <v>12</v>
      </c>
      <c r="D452" t="s">
        <v>380</v>
      </c>
      <c r="E452" t="s">
        <v>381</v>
      </c>
      <c r="F452" t="s">
        <v>382</v>
      </c>
      <c r="H452" t="s">
        <v>16</v>
      </c>
      <c r="J452" t="s">
        <v>16</v>
      </c>
      <c r="K452" t="s">
        <v>56</v>
      </c>
    </row>
    <row r="453" spans="1:11" ht="15.5" x14ac:dyDescent="0.35">
      <c r="A453">
        <v>885</v>
      </c>
      <c r="B453" t="s">
        <v>359</v>
      </c>
      <c r="C453" t="s">
        <v>12</v>
      </c>
      <c r="D453" t="s">
        <v>290</v>
      </c>
      <c r="E453" t="s">
        <v>291</v>
      </c>
      <c r="F453" t="s">
        <v>28</v>
      </c>
      <c r="H453" t="s">
        <v>16</v>
      </c>
      <c r="J453" t="s">
        <v>16</v>
      </c>
      <c r="K453" t="s">
        <v>17</v>
      </c>
    </row>
    <row r="454" spans="1:11" ht="15.5" x14ac:dyDescent="0.35">
      <c r="A454">
        <v>885</v>
      </c>
      <c r="B454" t="s">
        <v>359</v>
      </c>
      <c r="C454" t="s">
        <v>12</v>
      </c>
      <c r="D454" t="s">
        <v>323</v>
      </c>
      <c r="E454" t="s">
        <v>320</v>
      </c>
      <c r="F454" t="s">
        <v>28</v>
      </c>
      <c r="H454" t="s">
        <v>16</v>
      </c>
      <c r="J454" t="s">
        <v>16</v>
      </c>
      <c r="K454" t="s">
        <v>17</v>
      </c>
    </row>
    <row r="455" spans="1:11" ht="15.5" x14ac:dyDescent="0.35">
      <c r="A455">
        <v>885</v>
      </c>
      <c r="B455" t="s">
        <v>359</v>
      </c>
      <c r="C455" t="s">
        <v>12</v>
      </c>
      <c r="D455" t="s">
        <v>324</v>
      </c>
      <c r="E455" t="s">
        <v>82</v>
      </c>
      <c r="F455" t="s">
        <v>259</v>
      </c>
      <c r="H455" t="s">
        <v>16</v>
      </c>
      <c r="J455" t="s">
        <v>16</v>
      </c>
      <c r="K455" t="s">
        <v>17</v>
      </c>
    </row>
    <row r="456" spans="1:11" ht="15.5" x14ac:dyDescent="0.35">
      <c r="A456">
        <v>885</v>
      </c>
      <c r="B456" t="s">
        <v>359</v>
      </c>
      <c r="C456" t="s">
        <v>12</v>
      </c>
      <c r="D456" t="s">
        <v>152</v>
      </c>
      <c r="E456" t="s">
        <v>79</v>
      </c>
      <c r="F456" t="s">
        <v>97</v>
      </c>
      <c r="H456" t="s">
        <v>16</v>
      </c>
      <c r="J456" t="s">
        <v>16</v>
      </c>
      <c r="K456" t="s">
        <v>80</v>
      </c>
    </row>
    <row r="457" spans="1:11" ht="15.5" x14ac:dyDescent="0.35">
      <c r="A457">
        <v>885</v>
      </c>
      <c r="B457" t="s">
        <v>359</v>
      </c>
      <c r="C457" t="s">
        <v>12</v>
      </c>
      <c r="D457" t="s">
        <v>328</v>
      </c>
      <c r="E457" t="s">
        <v>300</v>
      </c>
      <c r="F457" t="s">
        <v>28</v>
      </c>
      <c r="H457" t="s">
        <v>16</v>
      </c>
      <c r="J457" t="s">
        <v>16</v>
      </c>
      <c r="K457" t="s">
        <v>17</v>
      </c>
    </row>
    <row r="458" spans="1:11" ht="15.5" x14ac:dyDescent="0.35">
      <c r="A458">
        <v>885</v>
      </c>
      <c r="B458" t="s">
        <v>359</v>
      </c>
      <c r="C458" t="s">
        <v>12</v>
      </c>
      <c r="D458" t="s">
        <v>306</v>
      </c>
      <c r="E458" t="s">
        <v>300</v>
      </c>
      <c r="F458" t="s">
        <v>28</v>
      </c>
      <c r="H458" t="s">
        <v>16</v>
      </c>
      <c r="J458" t="s">
        <v>16</v>
      </c>
      <c r="K458" t="s">
        <v>17</v>
      </c>
    </row>
    <row r="459" spans="1:11" ht="15.5" x14ac:dyDescent="0.35">
      <c r="A459">
        <v>885</v>
      </c>
      <c r="B459" t="s">
        <v>359</v>
      </c>
      <c r="C459" t="s">
        <v>12</v>
      </c>
      <c r="D459" t="s">
        <v>302</v>
      </c>
      <c r="E459" t="s">
        <v>300</v>
      </c>
      <c r="F459" t="s">
        <v>28</v>
      </c>
      <c r="H459" t="s">
        <v>16</v>
      </c>
      <c r="J459" t="s">
        <v>16</v>
      </c>
      <c r="K459" t="s">
        <v>17</v>
      </c>
    </row>
    <row r="460" spans="1:11" ht="15.5" hidden="1" x14ac:dyDescent="0.35">
      <c r="A460">
        <v>885</v>
      </c>
      <c r="B460" t="s">
        <v>359</v>
      </c>
      <c r="C460" t="s">
        <v>12</v>
      </c>
      <c r="D460" t="s">
        <v>342</v>
      </c>
      <c r="E460" t="s">
        <v>332</v>
      </c>
      <c r="F460" t="s">
        <v>333</v>
      </c>
      <c r="H460" t="s">
        <v>16</v>
      </c>
      <c r="J460" t="s">
        <v>16</v>
      </c>
      <c r="K460" t="s">
        <v>271</v>
      </c>
    </row>
    <row r="461" spans="1:11" ht="15.5" x14ac:dyDescent="0.35">
      <c r="A461">
        <v>885</v>
      </c>
      <c r="B461" t="s">
        <v>359</v>
      </c>
      <c r="C461" t="s">
        <v>12</v>
      </c>
      <c r="D461" t="s">
        <v>301</v>
      </c>
      <c r="E461" t="s">
        <v>295</v>
      </c>
      <c r="F461" t="s">
        <v>28</v>
      </c>
      <c r="H461" t="s">
        <v>16</v>
      </c>
      <c r="J461" t="s">
        <v>16</v>
      </c>
      <c r="K461" t="s">
        <v>17</v>
      </c>
    </row>
    <row r="462" spans="1:11" ht="15.5" hidden="1" x14ac:dyDescent="0.35">
      <c r="A462">
        <v>885</v>
      </c>
      <c r="B462" t="s">
        <v>359</v>
      </c>
      <c r="C462" t="s">
        <v>12</v>
      </c>
      <c r="D462" t="s">
        <v>313</v>
      </c>
      <c r="E462" t="s">
        <v>314</v>
      </c>
      <c r="F462" t="s">
        <v>315</v>
      </c>
      <c r="H462" t="s">
        <v>16</v>
      </c>
      <c r="J462" t="s">
        <v>16</v>
      </c>
      <c r="K462" t="s">
        <v>316</v>
      </c>
    </row>
    <row r="463" spans="1:11" ht="15.5" x14ac:dyDescent="0.35">
      <c r="A463">
        <v>885</v>
      </c>
      <c r="B463" t="s">
        <v>359</v>
      </c>
      <c r="C463" t="s">
        <v>12</v>
      </c>
      <c r="D463" t="s">
        <v>94</v>
      </c>
      <c r="E463" t="s">
        <v>79</v>
      </c>
      <c r="F463" t="s">
        <v>15</v>
      </c>
      <c r="H463" t="s">
        <v>16</v>
      </c>
      <c r="J463" t="s">
        <v>16</v>
      </c>
      <c r="K463" t="s">
        <v>80</v>
      </c>
    </row>
    <row r="464" spans="1:11" ht="15.5" x14ac:dyDescent="0.35">
      <c r="A464">
        <v>885</v>
      </c>
      <c r="B464" t="s">
        <v>359</v>
      </c>
      <c r="C464" t="s">
        <v>12</v>
      </c>
      <c r="D464" t="s">
        <v>160</v>
      </c>
      <c r="E464" t="s">
        <v>79</v>
      </c>
      <c r="F464" t="s">
        <v>97</v>
      </c>
      <c r="H464" t="s">
        <v>16</v>
      </c>
      <c r="J464" t="s">
        <v>16</v>
      </c>
      <c r="K464" t="s">
        <v>80</v>
      </c>
    </row>
    <row r="465" spans="1:11" ht="15.5" x14ac:dyDescent="0.35">
      <c r="A465">
        <v>885</v>
      </c>
      <c r="B465" t="s">
        <v>359</v>
      </c>
      <c r="C465" t="s">
        <v>12</v>
      </c>
      <c r="D465" t="s">
        <v>329</v>
      </c>
      <c r="E465" t="s">
        <v>300</v>
      </c>
      <c r="F465" t="s">
        <v>28</v>
      </c>
      <c r="H465" t="s">
        <v>16</v>
      </c>
      <c r="J465" t="s">
        <v>16</v>
      </c>
      <c r="K465" t="s">
        <v>17</v>
      </c>
    </row>
    <row r="466" spans="1:11" ht="15.5" x14ac:dyDescent="0.35">
      <c r="A466">
        <v>885</v>
      </c>
      <c r="B466" t="s">
        <v>359</v>
      </c>
      <c r="C466" t="s">
        <v>12</v>
      </c>
      <c r="D466" t="s">
        <v>310</v>
      </c>
      <c r="E466" t="s">
        <v>300</v>
      </c>
      <c r="F466" t="s">
        <v>28</v>
      </c>
      <c r="H466" t="s">
        <v>16</v>
      </c>
      <c r="J466" t="s">
        <v>16</v>
      </c>
      <c r="K466" t="s">
        <v>17</v>
      </c>
    </row>
    <row r="467" spans="1:11" ht="15.5" x14ac:dyDescent="0.35">
      <c r="A467">
        <v>885</v>
      </c>
      <c r="B467" t="s">
        <v>359</v>
      </c>
      <c r="C467" t="s">
        <v>12</v>
      </c>
      <c r="D467" t="s">
        <v>309</v>
      </c>
      <c r="E467" t="s">
        <v>300</v>
      </c>
      <c r="F467" t="s">
        <v>28</v>
      </c>
      <c r="H467" t="s">
        <v>16</v>
      </c>
      <c r="J467" t="s">
        <v>16</v>
      </c>
      <c r="K467" t="s">
        <v>17</v>
      </c>
    </row>
    <row r="468" spans="1:11" ht="15.5" x14ac:dyDescent="0.35">
      <c r="A468">
        <v>885</v>
      </c>
      <c r="B468" t="s">
        <v>359</v>
      </c>
      <c r="C468" t="s">
        <v>12</v>
      </c>
      <c r="D468" t="s">
        <v>383</v>
      </c>
      <c r="E468" t="s">
        <v>384</v>
      </c>
      <c r="F468" t="s">
        <v>97</v>
      </c>
      <c r="H468" t="s">
        <v>16</v>
      </c>
      <c r="J468" t="s">
        <v>16</v>
      </c>
      <c r="K468" t="s">
        <v>385</v>
      </c>
    </row>
    <row r="469" spans="1:11" ht="15.5" x14ac:dyDescent="0.35">
      <c r="A469">
        <v>885</v>
      </c>
      <c r="B469" t="s">
        <v>359</v>
      </c>
      <c r="C469" t="s">
        <v>12</v>
      </c>
      <c r="D469" t="s">
        <v>307</v>
      </c>
      <c r="E469" t="s">
        <v>300</v>
      </c>
      <c r="F469" t="s">
        <v>28</v>
      </c>
      <c r="H469" t="s">
        <v>16</v>
      </c>
      <c r="J469" t="s">
        <v>16</v>
      </c>
      <c r="K469" t="s">
        <v>17</v>
      </c>
    </row>
    <row r="470" spans="1:11" ht="15.5" x14ac:dyDescent="0.35">
      <c r="A470">
        <v>885</v>
      </c>
      <c r="B470" t="s">
        <v>359</v>
      </c>
      <c r="C470" t="s">
        <v>12</v>
      </c>
      <c r="D470" t="s">
        <v>96</v>
      </c>
      <c r="E470" t="s">
        <v>79</v>
      </c>
      <c r="F470" t="s">
        <v>97</v>
      </c>
      <c r="H470" t="s">
        <v>16</v>
      </c>
      <c r="J470" t="s">
        <v>16</v>
      </c>
      <c r="K470" t="s">
        <v>80</v>
      </c>
    </row>
    <row r="471" spans="1:11" ht="15.5" hidden="1" x14ac:dyDescent="0.35">
      <c r="A471">
        <v>885</v>
      </c>
      <c r="B471" t="s">
        <v>359</v>
      </c>
      <c r="C471" t="s">
        <v>12</v>
      </c>
      <c r="D471" t="s">
        <v>187</v>
      </c>
      <c r="E471" t="s">
        <v>118</v>
      </c>
      <c r="F471" t="s">
        <v>119</v>
      </c>
      <c r="H471" t="s">
        <v>16</v>
      </c>
      <c r="J471" t="s">
        <v>16</v>
      </c>
      <c r="K471" t="s">
        <v>21</v>
      </c>
    </row>
    <row r="472" spans="1:11" ht="15.5" x14ac:dyDescent="0.35">
      <c r="A472">
        <v>885</v>
      </c>
      <c r="B472" t="s">
        <v>359</v>
      </c>
      <c r="C472" t="s">
        <v>12</v>
      </c>
      <c r="D472" t="s">
        <v>78</v>
      </c>
      <c r="E472" t="s">
        <v>79</v>
      </c>
      <c r="F472" t="s">
        <v>15</v>
      </c>
      <c r="H472" t="s">
        <v>16</v>
      </c>
      <c r="J472" t="s">
        <v>16</v>
      </c>
      <c r="K472" t="s">
        <v>80</v>
      </c>
    </row>
    <row r="473" spans="1:11" ht="15.5" x14ac:dyDescent="0.35">
      <c r="A473">
        <v>885</v>
      </c>
      <c r="B473" t="s">
        <v>359</v>
      </c>
      <c r="C473" t="s">
        <v>12</v>
      </c>
      <c r="D473" t="s">
        <v>330</v>
      </c>
      <c r="E473" t="s">
        <v>300</v>
      </c>
      <c r="F473" t="s">
        <v>28</v>
      </c>
      <c r="H473" t="s">
        <v>16</v>
      </c>
      <c r="J473" t="s">
        <v>16</v>
      </c>
      <c r="K473" t="s">
        <v>17</v>
      </c>
    </row>
    <row r="474" spans="1:11" ht="15.5" x14ac:dyDescent="0.35">
      <c r="A474">
        <v>885</v>
      </c>
      <c r="B474" t="s">
        <v>359</v>
      </c>
      <c r="C474" t="s">
        <v>12</v>
      </c>
      <c r="D474" t="s">
        <v>386</v>
      </c>
      <c r="E474" t="s">
        <v>379</v>
      </c>
      <c r="F474" t="s">
        <v>15</v>
      </c>
      <c r="H474" t="s">
        <v>16</v>
      </c>
      <c r="J474" t="s">
        <v>16</v>
      </c>
      <c r="K474" t="s">
        <v>80</v>
      </c>
    </row>
    <row r="475" spans="1:11" ht="15.5" x14ac:dyDescent="0.35">
      <c r="A475">
        <v>885</v>
      </c>
      <c r="B475" t="s">
        <v>359</v>
      </c>
      <c r="C475" t="s">
        <v>12</v>
      </c>
      <c r="D475" t="s">
        <v>312</v>
      </c>
      <c r="E475" t="s">
        <v>300</v>
      </c>
      <c r="F475" t="s">
        <v>28</v>
      </c>
      <c r="H475" t="s">
        <v>16</v>
      </c>
      <c r="J475" t="s">
        <v>16</v>
      </c>
      <c r="K475" t="s">
        <v>17</v>
      </c>
    </row>
    <row r="476" spans="1:11" ht="15.5" x14ac:dyDescent="0.35">
      <c r="A476">
        <v>885</v>
      </c>
      <c r="B476" t="s">
        <v>359</v>
      </c>
      <c r="C476" t="s">
        <v>12</v>
      </c>
      <c r="D476" t="s">
        <v>387</v>
      </c>
      <c r="E476" t="s">
        <v>384</v>
      </c>
      <c r="F476" t="s">
        <v>97</v>
      </c>
      <c r="H476" t="s">
        <v>16</v>
      </c>
      <c r="J476" t="s">
        <v>16</v>
      </c>
      <c r="K476" t="s">
        <v>385</v>
      </c>
    </row>
    <row r="477" spans="1:11" ht="15.5" x14ac:dyDescent="0.35">
      <c r="A477">
        <v>885</v>
      </c>
      <c r="B477" t="s">
        <v>359</v>
      </c>
      <c r="C477" t="s">
        <v>12</v>
      </c>
      <c r="D477" t="s">
        <v>317</v>
      </c>
      <c r="E477" t="s">
        <v>300</v>
      </c>
      <c r="F477" t="s">
        <v>28</v>
      </c>
      <c r="H477" t="s">
        <v>16</v>
      </c>
      <c r="J477" t="s">
        <v>16</v>
      </c>
      <c r="K477" t="s">
        <v>17</v>
      </c>
    </row>
    <row r="478" spans="1:11" ht="15.5" hidden="1" x14ac:dyDescent="0.35">
      <c r="A478">
        <v>885</v>
      </c>
      <c r="B478" t="s">
        <v>359</v>
      </c>
      <c r="C478" t="s">
        <v>12</v>
      </c>
      <c r="D478" t="s">
        <v>215</v>
      </c>
      <c r="E478" t="s">
        <v>90</v>
      </c>
      <c r="F478" t="s">
        <v>91</v>
      </c>
      <c r="H478" t="s">
        <v>16</v>
      </c>
      <c r="J478" t="s">
        <v>16</v>
      </c>
      <c r="K478" t="s">
        <v>21</v>
      </c>
    </row>
    <row r="479" spans="1:11" ht="15.5" hidden="1" x14ac:dyDescent="0.35">
      <c r="A479">
        <v>885</v>
      </c>
      <c r="B479" t="s">
        <v>359</v>
      </c>
      <c r="C479" t="s">
        <v>12</v>
      </c>
      <c r="D479" t="s">
        <v>193</v>
      </c>
      <c r="E479" t="s">
        <v>118</v>
      </c>
      <c r="F479" t="s">
        <v>119</v>
      </c>
      <c r="H479" t="s">
        <v>16</v>
      </c>
      <c r="J479" t="s">
        <v>16</v>
      </c>
      <c r="K479" t="s">
        <v>21</v>
      </c>
    </row>
    <row r="480" spans="1:11" ht="15.5" hidden="1" x14ac:dyDescent="0.35">
      <c r="A480">
        <v>885</v>
      </c>
      <c r="B480" t="s">
        <v>359</v>
      </c>
      <c r="C480" t="s">
        <v>12</v>
      </c>
      <c r="D480" t="s">
        <v>184</v>
      </c>
      <c r="E480" t="s">
        <v>118</v>
      </c>
      <c r="F480" t="s">
        <v>119</v>
      </c>
      <c r="H480" t="s">
        <v>16</v>
      </c>
      <c r="J480" t="s">
        <v>16</v>
      </c>
      <c r="K480" t="s">
        <v>21</v>
      </c>
    </row>
    <row r="481" spans="1:11" ht="15.5" x14ac:dyDescent="0.35">
      <c r="A481">
        <v>885</v>
      </c>
      <c r="B481" t="s">
        <v>359</v>
      </c>
      <c r="C481" t="s">
        <v>12</v>
      </c>
      <c r="D481" t="s">
        <v>150</v>
      </c>
      <c r="E481" t="s">
        <v>82</v>
      </c>
      <c r="F481" t="s">
        <v>15</v>
      </c>
      <c r="H481" t="s">
        <v>16</v>
      </c>
      <c r="J481" t="s">
        <v>16</v>
      </c>
      <c r="K481" t="s">
        <v>17</v>
      </c>
    </row>
    <row r="482" spans="1:11" ht="15.5" hidden="1" x14ac:dyDescent="0.35">
      <c r="A482">
        <v>885</v>
      </c>
      <c r="B482" t="s">
        <v>359</v>
      </c>
      <c r="C482" t="s">
        <v>12</v>
      </c>
      <c r="D482" t="s">
        <v>136</v>
      </c>
      <c r="E482" t="s">
        <v>137</v>
      </c>
      <c r="F482" t="s">
        <v>138</v>
      </c>
      <c r="H482" t="s">
        <v>16</v>
      </c>
      <c r="J482" t="s">
        <v>16</v>
      </c>
      <c r="K482" t="s">
        <v>21</v>
      </c>
    </row>
    <row r="483" spans="1:11" ht="15.5" x14ac:dyDescent="0.35">
      <c r="A483">
        <v>885</v>
      </c>
      <c r="B483" t="s">
        <v>359</v>
      </c>
      <c r="C483" t="s">
        <v>12</v>
      </c>
      <c r="D483" t="s">
        <v>319</v>
      </c>
      <c r="E483" t="s">
        <v>320</v>
      </c>
      <c r="F483" t="s">
        <v>28</v>
      </c>
      <c r="H483" t="s">
        <v>16</v>
      </c>
      <c r="J483" t="s">
        <v>16</v>
      </c>
      <c r="K483" t="s">
        <v>17</v>
      </c>
    </row>
    <row r="484" spans="1:11" ht="15.5" x14ac:dyDescent="0.35">
      <c r="A484">
        <v>885</v>
      </c>
      <c r="B484" t="s">
        <v>359</v>
      </c>
      <c r="C484" t="s">
        <v>12</v>
      </c>
      <c r="D484" t="s">
        <v>388</v>
      </c>
      <c r="E484" t="s">
        <v>384</v>
      </c>
      <c r="F484" t="s">
        <v>97</v>
      </c>
      <c r="H484" t="s">
        <v>16</v>
      </c>
      <c r="J484" t="s">
        <v>16</v>
      </c>
      <c r="K484" t="s">
        <v>385</v>
      </c>
    </row>
    <row r="485" spans="1:11" ht="15.5" x14ac:dyDescent="0.35">
      <c r="A485">
        <v>885</v>
      </c>
      <c r="B485" t="s">
        <v>359</v>
      </c>
      <c r="C485" t="s">
        <v>12</v>
      </c>
      <c r="D485" t="s">
        <v>305</v>
      </c>
      <c r="E485" t="s">
        <v>300</v>
      </c>
      <c r="F485" t="s">
        <v>28</v>
      </c>
      <c r="H485" t="s">
        <v>16</v>
      </c>
      <c r="J485" t="s">
        <v>16</v>
      </c>
      <c r="K485" t="s">
        <v>17</v>
      </c>
    </row>
    <row r="486" spans="1:11" ht="15.5" hidden="1" x14ac:dyDescent="0.35">
      <c r="A486">
        <v>885</v>
      </c>
      <c r="B486" t="s">
        <v>359</v>
      </c>
      <c r="C486" t="s">
        <v>12</v>
      </c>
      <c r="D486" t="s">
        <v>177</v>
      </c>
      <c r="E486" t="s">
        <v>115</v>
      </c>
      <c r="F486" t="s">
        <v>116</v>
      </c>
      <c r="H486" t="s">
        <v>16</v>
      </c>
      <c r="J486" t="s">
        <v>16</v>
      </c>
      <c r="K486" t="s">
        <v>21</v>
      </c>
    </row>
    <row r="487" spans="1:11" ht="15.5" hidden="1" x14ac:dyDescent="0.35">
      <c r="A487">
        <v>885</v>
      </c>
      <c r="B487" t="s">
        <v>359</v>
      </c>
      <c r="C487" t="s">
        <v>12</v>
      </c>
      <c r="D487" t="s">
        <v>167</v>
      </c>
      <c r="E487" t="s">
        <v>90</v>
      </c>
      <c r="F487" t="s">
        <v>91</v>
      </c>
      <c r="H487" t="s">
        <v>16</v>
      </c>
      <c r="J487" t="s">
        <v>16</v>
      </c>
      <c r="K487" t="s">
        <v>21</v>
      </c>
    </row>
    <row r="488" spans="1:11" ht="15.5" hidden="1" x14ac:dyDescent="0.35">
      <c r="A488">
        <v>885</v>
      </c>
      <c r="B488" t="s">
        <v>359</v>
      </c>
      <c r="C488" t="s">
        <v>12</v>
      </c>
      <c r="D488" t="s">
        <v>191</v>
      </c>
      <c r="E488" t="s">
        <v>129</v>
      </c>
      <c r="F488" t="s">
        <v>130</v>
      </c>
      <c r="H488" t="s">
        <v>16</v>
      </c>
      <c r="J488" t="s">
        <v>16</v>
      </c>
      <c r="K488" t="s">
        <v>21</v>
      </c>
    </row>
    <row r="489" spans="1:11" ht="15.5" x14ac:dyDescent="0.35">
      <c r="A489">
        <v>885</v>
      </c>
      <c r="B489" t="s">
        <v>359</v>
      </c>
      <c r="C489" t="s">
        <v>12</v>
      </c>
      <c r="D489" t="s">
        <v>389</v>
      </c>
      <c r="E489" t="s">
        <v>379</v>
      </c>
      <c r="F489" t="s">
        <v>15</v>
      </c>
      <c r="H489" t="s">
        <v>16</v>
      </c>
      <c r="J489" t="s">
        <v>16</v>
      </c>
      <c r="K489" t="s">
        <v>80</v>
      </c>
    </row>
    <row r="490" spans="1:11" ht="15.5" hidden="1" x14ac:dyDescent="0.35">
      <c r="A490">
        <v>885</v>
      </c>
      <c r="B490" t="s">
        <v>359</v>
      </c>
      <c r="C490" t="s">
        <v>12</v>
      </c>
      <c r="D490" t="s">
        <v>151</v>
      </c>
      <c r="E490" t="s">
        <v>129</v>
      </c>
      <c r="F490" t="s">
        <v>130</v>
      </c>
      <c r="H490" t="s">
        <v>16</v>
      </c>
      <c r="J490" t="s">
        <v>16</v>
      </c>
      <c r="K490" t="s">
        <v>21</v>
      </c>
    </row>
    <row r="491" spans="1:11" ht="15.5" x14ac:dyDescent="0.35">
      <c r="A491">
        <v>885</v>
      </c>
      <c r="B491" t="s">
        <v>359</v>
      </c>
      <c r="C491" t="s">
        <v>12</v>
      </c>
      <c r="D491" t="s">
        <v>155</v>
      </c>
      <c r="E491" t="s">
        <v>156</v>
      </c>
      <c r="F491" t="s">
        <v>15</v>
      </c>
      <c r="H491" t="s">
        <v>16</v>
      </c>
      <c r="J491" t="s">
        <v>16</v>
      </c>
      <c r="K491" t="s">
        <v>17</v>
      </c>
    </row>
    <row r="492" spans="1:11" ht="15.5" x14ac:dyDescent="0.35">
      <c r="A492">
        <v>885</v>
      </c>
      <c r="B492" t="s">
        <v>359</v>
      </c>
      <c r="C492" t="s">
        <v>12</v>
      </c>
      <c r="D492" t="s">
        <v>344</v>
      </c>
      <c r="E492" t="s">
        <v>345</v>
      </c>
      <c r="F492" t="s">
        <v>28</v>
      </c>
      <c r="H492" t="s">
        <v>16</v>
      </c>
      <c r="J492" t="s">
        <v>16</v>
      </c>
      <c r="K492" t="s">
        <v>17</v>
      </c>
    </row>
    <row r="493" spans="1:11" ht="15.5" x14ac:dyDescent="0.35">
      <c r="A493">
        <v>885</v>
      </c>
      <c r="B493" t="s">
        <v>359</v>
      </c>
      <c r="C493" t="s">
        <v>12</v>
      </c>
      <c r="D493" t="s">
        <v>325</v>
      </c>
      <c r="E493" t="s">
        <v>82</v>
      </c>
      <c r="F493" t="s">
        <v>259</v>
      </c>
      <c r="H493" t="s">
        <v>16</v>
      </c>
      <c r="J493" t="s">
        <v>16</v>
      </c>
      <c r="K493" t="s">
        <v>17</v>
      </c>
    </row>
    <row r="494" spans="1:11" ht="15.5" hidden="1" x14ac:dyDescent="0.35">
      <c r="A494">
        <v>885</v>
      </c>
      <c r="B494" t="s">
        <v>359</v>
      </c>
      <c r="C494" t="s">
        <v>12</v>
      </c>
      <c r="D494" t="s">
        <v>224</v>
      </c>
      <c r="E494" t="s">
        <v>129</v>
      </c>
      <c r="F494" t="s">
        <v>130</v>
      </c>
      <c r="H494" t="s">
        <v>16</v>
      </c>
      <c r="J494" t="s">
        <v>16</v>
      </c>
      <c r="K494" t="s">
        <v>21</v>
      </c>
    </row>
    <row r="495" spans="1:11" ht="15.5" hidden="1" x14ac:dyDescent="0.35">
      <c r="A495">
        <v>885</v>
      </c>
      <c r="B495" t="s">
        <v>359</v>
      </c>
      <c r="C495" t="s">
        <v>12</v>
      </c>
      <c r="D495" t="s">
        <v>176</v>
      </c>
      <c r="E495" t="s">
        <v>115</v>
      </c>
      <c r="F495" t="s">
        <v>116</v>
      </c>
      <c r="H495" t="s">
        <v>16</v>
      </c>
      <c r="J495" t="s">
        <v>16</v>
      </c>
      <c r="K495" t="s">
        <v>21</v>
      </c>
    </row>
    <row r="496" spans="1:11" ht="15.5" hidden="1" x14ac:dyDescent="0.35">
      <c r="A496">
        <v>885</v>
      </c>
      <c r="B496" t="s">
        <v>359</v>
      </c>
      <c r="C496" t="s">
        <v>12</v>
      </c>
      <c r="D496" t="s">
        <v>356</v>
      </c>
      <c r="E496" t="s">
        <v>332</v>
      </c>
      <c r="F496" t="s">
        <v>333</v>
      </c>
      <c r="H496" t="s">
        <v>16</v>
      </c>
      <c r="J496" t="s">
        <v>16</v>
      </c>
      <c r="K496" t="s">
        <v>271</v>
      </c>
    </row>
    <row r="497" spans="1:11" ht="15.5" hidden="1" x14ac:dyDescent="0.35">
      <c r="A497">
        <v>885</v>
      </c>
      <c r="B497" t="s">
        <v>359</v>
      </c>
      <c r="C497" t="s">
        <v>12</v>
      </c>
      <c r="D497" t="s">
        <v>338</v>
      </c>
      <c r="E497" t="s">
        <v>335</v>
      </c>
      <c r="F497" t="s">
        <v>336</v>
      </c>
      <c r="H497" t="s">
        <v>16</v>
      </c>
      <c r="J497" t="s">
        <v>16</v>
      </c>
      <c r="K497" t="s">
        <v>271</v>
      </c>
    </row>
    <row r="498" spans="1:11" ht="15.5" hidden="1" x14ac:dyDescent="0.35">
      <c r="A498">
        <v>885</v>
      </c>
      <c r="B498" t="s">
        <v>359</v>
      </c>
      <c r="C498" t="s">
        <v>12</v>
      </c>
      <c r="D498" t="s">
        <v>337</v>
      </c>
      <c r="E498" t="s">
        <v>332</v>
      </c>
      <c r="F498" t="s">
        <v>333</v>
      </c>
      <c r="H498" t="s">
        <v>16</v>
      </c>
      <c r="J498" t="s">
        <v>16</v>
      </c>
      <c r="K498" t="s">
        <v>271</v>
      </c>
    </row>
    <row r="499" spans="1:11" ht="15.5" x14ac:dyDescent="0.35">
      <c r="A499">
        <v>885</v>
      </c>
      <c r="B499" t="s">
        <v>359</v>
      </c>
      <c r="C499" t="s">
        <v>12</v>
      </c>
      <c r="D499" t="s">
        <v>81</v>
      </c>
      <c r="E499" t="s">
        <v>82</v>
      </c>
      <c r="F499" t="s">
        <v>15</v>
      </c>
      <c r="H499" t="s">
        <v>16</v>
      </c>
      <c r="J499" t="s">
        <v>16</v>
      </c>
      <c r="K499" t="s">
        <v>17</v>
      </c>
    </row>
    <row r="500" spans="1:11" ht="15.5" hidden="1" x14ac:dyDescent="0.35">
      <c r="A500">
        <v>885</v>
      </c>
      <c r="B500" t="s">
        <v>359</v>
      </c>
      <c r="C500" t="s">
        <v>12</v>
      </c>
      <c r="D500" t="s">
        <v>241</v>
      </c>
      <c r="E500" t="s">
        <v>189</v>
      </c>
      <c r="F500" t="s">
        <v>190</v>
      </c>
      <c r="H500" t="s">
        <v>16</v>
      </c>
      <c r="J500" t="s">
        <v>16</v>
      </c>
      <c r="K500" t="s">
        <v>21</v>
      </c>
    </row>
    <row r="501" spans="1:11" ht="15.5" x14ac:dyDescent="0.35">
      <c r="A501">
        <v>885</v>
      </c>
      <c r="B501" t="s">
        <v>359</v>
      </c>
      <c r="C501" t="s">
        <v>12</v>
      </c>
      <c r="D501" t="s">
        <v>165</v>
      </c>
      <c r="E501" t="s">
        <v>79</v>
      </c>
      <c r="F501" t="s">
        <v>15</v>
      </c>
      <c r="H501" t="s">
        <v>16</v>
      </c>
      <c r="J501" t="s">
        <v>16</v>
      </c>
      <c r="K501" t="s">
        <v>80</v>
      </c>
    </row>
    <row r="502" spans="1:11" ht="15.5" hidden="1" x14ac:dyDescent="0.35">
      <c r="A502">
        <v>885</v>
      </c>
      <c r="B502" t="s">
        <v>359</v>
      </c>
      <c r="C502" t="s">
        <v>12</v>
      </c>
      <c r="D502" t="s">
        <v>196</v>
      </c>
      <c r="E502" t="s">
        <v>197</v>
      </c>
      <c r="F502" t="s">
        <v>198</v>
      </c>
      <c r="H502" t="s">
        <v>16</v>
      </c>
      <c r="J502" t="s">
        <v>16</v>
      </c>
      <c r="K502" t="s">
        <v>199</v>
      </c>
    </row>
    <row r="503" spans="1:11" ht="15.5" hidden="1" x14ac:dyDescent="0.35">
      <c r="A503">
        <v>885</v>
      </c>
      <c r="B503" t="s">
        <v>359</v>
      </c>
      <c r="C503" t="s">
        <v>12</v>
      </c>
      <c r="D503" t="s">
        <v>114</v>
      </c>
      <c r="E503" t="s">
        <v>115</v>
      </c>
      <c r="F503" t="s">
        <v>116</v>
      </c>
      <c r="H503" t="s">
        <v>16</v>
      </c>
      <c r="J503" t="s">
        <v>16</v>
      </c>
      <c r="K503" t="s">
        <v>21</v>
      </c>
    </row>
    <row r="504" spans="1:11" ht="15.5" hidden="1" x14ac:dyDescent="0.35">
      <c r="A504">
        <v>885</v>
      </c>
      <c r="B504" t="s">
        <v>359</v>
      </c>
      <c r="C504" t="s">
        <v>12</v>
      </c>
      <c r="D504" t="s">
        <v>357</v>
      </c>
      <c r="E504" t="s">
        <v>332</v>
      </c>
      <c r="F504" t="s">
        <v>333</v>
      </c>
      <c r="H504" t="s">
        <v>16</v>
      </c>
      <c r="J504" t="s">
        <v>16</v>
      </c>
      <c r="K504" t="s">
        <v>271</v>
      </c>
    </row>
    <row r="505" spans="1:11" ht="15.5" x14ac:dyDescent="0.35">
      <c r="A505">
        <v>885</v>
      </c>
      <c r="B505" t="s">
        <v>359</v>
      </c>
      <c r="C505" t="s">
        <v>12</v>
      </c>
      <c r="D505" t="s">
        <v>390</v>
      </c>
      <c r="E505" t="s">
        <v>384</v>
      </c>
      <c r="F505" t="s">
        <v>97</v>
      </c>
      <c r="H505" t="s">
        <v>16</v>
      </c>
      <c r="J505" t="s">
        <v>16</v>
      </c>
      <c r="K505" t="s">
        <v>385</v>
      </c>
    </row>
    <row r="506" spans="1:11" ht="15.5" x14ac:dyDescent="0.35">
      <c r="A506">
        <v>885</v>
      </c>
      <c r="B506" t="s">
        <v>359</v>
      </c>
      <c r="C506" t="s">
        <v>12</v>
      </c>
      <c r="D506" t="s">
        <v>391</v>
      </c>
      <c r="E506" t="s">
        <v>384</v>
      </c>
      <c r="F506" t="s">
        <v>97</v>
      </c>
      <c r="H506" t="s">
        <v>16</v>
      </c>
      <c r="J506" t="s">
        <v>16</v>
      </c>
      <c r="K506" t="s">
        <v>385</v>
      </c>
    </row>
    <row r="507" spans="1:11" ht="15.5" x14ac:dyDescent="0.35">
      <c r="A507">
        <v>885</v>
      </c>
      <c r="B507" t="s">
        <v>359</v>
      </c>
      <c r="C507" t="s">
        <v>12</v>
      </c>
      <c r="D507" t="s">
        <v>101</v>
      </c>
      <c r="E507" t="s">
        <v>79</v>
      </c>
      <c r="F507" t="s">
        <v>15</v>
      </c>
      <c r="H507" t="s">
        <v>16</v>
      </c>
      <c r="J507" t="s">
        <v>16</v>
      </c>
      <c r="K507" t="s">
        <v>80</v>
      </c>
    </row>
    <row r="508" spans="1:11" ht="15.5" x14ac:dyDescent="0.35">
      <c r="A508">
        <v>885</v>
      </c>
      <c r="B508" t="s">
        <v>359</v>
      </c>
      <c r="C508" t="s">
        <v>12</v>
      </c>
      <c r="D508" t="s">
        <v>392</v>
      </c>
      <c r="E508" t="s">
        <v>210</v>
      </c>
      <c r="F508" t="s">
        <v>15</v>
      </c>
      <c r="H508" t="s">
        <v>16</v>
      </c>
      <c r="J508" t="s">
        <v>16</v>
      </c>
      <c r="K508" t="s">
        <v>211</v>
      </c>
    </row>
    <row r="509" spans="1:11" ht="15.5" hidden="1" x14ac:dyDescent="0.35">
      <c r="A509">
        <v>885</v>
      </c>
      <c r="B509" t="s">
        <v>359</v>
      </c>
      <c r="C509" t="s">
        <v>12</v>
      </c>
      <c r="D509" t="s">
        <v>143</v>
      </c>
      <c r="E509" t="s">
        <v>115</v>
      </c>
      <c r="F509" t="s">
        <v>116</v>
      </c>
      <c r="H509" t="s">
        <v>16</v>
      </c>
      <c r="J509" t="s">
        <v>16</v>
      </c>
      <c r="K509" t="s">
        <v>21</v>
      </c>
    </row>
    <row r="510" spans="1:11" ht="15.5" hidden="1" x14ac:dyDescent="0.35">
      <c r="A510">
        <v>885</v>
      </c>
      <c r="B510" t="s">
        <v>359</v>
      </c>
      <c r="C510" t="s">
        <v>12</v>
      </c>
      <c r="D510" t="s">
        <v>178</v>
      </c>
      <c r="E510" t="s">
        <v>179</v>
      </c>
      <c r="F510" t="s">
        <v>180</v>
      </c>
      <c r="H510" t="s">
        <v>16</v>
      </c>
      <c r="J510" t="s">
        <v>16</v>
      </c>
      <c r="K510" t="s">
        <v>181</v>
      </c>
    </row>
    <row r="511" spans="1:11" ht="15.5" hidden="1" x14ac:dyDescent="0.35">
      <c r="A511">
        <v>885</v>
      </c>
      <c r="B511" t="s">
        <v>359</v>
      </c>
      <c r="C511" t="s">
        <v>12</v>
      </c>
      <c r="D511" t="s">
        <v>148</v>
      </c>
      <c r="E511" t="s">
        <v>129</v>
      </c>
      <c r="F511" t="s">
        <v>130</v>
      </c>
      <c r="H511" t="s">
        <v>16</v>
      </c>
      <c r="J511" t="s">
        <v>16</v>
      </c>
      <c r="K511" t="s">
        <v>21</v>
      </c>
    </row>
    <row r="512" spans="1:11" ht="15.5" x14ac:dyDescent="0.35">
      <c r="A512">
        <v>885</v>
      </c>
      <c r="B512" t="s">
        <v>359</v>
      </c>
      <c r="C512" t="s">
        <v>12</v>
      </c>
      <c r="D512" t="s">
        <v>393</v>
      </c>
      <c r="E512" t="s">
        <v>394</v>
      </c>
      <c r="F512" t="s">
        <v>15</v>
      </c>
      <c r="H512" t="s">
        <v>16</v>
      </c>
      <c r="J512" t="s">
        <v>16</v>
      </c>
      <c r="K512" t="s">
        <v>385</v>
      </c>
    </row>
    <row r="513" spans="1:11" ht="15.5" x14ac:dyDescent="0.35">
      <c r="A513">
        <v>885</v>
      </c>
      <c r="B513" t="s">
        <v>359</v>
      </c>
      <c r="C513" t="s">
        <v>12</v>
      </c>
      <c r="D513" t="s">
        <v>395</v>
      </c>
      <c r="E513" t="s">
        <v>396</v>
      </c>
      <c r="F513" t="s">
        <v>97</v>
      </c>
      <c r="H513" t="s">
        <v>16</v>
      </c>
      <c r="J513" t="s">
        <v>16</v>
      </c>
      <c r="K513" t="s">
        <v>385</v>
      </c>
    </row>
    <row r="514" spans="1:11" ht="15.5" x14ac:dyDescent="0.35">
      <c r="A514">
        <v>885</v>
      </c>
      <c r="B514" t="s">
        <v>359</v>
      </c>
      <c r="C514" t="s">
        <v>12</v>
      </c>
      <c r="D514" t="s">
        <v>346</v>
      </c>
      <c r="E514" t="s">
        <v>340</v>
      </c>
      <c r="F514" t="s">
        <v>15</v>
      </c>
      <c r="H514" t="s">
        <v>16</v>
      </c>
      <c r="J514" t="s">
        <v>16</v>
      </c>
      <c r="K514" t="s">
        <v>17</v>
      </c>
    </row>
    <row r="515" spans="1:11" ht="15.5" hidden="1" x14ac:dyDescent="0.35">
      <c r="A515">
        <v>885</v>
      </c>
      <c r="B515" t="s">
        <v>359</v>
      </c>
      <c r="C515" t="s">
        <v>12</v>
      </c>
      <c r="D515" t="s">
        <v>161</v>
      </c>
      <c r="E515" t="s">
        <v>90</v>
      </c>
      <c r="F515" t="s">
        <v>91</v>
      </c>
      <c r="H515" t="s">
        <v>16</v>
      </c>
      <c r="J515" t="s">
        <v>16</v>
      </c>
      <c r="K515" t="s">
        <v>21</v>
      </c>
    </row>
    <row r="516" spans="1:11" ht="15.5" x14ac:dyDescent="0.35">
      <c r="A516">
        <v>885</v>
      </c>
      <c r="B516" t="s">
        <v>359</v>
      </c>
      <c r="C516" t="s">
        <v>12</v>
      </c>
      <c r="D516" t="s">
        <v>397</v>
      </c>
      <c r="E516" t="s">
        <v>210</v>
      </c>
      <c r="F516" t="s">
        <v>15</v>
      </c>
      <c r="H516" t="s">
        <v>16</v>
      </c>
      <c r="J516" t="s">
        <v>16</v>
      </c>
      <c r="K516" t="s">
        <v>211</v>
      </c>
    </row>
    <row r="517" spans="1:11" ht="15.5" hidden="1" x14ac:dyDescent="0.35">
      <c r="A517">
        <v>885</v>
      </c>
      <c r="B517" t="s">
        <v>359</v>
      </c>
      <c r="C517" t="s">
        <v>12</v>
      </c>
      <c r="D517" t="s">
        <v>341</v>
      </c>
      <c r="E517" t="s">
        <v>332</v>
      </c>
      <c r="F517" t="s">
        <v>333</v>
      </c>
      <c r="H517" t="s">
        <v>16</v>
      </c>
      <c r="J517" t="s">
        <v>16</v>
      </c>
      <c r="K517" t="s">
        <v>271</v>
      </c>
    </row>
    <row r="518" spans="1:11" ht="15.5" hidden="1" x14ac:dyDescent="0.35">
      <c r="A518">
        <v>885</v>
      </c>
      <c r="B518" t="s">
        <v>359</v>
      </c>
      <c r="C518" t="s">
        <v>12</v>
      </c>
      <c r="D518" t="s">
        <v>331</v>
      </c>
      <c r="E518" t="s">
        <v>332</v>
      </c>
      <c r="F518" t="s">
        <v>333</v>
      </c>
      <c r="H518" t="s">
        <v>16</v>
      </c>
      <c r="J518" t="s">
        <v>16</v>
      </c>
      <c r="K518" t="s">
        <v>271</v>
      </c>
    </row>
    <row r="519" spans="1:11" ht="15.5" hidden="1" x14ac:dyDescent="0.35">
      <c r="A519">
        <v>885</v>
      </c>
      <c r="B519" t="s">
        <v>359</v>
      </c>
      <c r="C519" t="s">
        <v>12</v>
      </c>
      <c r="D519" t="s">
        <v>349</v>
      </c>
      <c r="E519" t="s">
        <v>332</v>
      </c>
      <c r="F519" t="s">
        <v>333</v>
      </c>
      <c r="H519" t="s">
        <v>16</v>
      </c>
      <c r="J519" t="s">
        <v>16</v>
      </c>
      <c r="K519" t="s">
        <v>271</v>
      </c>
    </row>
    <row r="520" spans="1:11" ht="15.5" hidden="1" x14ac:dyDescent="0.35">
      <c r="A520">
        <v>885</v>
      </c>
      <c r="B520" t="s">
        <v>359</v>
      </c>
      <c r="C520" t="s">
        <v>12</v>
      </c>
      <c r="D520" t="s">
        <v>253</v>
      </c>
      <c r="E520" t="s">
        <v>189</v>
      </c>
      <c r="F520" t="s">
        <v>190</v>
      </c>
      <c r="H520" t="s">
        <v>16</v>
      </c>
      <c r="J520" t="s">
        <v>16</v>
      </c>
      <c r="K520" t="s">
        <v>21</v>
      </c>
    </row>
    <row r="521" spans="1:11" ht="15.5" x14ac:dyDescent="0.35">
      <c r="A521">
        <v>885</v>
      </c>
      <c r="B521" t="s">
        <v>359</v>
      </c>
      <c r="C521" t="s">
        <v>12</v>
      </c>
      <c r="D521" t="s">
        <v>398</v>
      </c>
      <c r="E521" t="s">
        <v>396</v>
      </c>
      <c r="F521" t="s">
        <v>15</v>
      </c>
      <c r="H521" t="s">
        <v>16</v>
      </c>
      <c r="J521" t="s">
        <v>16</v>
      </c>
      <c r="K521" t="s">
        <v>385</v>
      </c>
    </row>
    <row r="522" spans="1:11" ht="15.5" hidden="1" x14ac:dyDescent="0.35">
      <c r="A522">
        <v>885</v>
      </c>
      <c r="B522" t="s">
        <v>359</v>
      </c>
      <c r="C522" t="s">
        <v>12</v>
      </c>
      <c r="D522" t="s">
        <v>347</v>
      </c>
      <c r="E522" t="s">
        <v>332</v>
      </c>
      <c r="F522" t="s">
        <v>333</v>
      </c>
      <c r="H522" t="s">
        <v>16</v>
      </c>
      <c r="J522" t="s">
        <v>16</v>
      </c>
      <c r="K522" t="s">
        <v>271</v>
      </c>
    </row>
    <row r="523" spans="1:11" ht="15.5" hidden="1" x14ac:dyDescent="0.35">
      <c r="A523">
        <v>885</v>
      </c>
      <c r="B523" t="s">
        <v>359</v>
      </c>
      <c r="C523" t="s">
        <v>12</v>
      </c>
      <c r="D523" t="s">
        <v>128</v>
      </c>
      <c r="E523" t="s">
        <v>129</v>
      </c>
      <c r="F523" t="s">
        <v>130</v>
      </c>
      <c r="H523" t="s">
        <v>16</v>
      </c>
      <c r="J523" t="s">
        <v>16</v>
      </c>
      <c r="K523" t="s">
        <v>21</v>
      </c>
    </row>
    <row r="524" spans="1:11" ht="15.5" x14ac:dyDescent="0.35">
      <c r="A524">
        <v>885</v>
      </c>
      <c r="B524" t="s">
        <v>359</v>
      </c>
      <c r="C524" t="s">
        <v>12</v>
      </c>
      <c r="D524" t="s">
        <v>348</v>
      </c>
      <c r="E524" t="s">
        <v>210</v>
      </c>
      <c r="F524" t="s">
        <v>15</v>
      </c>
      <c r="H524" t="s">
        <v>16</v>
      </c>
      <c r="J524" t="s">
        <v>16</v>
      </c>
      <c r="K524" t="s">
        <v>211</v>
      </c>
    </row>
    <row r="525" spans="1:11" ht="15.5" hidden="1" x14ac:dyDescent="0.35">
      <c r="A525">
        <v>885</v>
      </c>
      <c r="B525" t="s">
        <v>359</v>
      </c>
      <c r="C525" t="s">
        <v>12</v>
      </c>
      <c r="D525" t="s">
        <v>343</v>
      </c>
      <c r="E525" t="s">
        <v>332</v>
      </c>
      <c r="F525" t="s">
        <v>333</v>
      </c>
      <c r="H525" t="s">
        <v>16</v>
      </c>
      <c r="J525" t="s">
        <v>16</v>
      </c>
      <c r="K525" t="s">
        <v>271</v>
      </c>
    </row>
    <row r="526" spans="1:11" ht="15.5" hidden="1" x14ac:dyDescent="0.35">
      <c r="A526">
        <v>885</v>
      </c>
      <c r="B526" t="s">
        <v>359</v>
      </c>
      <c r="C526" t="s">
        <v>12</v>
      </c>
      <c r="D526" t="s">
        <v>350</v>
      </c>
      <c r="E526" t="s">
        <v>335</v>
      </c>
      <c r="F526" t="s">
        <v>336</v>
      </c>
      <c r="H526" t="s">
        <v>16</v>
      </c>
      <c r="J526" t="s">
        <v>16</v>
      </c>
      <c r="K526" t="s">
        <v>271</v>
      </c>
    </row>
    <row r="527" spans="1:11" ht="15.5" hidden="1" x14ac:dyDescent="0.35">
      <c r="A527">
        <v>885</v>
      </c>
      <c r="B527" t="s">
        <v>359</v>
      </c>
      <c r="C527" t="s">
        <v>12</v>
      </c>
      <c r="D527" t="s">
        <v>352</v>
      </c>
      <c r="E527" t="s">
        <v>332</v>
      </c>
      <c r="F527" t="s">
        <v>333</v>
      </c>
      <c r="H527" t="s">
        <v>16</v>
      </c>
      <c r="J527" t="s">
        <v>16</v>
      </c>
      <c r="K527" t="s">
        <v>271</v>
      </c>
    </row>
    <row r="528" spans="1:11" ht="15.5" hidden="1" x14ac:dyDescent="0.35">
      <c r="A528">
        <v>885</v>
      </c>
      <c r="B528" t="s">
        <v>359</v>
      </c>
      <c r="C528" t="s">
        <v>12</v>
      </c>
      <c r="D528" t="s">
        <v>236</v>
      </c>
      <c r="E528" t="s">
        <v>189</v>
      </c>
      <c r="F528" t="s">
        <v>190</v>
      </c>
      <c r="H528" t="s">
        <v>16</v>
      </c>
      <c r="J528" t="s">
        <v>16</v>
      </c>
      <c r="K528" t="s">
        <v>21</v>
      </c>
    </row>
    <row r="529" spans="1:11" ht="15.5" x14ac:dyDescent="0.35">
      <c r="A529">
        <v>885</v>
      </c>
      <c r="B529" t="s">
        <v>359</v>
      </c>
      <c r="C529" t="s">
        <v>12</v>
      </c>
      <c r="D529" t="s">
        <v>399</v>
      </c>
      <c r="E529" t="s">
        <v>210</v>
      </c>
      <c r="F529" t="s">
        <v>15</v>
      </c>
      <c r="H529" t="s">
        <v>16</v>
      </c>
      <c r="J529" t="s">
        <v>16</v>
      </c>
      <c r="K529" t="s">
        <v>211</v>
      </c>
    </row>
    <row r="530" spans="1:11" ht="15.5" hidden="1" x14ac:dyDescent="0.35">
      <c r="A530">
        <v>885</v>
      </c>
      <c r="B530" t="s">
        <v>359</v>
      </c>
      <c r="C530" t="s">
        <v>12</v>
      </c>
      <c r="D530" t="s">
        <v>140</v>
      </c>
      <c r="E530" t="s">
        <v>129</v>
      </c>
      <c r="F530" t="s">
        <v>130</v>
      </c>
      <c r="H530" t="s">
        <v>16</v>
      </c>
      <c r="J530" t="s">
        <v>16</v>
      </c>
      <c r="K530" t="s">
        <v>21</v>
      </c>
    </row>
    <row r="531" spans="1:11" ht="15.5" x14ac:dyDescent="0.35">
      <c r="A531">
        <v>885</v>
      </c>
      <c r="B531" t="s">
        <v>359</v>
      </c>
      <c r="C531" t="s">
        <v>12</v>
      </c>
      <c r="D531" t="s">
        <v>400</v>
      </c>
      <c r="E531" t="s">
        <v>384</v>
      </c>
      <c r="F531" t="s">
        <v>97</v>
      </c>
      <c r="H531" t="s">
        <v>16</v>
      </c>
      <c r="J531" t="s">
        <v>16</v>
      </c>
      <c r="K531" t="s">
        <v>385</v>
      </c>
    </row>
    <row r="532" spans="1:11" ht="15.5" x14ac:dyDescent="0.35">
      <c r="A532">
        <v>885</v>
      </c>
      <c r="B532" t="s">
        <v>359</v>
      </c>
      <c r="C532" t="s">
        <v>12</v>
      </c>
      <c r="D532" t="s">
        <v>355</v>
      </c>
      <c r="E532" t="s">
        <v>210</v>
      </c>
      <c r="F532" t="s">
        <v>15</v>
      </c>
      <c r="H532" t="s">
        <v>16</v>
      </c>
      <c r="J532" t="s">
        <v>16</v>
      </c>
      <c r="K532" t="s">
        <v>211</v>
      </c>
    </row>
    <row r="533" spans="1:11" ht="15.5" x14ac:dyDescent="0.35">
      <c r="A533">
        <v>885</v>
      </c>
      <c r="B533" t="s">
        <v>359</v>
      </c>
      <c r="C533" t="s">
        <v>12</v>
      </c>
      <c r="D533" t="s">
        <v>353</v>
      </c>
      <c r="E533" t="s">
        <v>210</v>
      </c>
      <c r="F533" t="s">
        <v>15</v>
      </c>
      <c r="H533" t="s">
        <v>16</v>
      </c>
      <c r="J533" t="s">
        <v>16</v>
      </c>
      <c r="K533" t="s">
        <v>211</v>
      </c>
    </row>
    <row r="534" spans="1:11" ht="15.5" hidden="1" x14ac:dyDescent="0.35">
      <c r="A534">
        <v>885</v>
      </c>
      <c r="B534" t="s">
        <v>359</v>
      </c>
      <c r="C534" t="s">
        <v>12</v>
      </c>
      <c r="D534" t="s">
        <v>334</v>
      </c>
      <c r="E534" t="s">
        <v>335</v>
      </c>
      <c r="F534" t="s">
        <v>336</v>
      </c>
      <c r="H534" t="s">
        <v>16</v>
      </c>
      <c r="J534" t="s">
        <v>16</v>
      </c>
      <c r="K534" t="s">
        <v>271</v>
      </c>
    </row>
    <row r="535" spans="1:11" ht="15.5" x14ac:dyDescent="0.35">
      <c r="A535">
        <v>885</v>
      </c>
      <c r="B535" t="s">
        <v>359</v>
      </c>
      <c r="C535" t="s">
        <v>12</v>
      </c>
      <c r="D535" t="s">
        <v>351</v>
      </c>
      <c r="E535" t="s">
        <v>210</v>
      </c>
      <c r="F535" t="s">
        <v>15</v>
      </c>
      <c r="H535" t="s">
        <v>16</v>
      </c>
      <c r="J535" t="s">
        <v>16</v>
      </c>
      <c r="K535" t="s">
        <v>211</v>
      </c>
    </row>
    <row r="536" spans="1:11" ht="15.5" x14ac:dyDescent="0.35">
      <c r="A536">
        <v>885</v>
      </c>
      <c r="B536" t="s">
        <v>359</v>
      </c>
      <c r="C536" t="s">
        <v>12</v>
      </c>
      <c r="D536" t="s">
        <v>339</v>
      </c>
      <c r="E536" t="s">
        <v>340</v>
      </c>
      <c r="F536" t="s">
        <v>28</v>
      </c>
      <c r="H536" t="s">
        <v>16</v>
      </c>
      <c r="J536" t="s">
        <v>16</v>
      </c>
      <c r="K536" t="s">
        <v>17</v>
      </c>
    </row>
    <row r="537" spans="1:11" ht="15.5" x14ac:dyDescent="0.35">
      <c r="A537">
        <v>885</v>
      </c>
      <c r="B537" t="s">
        <v>359</v>
      </c>
      <c r="C537" t="s">
        <v>12</v>
      </c>
      <c r="D537" t="s">
        <v>354</v>
      </c>
      <c r="E537" t="s">
        <v>210</v>
      </c>
      <c r="F537" t="s">
        <v>15</v>
      </c>
      <c r="H537" t="s">
        <v>16</v>
      </c>
      <c r="J537" t="s">
        <v>16</v>
      </c>
      <c r="K537" t="s">
        <v>211</v>
      </c>
    </row>
  </sheetData>
  <autoFilter ref="A1:K537" xr:uid="{00000000-0001-0000-0000-000000000000}">
    <filterColumn colId="5">
      <filters>
        <filter val="CalculatedStartDate：6/30/2026 12:00:00 AM , not release"/>
        <filter val="CalculatedStartDate：7/10/2026 12:00:00 AM , not release"/>
        <filter val="CalculatedStartDate：7/11/2026 12:00:00 AM , not release"/>
        <filter val="CalculatedStartDate：7/4/2026 12:00:00 AM , not release"/>
        <filter val="CalculatedStartDate：7/5/2026 12:00:00 AM , not release"/>
        <filter val="CalculatedStartDate：7/6/2026 12:00:00 AM , not release"/>
        <filter val="CalculatedStartDate：7/7/2026 12:00:00 AM , not release"/>
        <filter val="CalculatedStartDate：7/8/2026 12:00:00 AM , not release"/>
        <filter val="CalculatedStartDate：7/9/2026 12:00:00 AM , not release"/>
      </filters>
    </filterColumn>
  </autoFilter>
  <pageMargins left="0.7" right="0.7" top="0.75" bottom="0.75" header="0.3" footer="0.3"/>
  <ignoredErrors>
    <ignoredError sqref="A1:K5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981B-9009-4BB2-83F0-686A868BA2E2}">
  <sheetPr filterMode="1"/>
  <dimension ref="A1:D35"/>
  <sheetViews>
    <sheetView workbookViewId="0">
      <selection sqref="A1:D28"/>
    </sheetView>
  </sheetViews>
  <sheetFormatPr defaultRowHeight="15.5" x14ac:dyDescent="0.35"/>
  <cols>
    <col min="1" max="1" width="25.25" customWidth="1"/>
    <col min="2" max="2" width="13.9140625" customWidth="1"/>
    <col min="3" max="3" width="11.08203125" bestFit="1" customWidth="1"/>
    <col min="4" max="4" width="11.33203125" customWidth="1"/>
  </cols>
  <sheetData>
    <row r="1" spans="1:4" x14ac:dyDescent="0.35">
      <c r="A1" t="s">
        <v>4</v>
      </c>
      <c r="B1" s="1" t="s">
        <v>401</v>
      </c>
      <c r="C1">
        <v>1</v>
      </c>
      <c r="D1">
        <v>2</v>
      </c>
    </row>
    <row r="2" spans="1:4" x14ac:dyDescent="0.35">
      <c r="A2" t="s">
        <v>14</v>
      </c>
      <c r="B2" s="2">
        <f>_xlfn.XLOOKUP(A2,[1]Summary!$D:$D,[1]Summary!$M:$M,0)</f>
        <v>3266.5362960000002</v>
      </c>
      <c r="C2" s="2">
        <f>SUMIF([2]Sheet2!$B:$B,A2,[2]Sheet2!$F:$F)</f>
        <v>0</v>
      </c>
      <c r="D2" s="3">
        <f>C2-B2</f>
        <v>-3266.5362960000002</v>
      </c>
    </row>
    <row r="3" spans="1:4" x14ac:dyDescent="0.35">
      <c r="A3" t="s">
        <v>23</v>
      </c>
      <c r="B3" s="2">
        <f>_xlfn.XLOOKUP(A3,[1]Summary!$D:$D,[1]Summary!$M:$M,0)</f>
        <v>547.50720000000001</v>
      </c>
      <c r="C3" s="2">
        <f>SUMIF([2]Sheet2!$B:$B,A3,[2]Sheet2!$F:$F)</f>
        <v>0</v>
      </c>
      <c r="D3" s="3">
        <f>C3-B3</f>
        <v>-547.50720000000001</v>
      </c>
    </row>
    <row r="4" spans="1:4" x14ac:dyDescent="0.35">
      <c r="A4" t="s">
        <v>256</v>
      </c>
      <c r="B4" s="2">
        <f>_xlfn.XLOOKUP(A4,[1]Summary!$D:$D,[1]Summary!$M:$M,0)</f>
        <v>134086.464404</v>
      </c>
      <c r="C4" s="2">
        <f>SUMIF([2]Sheet2!$B:$B,A4,[2]Sheet2!$F:$F)</f>
        <v>0</v>
      </c>
      <c r="D4" s="3">
        <f>C4-B4</f>
        <v>-134086.464404</v>
      </c>
    </row>
    <row r="5" spans="1:4" x14ac:dyDescent="0.35">
      <c r="A5" t="s">
        <v>261</v>
      </c>
      <c r="B5" s="2">
        <f>_xlfn.XLOOKUP(A5,[1]Summary!$D:$D,[1]Summary!$M:$M,0)</f>
        <v>17900.546616</v>
      </c>
      <c r="C5" s="2">
        <f>SUMIF([2]Sheet2!$B:$B,A5,[2]Sheet2!$F:$F)</f>
        <v>0</v>
      </c>
      <c r="D5" s="3">
        <f>C5-B5</f>
        <v>-17900.546616</v>
      </c>
    </row>
    <row r="6" spans="1:4" hidden="1" x14ac:dyDescent="0.35">
      <c r="A6" t="s">
        <v>30</v>
      </c>
      <c r="B6" s="2">
        <f>_xlfn.XLOOKUP(A6,[1]Summary!$D:$D,[1]Summary!$M:$M,0)</f>
        <v>0</v>
      </c>
      <c r="C6" s="2">
        <f>SUMIF([2]Sheet2!$B:$B,A6,[2]Sheet2!$F:$F)</f>
        <v>806702</v>
      </c>
      <c r="D6" s="3">
        <f>C6-B6</f>
        <v>806702</v>
      </c>
    </row>
    <row r="7" spans="1:4" hidden="1" x14ac:dyDescent="0.35">
      <c r="A7" t="s">
        <v>33</v>
      </c>
      <c r="B7" s="2">
        <f>_xlfn.XLOOKUP(A7,[1]Summary!$D:$D,[1]Summary!$M:$M,0)</f>
        <v>0</v>
      </c>
      <c r="C7" s="2">
        <f>SUMIF([2]Sheet2!$B:$B,A7,[2]Sheet2!$F:$F)</f>
        <v>66457</v>
      </c>
      <c r="D7" s="3">
        <f>C7-B7</f>
        <v>66457</v>
      </c>
    </row>
    <row r="8" spans="1:4" x14ac:dyDescent="0.35">
      <c r="A8" t="s">
        <v>36</v>
      </c>
      <c r="B8" s="2">
        <f>_xlfn.XLOOKUP(A8,[1]Summary!$D:$D,[1]Summary!$M:$M,0)</f>
        <v>636322.09730100003</v>
      </c>
      <c r="C8" s="2">
        <f>SUMIF([2]Sheet2!$B:$B,A8,[2]Sheet2!$F:$F)</f>
        <v>527534</v>
      </c>
      <c r="D8" s="3">
        <f>C8-B8</f>
        <v>-108788.09730100003</v>
      </c>
    </row>
    <row r="9" spans="1:4" x14ac:dyDescent="0.35">
      <c r="A9" t="s">
        <v>45</v>
      </c>
      <c r="B9" s="2">
        <f>_xlfn.XLOOKUP(A9,[1]Summary!$D:$D,[1]Summary!$M:$M,0)</f>
        <v>9048.8338179999992</v>
      </c>
      <c r="C9" s="2">
        <f>SUMIF([2]Sheet2!$B:$B,A9,[2]Sheet2!$F:$F)</f>
        <v>0</v>
      </c>
      <c r="D9" s="3">
        <f>C9-B9</f>
        <v>-9048.8338179999992</v>
      </c>
    </row>
    <row r="10" spans="1:4" x14ac:dyDescent="0.35">
      <c r="A10" t="s">
        <v>40</v>
      </c>
      <c r="B10" s="2">
        <f>_xlfn.XLOOKUP(A10,[1]Summary!$D:$D,[1]Summary!$M:$M,0)</f>
        <v>181559.08591199998</v>
      </c>
      <c r="C10" s="2">
        <f>SUMIF([2]Sheet2!$B:$B,A10,[2]Sheet2!$F:$F)</f>
        <v>164701</v>
      </c>
      <c r="D10" s="3">
        <f>C10-B10</f>
        <v>-16858.08591199998</v>
      </c>
    </row>
    <row r="11" spans="1:4" hidden="1" x14ac:dyDescent="0.35">
      <c r="A11" t="s">
        <v>55</v>
      </c>
      <c r="B11" s="2">
        <f>_xlfn.XLOOKUP(A11,[1]Summary!$D:$D,[1]Summary!$M:$M,0)</f>
        <v>0</v>
      </c>
      <c r="C11" s="2">
        <f>SUMIF([2]Sheet2!$B:$B,A11,[2]Sheet2!$F:$F)</f>
        <v>0</v>
      </c>
      <c r="D11" s="3">
        <f>C11-B11</f>
        <v>0</v>
      </c>
    </row>
    <row r="12" spans="1:4" x14ac:dyDescent="0.35">
      <c r="A12" t="s">
        <v>266</v>
      </c>
      <c r="B12" s="2">
        <f>_xlfn.XLOOKUP(A12,[1]Summary!$D:$D,[1]Summary!$M:$M,0)</f>
        <v>108143.08831000001</v>
      </c>
      <c r="C12" s="2">
        <f>SUMIF([2]Sheet2!$B:$B,A12,[2]Sheet2!$F:$F)</f>
        <v>0</v>
      </c>
      <c r="D12" s="3">
        <f>C12-B12</f>
        <v>-108143.08831000001</v>
      </c>
    </row>
    <row r="13" spans="1:4" x14ac:dyDescent="0.35">
      <c r="A13" t="s">
        <v>26</v>
      </c>
      <c r="B13" s="2">
        <f>_xlfn.XLOOKUP(A13,[1]Summary!$D:$D,[1]Summary!$M:$M,0)</f>
        <v>2352.7501889999999</v>
      </c>
      <c r="C13" s="2">
        <f>SUMIF([2]Sheet2!$B:$B,A13,[2]Sheet2!$F:$F)</f>
        <v>0</v>
      </c>
      <c r="D13" s="3">
        <f>C13-B13</f>
        <v>-2352.7501889999999</v>
      </c>
    </row>
    <row r="14" spans="1:4" x14ac:dyDescent="0.35">
      <c r="A14" t="s">
        <v>291</v>
      </c>
      <c r="B14" s="2">
        <f>_xlfn.XLOOKUP(A14,[1]Summary!$D:$D,[1]Summary!$M:$M,0)</f>
        <v>37465.715640000002</v>
      </c>
      <c r="C14" s="2">
        <f>SUMIF([2]Sheet2!$B:$B,A14,[2]Sheet2!$F:$F)</f>
        <v>0</v>
      </c>
      <c r="D14" s="3">
        <f>C14-B14</f>
        <v>-37465.715640000002</v>
      </c>
    </row>
    <row r="15" spans="1:4" hidden="1" x14ac:dyDescent="0.35">
      <c r="A15" t="s">
        <v>173</v>
      </c>
      <c r="B15" s="2">
        <f>_xlfn.XLOOKUP(A15,[1]Summary!$D:$D,[1]Summary!$M:$M,0)</f>
        <v>0</v>
      </c>
      <c r="C15" s="2">
        <f>SUMIF([2]Sheet2!$B:$B,A15,[2]Sheet2!$F:$F)</f>
        <v>0</v>
      </c>
      <c r="D15" s="3">
        <f>C15-B15</f>
        <v>0</v>
      </c>
    </row>
    <row r="16" spans="1:4" x14ac:dyDescent="0.35">
      <c r="A16" t="s">
        <v>300</v>
      </c>
      <c r="B16" s="2">
        <f>_xlfn.XLOOKUP(A16,[1]Summary!$D:$D,[1]Summary!$M:$M,0)</f>
        <v>225111.22586000001</v>
      </c>
      <c r="C16" s="2">
        <f>SUMIF([2]Sheet2!$B:$B,A16,[2]Sheet2!$F:$F)</f>
        <v>0</v>
      </c>
      <c r="D16" s="3">
        <f>C16-B16</f>
        <v>-225111.22586000001</v>
      </c>
    </row>
    <row r="17" spans="1:4" hidden="1" x14ac:dyDescent="0.35">
      <c r="A17" t="s">
        <v>239</v>
      </c>
      <c r="B17" s="2">
        <f>_xlfn.XLOOKUP(A17,[1]Summary!$D:$D,[1]Summary!$M:$M,0)</f>
        <v>0</v>
      </c>
      <c r="C17" s="2">
        <f>SUMIF([2]Sheet2!$B:$B,A17,[2]Sheet2!$F:$F)</f>
        <v>0</v>
      </c>
      <c r="D17" s="3">
        <f>C17-B17</f>
        <v>0</v>
      </c>
    </row>
    <row r="18" spans="1:4" hidden="1" x14ac:dyDescent="0.35">
      <c r="A18" t="s">
        <v>244</v>
      </c>
      <c r="B18" s="2">
        <f>_xlfn.XLOOKUP(A18,[1]Summary!$D:$D,[1]Summary!$M:$M,0)</f>
        <v>44748.007899999997</v>
      </c>
      <c r="C18" s="2">
        <f>SUMIF([2]Sheet2!$B:$B,A18,[2]Sheet2!$F:$F)</f>
        <v>60927</v>
      </c>
      <c r="D18" s="3">
        <f>C18-B18</f>
        <v>16178.992100000003</v>
      </c>
    </row>
    <row r="19" spans="1:4" x14ac:dyDescent="0.35">
      <c r="A19" t="s">
        <v>345</v>
      </c>
      <c r="B19" s="2">
        <f>_xlfn.XLOOKUP(A19,[1]Summary!$D:$D,[1]Summary!$M:$M,0)</f>
        <v>1249</v>
      </c>
      <c r="C19" s="2">
        <f>SUMIF([2]Sheet2!$B:$B,A19,[2]Sheet2!$F:$F)</f>
        <v>0</v>
      </c>
      <c r="D19" s="3">
        <f>C19-B19</f>
        <v>-1249</v>
      </c>
    </row>
    <row r="20" spans="1:4" x14ac:dyDescent="0.35">
      <c r="A20" t="s">
        <v>281</v>
      </c>
      <c r="B20" s="2">
        <f>_xlfn.XLOOKUP(A20,[1]Summary!$D:$D,[1]Summary!$M:$M,0)</f>
        <v>3747</v>
      </c>
      <c r="C20" s="2">
        <f>SUMIF([2]Sheet2!$B:$B,A20,[2]Sheet2!$F:$F)</f>
        <v>0</v>
      </c>
      <c r="D20" s="3">
        <f>C20-B20</f>
        <v>-3747</v>
      </c>
    </row>
    <row r="21" spans="1:4" x14ac:dyDescent="0.35">
      <c r="A21" t="s">
        <v>295</v>
      </c>
      <c r="B21" s="2">
        <f>_xlfn.XLOOKUP(A21,[1]Summary!$D:$D,[1]Summary!$M:$M,0)</f>
        <v>21571.717731999997</v>
      </c>
      <c r="C21" s="2">
        <f>SUMIF([2]Sheet2!$B:$B,A21,[2]Sheet2!$F:$F)</f>
        <v>0</v>
      </c>
      <c r="D21" s="3">
        <f>C21-B21</f>
        <v>-21571.717731999997</v>
      </c>
    </row>
    <row r="22" spans="1:4" x14ac:dyDescent="0.35">
      <c r="A22" t="s">
        <v>156</v>
      </c>
      <c r="B22" s="2">
        <f>_xlfn.XLOOKUP(A22,[1]Summary!$D:$D,[1]Summary!$M:$M,0)</f>
        <v>1055.3020489999999</v>
      </c>
      <c r="C22" s="2">
        <f>SUMIF([2]Sheet2!$B:$B,A22,[2]Sheet2!$F:$F)</f>
        <v>0</v>
      </c>
      <c r="D22" s="3">
        <f>C22-B22</f>
        <v>-1055.3020489999999</v>
      </c>
    </row>
    <row r="23" spans="1:4" x14ac:dyDescent="0.35">
      <c r="A23" t="s">
        <v>320</v>
      </c>
      <c r="B23" s="2">
        <f>_xlfn.XLOOKUP(A23,[1]Summary!$D:$D,[1]Summary!$M:$M,0)</f>
        <v>55607.182308999996</v>
      </c>
      <c r="C23" s="2">
        <f>SUMIF([2]Sheet2!$B:$B,A23,[2]Sheet2!$F:$F)</f>
        <v>0</v>
      </c>
      <c r="D23" s="3">
        <f>C23-B23</f>
        <v>-55607.182308999996</v>
      </c>
    </row>
    <row r="24" spans="1:4" x14ac:dyDescent="0.35">
      <c r="A24" t="s">
        <v>82</v>
      </c>
      <c r="B24" s="2">
        <f>_xlfn.XLOOKUP(A24,[1]Summary!$D:$D,[1]Summary!$M:$M,0)</f>
        <v>235515.668542</v>
      </c>
      <c r="C24" s="2">
        <f>SUMIF([2]Sheet2!$B:$B,A24,[2]Sheet2!$F:$F)</f>
        <v>0</v>
      </c>
      <c r="D24" s="3">
        <f>C24-B24</f>
        <v>-235515.668542</v>
      </c>
    </row>
    <row r="25" spans="1:4" x14ac:dyDescent="0.35">
      <c r="A25" t="s">
        <v>79</v>
      </c>
      <c r="B25" s="2">
        <f>_xlfn.XLOOKUP(A25,[1]Summary!$D:$D,[1]Summary!$M:$M,0)</f>
        <v>640362.40342500003</v>
      </c>
      <c r="C25" s="2">
        <f>SUMIF([2]Sheet2!$B:$B,A25,[2]Sheet2!$F:$F)</f>
        <v>402758</v>
      </c>
      <c r="D25" s="3">
        <f>C25-B25</f>
        <v>-237604.40342500003</v>
      </c>
    </row>
    <row r="26" spans="1:4" x14ac:dyDescent="0.35">
      <c r="A26" t="s">
        <v>340</v>
      </c>
      <c r="B26" s="2">
        <f>_xlfn.XLOOKUP(A26,[1]Summary!$D:$D,[1]Summary!$M:$M,0)</f>
        <v>44850.337063999999</v>
      </c>
      <c r="C26" s="2">
        <f>SUMIF([2]Sheet2!$B:$B,A26,[2]Sheet2!$F:$F)</f>
        <v>0</v>
      </c>
      <c r="D26" s="3">
        <f>C26-B26</f>
        <v>-44850.337063999999</v>
      </c>
    </row>
    <row r="27" spans="1:4" x14ac:dyDescent="0.35">
      <c r="A27" t="s">
        <v>210</v>
      </c>
      <c r="B27" s="2">
        <f>_xlfn.XLOOKUP(A27,[1]Summary!$D:$D,[1]Summary!$M:$M,0)</f>
        <v>549918.70895200002</v>
      </c>
      <c r="C27" s="2">
        <f>SUMIF([2]Sheet2!$B:$B,A27,[2]Sheet2!$F:$F)</f>
        <v>253659</v>
      </c>
      <c r="D27" s="3">
        <f>C27-B27</f>
        <v>-296259.70895200002</v>
      </c>
    </row>
    <row r="28" spans="1:4" x14ac:dyDescent="0.35">
      <c r="A28" t="s">
        <v>19</v>
      </c>
      <c r="B28" s="2">
        <f>_xlfn.XLOOKUP(A28,[1]Summary!$D:$D,[1]Summary!$M:$M,0)</f>
        <v>1373.4395999999999</v>
      </c>
      <c r="C28" s="2">
        <f>SUMIF([2]Sheet2!$B:$B,A28,[2]Sheet2!$F:$F)</f>
        <v>0</v>
      </c>
      <c r="D28" s="3">
        <f>C28-B28</f>
        <v>-1373.4395999999999</v>
      </c>
    </row>
    <row r="29" spans="1:4" hidden="1" x14ac:dyDescent="0.35">
      <c r="A29" t="s">
        <v>366</v>
      </c>
      <c r="B29" s="2">
        <f>_xlfn.XLOOKUP(A29,[1]Summary!$D:$D,[1]Summary!$M:$M,0)</f>
        <v>190.20742100000001</v>
      </c>
      <c r="C29" s="2">
        <f>SUMIF([2]Sheet2!$B:$B,A29,[2]Sheet2!$F:$F)</f>
        <v>51217</v>
      </c>
      <c r="D29" s="3">
        <f t="shared" ref="D3:D35" si="0">C29-B29</f>
        <v>51026.792579000001</v>
      </c>
    </row>
    <row r="30" spans="1:4" hidden="1" x14ac:dyDescent="0.35">
      <c r="A30" t="s">
        <v>375</v>
      </c>
      <c r="B30" s="2">
        <f>_xlfn.XLOOKUP(A30,[1]Summary!$D:$D,[1]Summary!$M:$M,0)</f>
        <v>9817.2466230000009</v>
      </c>
      <c r="C30" s="2">
        <f>SUMIF([2]Sheet2!$B:$B,A30,[2]Sheet2!$F:$F)</f>
        <v>33600</v>
      </c>
      <c r="D30" s="3">
        <f t="shared" si="0"/>
        <v>23782.753377000001</v>
      </c>
    </row>
    <row r="31" spans="1:4" hidden="1" x14ac:dyDescent="0.35">
      <c r="A31" t="s">
        <v>379</v>
      </c>
      <c r="B31" s="2">
        <f>_xlfn.XLOOKUP(A31,[1]Summary!$D:$D,[1]Summary!$M:$M,0)</f>
        <v>48497.818672000001</v>
      </c>
      <c r="C31" s="2">
        <f>SUMIF([2]Sheet2!$B:$B,A31,[2]Sheet2!$F:$F)</f>
        <v>432714</v>
      </c>
      <c r="D31" s="3">
        <f t="shared" si="0"/>
        <v>384216.18132799998</v>
      </c>
    </row>
    <row r="32" spans="1:4" hidden="1" x14ac:dyDescent="0.35">
      <c r="A32" t="s">
        <v>381</v>
      </c>
      <c r="B32" s="2">
        <f>_xlfn.XLOOKUP(A32,[1]Summary!$D:$D,[1]Summary!$M:$M,0)</f>
        <v>13187.258162</v>
      </c>
      <c r="C32" s="2">
        <f>SUMIF([2]Sheet2!$B:$B,A32,[2]Sheet2!$F:$F)</f>
        <v>23558</v>
      </c>
      <c r="D32" s="3">
        <f t="shared" si="0"/>
        <v>10370.741838</v>
      </c>
    </row>
    <row r="33" spans="1:4" hidden="1" x14ac:dyDescent="0.35">
      <c r="A33" t="s">
        <v>384</v>
      </c>
      <c r="B33" s="2">
        <f>_xlfn.XLOOKUP(A33,[1]Summary!$D:$D,[1]Summary!$M:$M,0)</f>
        <v>0</v>
      </c>
      <c r="C33" s="2">
        <f>SUMIF([2]Sheet2!$B:$B,A33,[2]Sheet2!$F:$F)</f>
        <v>235002</v>
      </c>
      <c r="D33" s="3">
        <f t="shared" si="0"/>
        <v>235002</v>
      </c>
    </row>
    <row r="34" spans="1:4" hidden="1" x14ac:dyDescent="0.35">
      <c r="A34" t="s">
        <v>394</v>
      </c>
      <c r="B34" s="2">
        <f>_xlfn.XLOOKUP(A34,[1]Summary!$D:$D,[1]Summary!$M:$M,0)</f>
        <v>0</v>
      </c>
      <c r="C34" s="2">
        <f>SUMIF([2]Sheet2!$B:$B,A34,[2]Sheet2!$F:$F)</f>
        <v>132875</v>
      </c>
      <c r="D34" s="3">
        <f t="shared" si="0"/>
        <v>132875</v>
      </c>
    </row>
    <row r="35" spans="1:4" hidden="1" x14ac:dyDescent="0.35">
      <c r="A35" t="s">
        <v>396</v>
      </c>
      <c r="B35" s="2">
        <f>_xlfn.XLOOKUP(A35,[1]Summary!$D:$D,[1]Summary!$M:$M,0)</f>
        <v>32826.842255999996</v>
      </c>
      <c r="C35" s="2">
        <f>SUMIF([2]Sheet2!$B:$B,A35,[2]Sheet2!$F:$F)</f>
        <v>33514</v>
      </c>
      <c r="D35" s="3">
        <f t="shared" si="0"/>
        <v>687.15774400000373</v>
      </c>
    </row>
  </sheetData>
  <autoFilter ref="A1:D35" xr:uid="{688A981B-9009-4BB2-83F0-686A868BA2E2}">
    <filterColumn colId="3">
      <customFilters>
        <customFilter operator="lessThan" val="0"/>
      </customFilters>
    </filterColumn>
    <sortState xmlns:xlrd2="http://schemas.microsoft.com/office/spreadsheetml/2017/richdata2" ref="A2:D28">
      <sortCondition ref="A1:A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D2D4-3BF3-4619-8B87-E7499D2DA0E3}">
  <dimension ref="A1:D22"/>
  <sheetViews>
    <sheetView tabSelected="1" workbookViewId="0">
      <selection activeCell="O13" sqref="O13"/>
    </sheetView>
  </sheetViews>
  <sheetFormatPr defaultRowHeight="15.5" x14ac:dyDescent="0.35"/>
  <sheetData>
    <row r="1" spans="1:4" x14ac:dyDescent="0.35">
      <c r="A1" t="s">
        <v>4</v>
      </c>
      <c r="B1" s="1" t="s">
        <v>401</v>
      </c>
      <c r="C1">
        <v>1</v>
      </c>
      <c r="D1">
        <v>2</v>
      </c>
    </row>
    <row r="2" spans="1:4" x14ac:dyDescent="0.35">
      <c r="A2" t="s">
        <v>14</v>
      </c>
      <c r="B2" s="2">
        <v>3266.5362960000002</v>
      </c>
      <c r="C2" s="2">
        <v>0</v>
      </c>
      <c r="D2" s="3">
        <v>-3266.5362960000002</v>
      </c>
    </row>
    <row r="3" spans="1:4" x14ac:dyDescent="0.35">
      <c r="A3" t="s">
        <v>23</v>
      </c>
      <c r="B3" s="2">
        <v>547.50720000000001</v>
      </c>
      <c r="C3" s="2">
        <v>0</v>
      </c>
      <c r="D3" s="3">
        <v>-547.50720000000001</v>
      </c>
    </row>
    <row r="4" spans="1:4" x14ac:dyDescent="0.35">
      <c r="A4" t="s">
        <v>256</v>
      </c>
      <c r="B4" s="2">
        <v>134086.464404</v>
      </c>
      <c r="C4" s="2">
        <v>0</v>
      </c>
      <c r="D4" s="3">
        <v>-134086.464404</v>
      </c>
    </row>
    <row r="5" spans="1:4" x14ac:dyDescent="0.35">
      <c r="A5" t="s">
        <v>261</v>
      </c>
      <c r="B5" s="2">
        <v>17900.546616</v>
      </c>
      <c r="C5" s="2">
        <v>0</v>
      </c>
      <c r="D5" s="3">
        <v>-17900.546616</v>
      </c>
    </row>
    <row r="6" spans="1:4" x14ac:dyDescent="0.35">
      <c r="A6" t="s">
        <v>36</v>
      </c>
      <c r="B6" s="2">
        <v>636322.09730100003</v>
      </c>
      <c r="C6" s="2">
        <v>527534</v>
      </c>
      <c r="D6" s="3">
        <v>-108788.09730100003</v>
      </c>
    </row>
    <row r="7" spans="1:4" x14ac:dyDescent="0.35">
      <c r="A7" t="s">
        <v>45</v>
      </c>
      <c r="B7" s="2">
        <v>9048.8338179999992</v>
      </c>
      <c r="C7" s="2">
        <v>0</v>
      </c>
      <c r="D7" s="3">
        <v>-9048.8338179999992</v>
      </c>
    </row>
    <row r="8" spans="1:4" x14ac:dyDescent="0.35">
      <c r="A8" t="s">
        <v>40</v>
      </c>
      <c r="B8" s="2">
        <v>181559.08591199998</v>
      </c>
      <c r="C8" s="2">
        <v>164701</v>
      </c>
      <c r="D8" s="3">
        <v>-16858.08591199998</v>
      </c>
    </row>
    <row r="9" spans="1:4" x14ac:dyDescent="0.35">
      <c r="A9" t="s">
        <v>266</v>
      </c>
      <c r="B9" s="2">
        <v>108143.08831000001</v>
      </c>
      <c r="C9" s="2">
        <v>0</v>
      </c>
      <c r="D9" s="3">
        <v>-108143.08831000001</v>
      </c>
    </row>
    <row r="10" spans="1:4" x14ac:dyDescent="0.35">
      <c r="A10" t="s">
        <v>26</v>
      </c>
      <c r="B10" s="2">
        <v>2352.7501889999999</v>
      </c>
      <c r="C10" s="2">
        <v>0</v>
      </c>
      <c r="D10" s="3">
        <v>-2352.7501889999999</v>
      </c>
    </row>
    <row r="11" spans="1:4" x14ac:dyDescent="0.35">
      <c r="A11" t="s">
        <v>291</v>
      </c>
      <c r="B11" s="2">
        <v>37465.715640000002</v>
      </c>
      <c r="C11" s="2">
        <v>0</v>
      </c>
      <c r="D11" s="3">
        <v>-37465.715640000002</v>
      </c>
    </row>
    <row r="12" spans="1:4" x14ac:dyDescent="0.35">
      <c r="A12" t="s">
        <v>300</v>
      </c>
      <c r="B12" s="2">
        <v>225111.22586000001</v>
      </c>
      <c r="C12" s="2">
        <v>0</v>
      </c>
      <c r="D12" s="3">
        <v>-225111.22586000001</v>
      </c>
    </row>
    <row r="13" spans="1:4" x14ac:dyDescent="0.35">
      <c r="A13" t="s">
        <v>345</v>
      </c>
      <c r="B13" s="2">
        <v>1249</v>
      </c>
      <c r="C13" s="2">
        <v>0</v>
      </c>
      <c r="D13" s="3">
        <v>-1249</v>
      </c>
    </row>
    <row r="14" spans="1:4" x14ac:dyDescent="0.35">
      <c r="A14" t="s">
        <v>281</v>
      </c>
      <c r="B14" s="2">
        <v>3747</v>
      </c>
      <c r="C14" s="2">
        <v>0</v>
      </c>
      <c r="D14" s="3">
        <v>-3747</v>
      </c>
    </row>
    <row r="15" spans="1:4" x14ac:dyDescent="0.35">
      <c r="A15" t="s">
        <v>295</v>
      </c>
      <c r="B15" s="2">
        <v>21571.717731999997</v>
      </c>
      <c r="C15" s="2">
        <v>0</v>
      </c>
      <c r="D15" s="3">
        <v>-21571.717731999997</v>
      </c>
    </row>
    <row r="16" spans="1:4" x14ac:dyDescent="0.35">
      <c r="A16" t="s">
        <v>156</v>
      </c>
      <c r="B16" s="2">
        <v>1055.3020489999999</v>
      </c>
      <c r="C16" s="2">
        <v>0</v>
      </c>
      <c r="D16" s="3">
        <v>-1055.3020489999999</v>
      </c>
    </row>
    <row r="17" spans="1:4" x14ac:dyDescent="0.35">
      <c r="A17" t="s">
        <v>320</v>
      </c>
      <c r="B17" s="2">
        <v>55607.182308999996</v>
      </c>
      <c r="C17" s="2">
        <v>0</v>
      </c>
      <c r="D17" s="3">
        <v>-55607.182308999996</v>
      </c>
    </row>
    <row r="18" spans="1:4" x14ac:dyDescent="0.35">
      <c r="A18" t="s">
        <v>82</v>
      </c>
      <c r="B18" s="2">
        <v>235515.668542</v>
      </c>
      <c r="C18" s="2">
        <v>0</v>
      </c>
      <c r="D18" s="3">
        <v>-235515.668542</v>
      </c>
    </row>
    <row r="19" spans="1:4" x14ac:dyDescent="0.35">
      <c r="A19" t="s">
        <v>79</v>
      </c>
      <c r="B19" s="2">
        <v>640362.40342500003</v>
      </c>
      <c r="C19" s="2">
        <v>402758</v>
      </c>
      <c r="D19" s="3">
        <v>-237604.40342500003</v>
      </c>
    </row>
    <row r="20" spans="1:4" x14ac:dyDescent="0.35">
      <c r="A20" t="s">
        <v>340</v>
      </c>
      <c r="B20" s="2">
        <v>44850.337063999999</v>
      </c>
      <c r="C20" s="2">
        <v>0</v>
      </c>
      <c r="D20" s="3">
        <v>-44850.337063999999</v>
      </c>
    </row>
    <row r="21" spans="1:4" x14ac:dyDescent="0.35">
      <c r="A21" t="s">
        <v>210</v>
      </c>
      <c r="B21" s="2">
        <v>549918.70895200002</v>
      </c>
      <c r="C21" s="2">
        <v>253659</v>
      </c>
      <c r="D21" s="3">
        <v>-296259.70895200002</v>
      </c>
    </row>
    <row r="22" spans="1:4" x14ac:dyDescent="0.35">
      <c r="A22" t="s">
        <v>19</v>
      </c>
      <c r="B22" s="2">
        <v>1373.4395999999999</v>
      </c>
      <c r="C22" s="2">
        <v>0</v>
      </c>
      <c r="D22" s="3">
        <v>-1373.4395999999999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Esme Li (李佩盈)</cp:lastModifiedBy>
  <dcterms:modified xsi:type="dcterms:W3CDTF">2026-07-08T06:37:22Z</dcterms:modified>
</cp:coreProperties>
</file>